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TUS\Desktop\WEB_Basketball\Train-web-21-07-08\static\records\"/>
    </mc:Choice>
  </mc:AlternateContent>
  <xr:revisionPtr revIDLastSave="0" documentId="13_ncr:1_{7DDA39D0-723E-422D-8295-5AA61BB12711}" xr6:coauthVersionLast="45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HomeAttackPlay-by-Play" sheetId="9" r:id="rId1"/>
    <sheet name="GuestAttackPlay-by-Play" sheetId="10" r:id="rId2"/>
    <sheet name="thisInning" sheetId="11" state="hidden" r:id="rId3"/>
    <sheet name="GuestHitterData" sheetId="17" r:id="rId4"/>
    <sheet name="HomeHitterData" sheetId="18" r:id="rId5"/>
    <sheet name="combobox" sheetId="8" state="hidden" r:id="rId6"/>
    <sheet name="GuestPitcherData" sheetId="13" r:id="rId7"/>
    <sheet name="HomePitcherData" sheetId="20" r:id="rId8"/>
    <sheet name="Lineup" sheetId="15" r:id="rId9"/>
    <sheet name="team" sheetId="16" state="hidden" r:id="rId10"/>
    <sheet name="Roster" sheetId="19" state="hidden" r:id="rId11"/>
    <sheet name="video" sheetId="21" r:id="rId12"/>
    <sheet name="Setup" sheetId="22" r:id="rId13"/>
    <sheet name="Delay" sheetId="23" r:id="rId14"/>
    <sheet name="Everyone" sheetId="24" state="hidden" r:id="rId15"/>
  </sheets>
  <functionGroups builtInGroupCount="19"/>
  <externalReferences>
    <externalReference r:id="rId16"/>
    <externalReference r:id="rId17"/>
    <externalReference r:id="rId18"/>
  </externalReferences>
  <definedNames>
    <definedName name="_xlnm._FilterDatabase" localSheetId="1" hidden="1">'GuestAttackPlay-by-Play'!$A$1:$BH$286</definedName>
    <definedName name="_xlnm._FilterDatabase" localSheetId="0" hidden="1">'HomeAttackPlay-by-Play'!$A$1:$BH$289</definedName>
    <definedName name="ball">'HomeAttackPlay-by-Play'!$Q:$Q</definedName>
    <definedName name="GT_9">Roster!$J$30:$L$39</definedName>
    <definedName name="GTN" localSheetId="14">[1]Roster!#REF!</definedName>
    <definedName name="GTN">Roster!#REF!</definedName>
    <definedName name="guest" localSheetId="3">#REF!</definedName>
    <definedName name="guest" localSheetId="4">#REF!</definedName>
    <definedName name="guest" localSheetId="7">#REF!</definedName>
    <definedName name="guest">#REF!</definedName>
    <definedName name="guests" localSheetId="3">#REF!</definedName>
    <definedName name="guests" localSheetId="4">#REF!</definedName>
    <definedName name="guests" localSheetId="7">#REF!</definedName>
    <definedName name="guests">#REF!</definedName>
    <definedName name="home" localSheetId="3">#REF!</definedName>
    <definedName name="home" localSheetId="4">#REF!</definedName>
    <definedName name="home" localSheetId="7">#REF!</definedName>
    <definedName name="home">#REF!</definedName>
    <definedName name="homes" localSheetId="3">#REF!</definedName>
    <definedName name="homes" localSheetId="4">#REF!</definedName>
    <definedName name="homes" localSheetId="7">#REF!</definedName>
    <definedName name="homes">#REF!</definedName>
    <definedName name="homet" localSheetId="3">#REF!</definedName>
    <definedName name="homet" localSheetId="4">#REF!</definedName>
    <definedName name="homet" localSheetId="7">#REF!</definedName>
    <definedName name="homet">#REF!</definedName>
    <definedName name="HT_9">Roster!$B$30:$D$39</definedName>
    <definedName name="HTN">Roster!$C$3:$D$26</definedName>
    <definedName name="I.P">'HomeAttackPlay-by-Play'!$D$2:$D$479</definedName>
    <definedName name="NX">'HomeAttackPlay-by-Play'!$N:$N</definedName>
    <definedName name="OY">'HomeAttackPlay-by-Play'!$O:$O</definedName>
    <definedName name="playtime">'GuestAttackPlay-by-Play'!$AU:$AU</definedName>
    <definedName name="Score">thisInning!$E$2:$P$3</definedName>
    <definedName name="Umpire" localSheetId="3">#REF!</definedName>
    <definedName name="Umpire" localSheetId="4">#REF!</definedName>
    <definedName name="Umpire" localSheetId="7">#REF!</definedName>
    <definedName name="Umpire">#REF!</definedName>
    <definedName name="Umpire1" localSheetId="3">#REF!</definedName>
    <definedName name="Umpire1" localSheetId="4">#REF!</definedName>
    <definedName name="Umpire1" localSheetId="7">#REF!</definedName>
    <definedName name="Umpire1">#REF!</definedName>
    <definedName name="守備">combobox!$B$2:$B$6</definedName>
    <definedName name="守備位置">combobox!$C$2:$C$10</definedName>
    <definedName name="守備位置2">combobox!$C$2:$C$11</definedName>
    <definedName name="投打習慣">combobox!$A$2:$A$11</definedName>
    <definedName name="曾陶鎔" localSheetId="14">[2]Roster!#REF!</definedName>
    <definedName name="曾陶鎔">[3]Roster!#REF!</definedName>
  </definedNames>
  <calcPr calcId="191029"/>
</workbook>
</file>

<file path=xl/calcChain.xml><?xml version="1.0" encoding="utf-8"?>
<calcChain xmlns="http://schemas.openxmlformats.org/spreadsheetml/2006/main">
  <c r="BK4" i="9" l="1"/>
  <c r="BK5" i="9"/>
  <c r="BK6" i="9"/>
  <c r="BK7" i="9"/>
  <c r="BK8" i="9"/>
  <c r="BK9" i="9"/>
  <c r="BK10" i="9"/>
  <c r="BK11" i="9"/>
  <c r="BK12" i="9"/>
  <c r="BK13" i="9"/>
  <c r="BK14" i="9"/>
  <c r="BK15" i="9"/>
  <c r="BK16" i="9"/>
  <c r="BK17" i="9"/>
  <c r="BK18" i="9"/>
  <c r="BK19" i="9"/>
  <c r="BK20" i="9"/>
  <c r="BK21" i="9"/>
  <c r="BK22" i="9"/>
  <c r="BK23" i="9"/>
  <c r="BK2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AY4" i="9"/>
  <c r="AY5" i="9"/>
  <c r="AY6" i="9"/>
  <c r="AY7" i="9"/>
  <c r="AY8" i="9"/>
  <c r="AY9" i="9"/>
  <c r="AY10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AY63" i="9"/>
  <c r="AY64" i="9"/>
  <c r="AY65" i="9"/>
  <c r="AY66" i="9"/>
  <c r="AY67" i="9"/>
  <c r="AY68" i="9"/>
  <c r="AY69" i="9"/>
  <c r="AY70" i="9"/>
  <c r="AY71" i="9"/>
  <c r="AY72" i="9"/>
  <c r="AY73" i="9"/>
  <c r="AY74" i="9"/>
  <c r="AY75" i="9"/>
  <c r="AY76" i="9"/>
  <c r="AY77" i="9"/>
  <c r="AY78" i="9"/>
  <c r="AY79" i="9"/>
  <c r="AY80" i="9"/>
  <c r="AY81" i="9"/>
  <c r="AY82" i="9"/>
  <c r="AY83" i="9"/>
  <c r="AY84" i="9"/>
  <c r="AY85" i="9"/>
  <c r="AY86" i="9"/>
  <c r="AY87" i="9"/>
  <c r="AY88" i="9"/>
  <c r="AY89" i="9"/>
  <c r="AY90" i="9"/>
  <c r="AY91" i="9"/>
  <c r="AY92" i="9"/>
  <c r="AY93" i="9"/>
  <c r="AY94" i="9"/>
  <c r="AY95" i="9"/>
  <c r="AY96" i="9"/>
  <c r="AY97" i="9"/>
  <c r="AY98" i="9"/>
  <c r="AY99" i="9"/>
  <c r="AY100" i="9"/>
  <c r="AY101" i="9"/>
  <c r="AY102" i="9"/>
  <c r="AY103" i="9"/>
  <c r="AY104" i="9"/>
  <c r="AY105" i="9"/>
  <c r="AY106" i="9"/>
  <c r="AY107" i="9"/>
  <c r="AY108" i="9"/>
  <c r="AY109" i="9"/>
  <c r="AY110" i="9"/>
  <c r="AY111" i="9"/>
  <c r="AY112" i="9"/>
  <c r="AY113" i="9"/>
  <c r="AY114" i="9"/>
  <c r="AY115" i="9"/>
  <c r="AY116" i="9"/>
  <c r="AY117" i="9"/>
  <c r="AY118" i="9"/>
  <c r="AY119" i="9"/>
  <c r="AY120" i="9"/>
  <c r="AY121" i="9"/>
  <c r="AY122" i="9"/>
  <c r="AY123" i="9"/>
  <c r="AY124" i="9"/>
  <c r="AY125" i="9"/>
  <c r="AY126" i="9"/>
  <c r="AY127" i="9"/>
  <c r="AY128" i="9"/>
  <c r="AY129" i="9"/>
  <c r="AY130" i="9"/>
  <c r="AY131" i="9"/>
  <c r="AY132" i="9"/>
  <c r="AY133" i="9"/>
  <c r="AY134" i="9"/>
  <c r="AY135" i="9"/>
  <c r="AY136" i="9"/>
  <c r="AY137" i="9"/>
  <c r="AY138" i="9"/>
  <c r="AY139" i="9"/>
  <c r="AY140" i="9"/>
  <c r="AY141" i="9"/>
  <c r="AY142" i="9"/>
  <c r="AY143" i="9"/>
  <c r="AY144" i="9"/>
  <c r="AY145" i="9"/>
  <c r="AY146" i="9"/>
  <c r="AY147" i="9"/>
  <c r="AY148" i="9"/>
  <c r="AY149" i="9"/>
  <c r="AY150" i="9"/>
  <c r="AY151" i="9"/>
  <c r="AY152" i="9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32" i="10"/>
  <c r="BK33" i="10"/>
  <c r="BK34" i="10"/>
  <c r="BK35" i="10"/>
  <c r="BK36" i="10"/>
  <c r="BK37" i="10"/>
  <c r="BK38" i="10"/>
  <c r="BK39" i="10"/>
  <c r="BK40" i="10"/>
  <c r="BK41" i="10"/>
  <c r="BK42" i="10"/>
  <c r="BK43" i="10"/>
  <c r="BK44" i="10"/>
  <c r="BK45" i="10"/>
  <c r="BK46" i="10"/>
  <c r="BK47" i="10"/>
  <c r="BK48" i="10"/>
  <c r="BK49" i="10"/>
  <c r="BK50" i="10"/>
  <c r="BK51" i="10"/>
  <c r="BK52" i="10"/>
  <c r="BK53" i="10"/>
  <c r="BK54" i="10"/>
  <c r="BK55" i="10"/>
  <c r="BK56" i="10"/>
  <c r="BK57" i="10"/>
  <c r="BK58" i="10"/>
  <c r="BK59" i="10"/>
  <c r="BK60" i="10"/>
  <c r="BK61" i="10"/>
  <c r="BK62" i="10"/>
  <c r="BK63" i="10"/>
  <c r="BK64" i="10"/>
  <c r="BK65" i="10"/>
  <c r="BK66" i="10"/>
  <c r="BK67" i="10"/>
  <c r="BK68" i="10"/>
  <c r="BK69" i="10"/>
  <c r="BK70" i="10"/>
  <c r="BK71" i="10"/>
  <c r="BK72" i="10"/>
  <c r="BK73" i="10"/>
  <c r="BK74" i="10"/>
  <c r="BK75" i="10"/>
  <c r="BK76" i="10"/>
  <c r="BK77" i="10"/>
  <c r="BK78" i="10"/>
  <c r="BK79" i="10"/>
  <c r="BK80" i="10"/>
  <c r="BK81" i="10"/>
  <c r="BK82" i="10"/>
  <c r="BK83" i="10"/>
  <c r="BK84" i="10"/>
  <c r="BK85" i="10"/>
  <c r="BK86" i="10"/>
  <c r="BK87" i="10"/>
  <c r="BK88" i="10"/>
  <c r="BK89" i="10"/>
  <c r="BK90" i="10"/>
  <c r="BK91" i="10"/>
  <c r="BK92" i="10"/>
  <c r="BK93" i="10"/>
  <c r="BK94" i="10"/>
  <c r="BK95" i="10"/>
  <c r="BK96" i="10"/>
  <c r="BK97" i="10"/>
  <c r="BK98" i="10"/>
  <c r="BK99" i="10"/>
  <c r="BK100" i="10"/>
  <c r="BK101" i="10"/>
  <c r="BK102" i="10"/>
  <c r="BK103" i="10"/>
  <c r="BK104" i="10"/>
  <c r="BK105" i="10"/>
  <c r="BK106" i="10"/>
  <c r="BK107" i="10"/>
  <c r="BK108" i="10"/>
  <c r="BK109" i="10"/>
  <c r="BK110" i="10"/>
  <c r="BK111" i="10"/>
  <c r="BK112" i="10"/>
  <c r="BK113" i="10"/>
  <c r="BK114" i="10"/>
  <c r="BK115" i="10"/>
  <c r="BK116" i="10"/>
  <c r="BK117" i="10"/>
  <c r="BK118" i="10"/>
  <c r="BK119" i="10"/>
  <c r="BK120" i="10"/>
  <c r="BK121" i="10"/>
  <c r="BK122" i="10"/>
  <c r="BK123" i="10"/>
  <c r="BK124" i="10"/>
  <c r="BK125" i="10"/>
  <c r="BK126" i="10"/>
  <c r="BK127" i="10"/>
  <c r="BK128" i="10"/>
  <c r="BK129" i="10"/>
  <c r="BK130" i="10"/>
  <c r="BK131" i="10"/>
  <c r="BK132" i="10"/>
  <c r="BK133" i="10"/>
  <c r="BK134" i="10"/>
  <c r="BK135" i="10"/>
  <c r="BK136" i="10"/>
  <c r="BK137" i="10"/>
  <c r="BK138" i="10"/>
  <c r="BK139" i="10"/>
  <c r="BK140" i="10"/>
  <c r="BK141" i="10"/>
  <c r="BK142" i="10"/>
  <c r="BK143" i="10"/>
  <c r="BK144" i="10"/>
  <c r="BK145" i="10"/>
  <c r="BK146" i="10"/>
  <c r="BK147" i="10"/>
  <c r="BK148" i="10"/>
  <c r="BK149" i="10"/>
  <c r="BK150" i="10"/>
  <c r="BK151" i="10"/>
  <c r="BK152" i="10"/>
  <c r="BK153" i="10"/>
  <c r="BK154" i="10"/>
  <c r="BK155" i="10"/>
  <c r="BK156" i="10"/>
  <c r="BK157" i="10"/>
  <c r="BK158" i="10"/>
  <c r="BK159" i="10"/>
  <c r="BK160" i="10"/>
  <c r="BK161" i="10"/>
  <c r="BK162" i="10"/>
  <c r="BK163" i="10"/>
  <c r="BK164" i="10"/>
  <c r="BK165" i="10"/>
  <c r="BK166" i="10"/>
  <c r="BK167" i="10"/>
  <c r="BK168" i="10"/>
  <c r="BK169" i="10"/>
  <c r="BK170" i="10"/>
  <c r="BK171" i="10"/>
  <c r="BK172" i="10"/>
  <c r="BK173" i="10"/>
  <c r="BK174" i="10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33" i="10"/>
  <c r="AY34" i="10"/>
  <c r="AY35" i="10"/>
  <c r="AY36" i="10"/>
  <c r="AY37" i="10"/>
  <c r="AY38" i="10"/>
  <c r="AY39" i="10"/>
  <c r="AY40" i="10"/>
  <c r="AY41" i="10"/>
  <c r="AY42" i="10"/>
  <c r="AY43" i="10"/>
  <c r="AY44" i="10"/>
  <c r="AY45" i="10"/>
  <c r="AY46" i="10"/>
  <c r="AY47" i="10"/>
  <c r="AY48" i="10"/>
  <c r="AY49" i="10"/>
  <c r="AY50" i="10"/>
  <c r="AY51" i="10"/>
  <c r="AY52" i="10"/>
  <c r="AY53" i="10"/>
  <c r="AY54" i="10"/>
  <c r="AY55" i="10"/>
  <c r="AY56" i="10"/>
  <c r="AY57" i="10"/>
  <c r="AY58" i="10"/>
  <c r="AY59" i="10"/>
  <c r="AY60" i="10"/>
  <c r="AY61" i="10"/>
  <c r="AY62" i="10"/>
  <c r="AY63" i="10"/>
  <c r="AY64" i="10"/>
  <c r="AY65" i="10"/>
  <c r="AY66" i="10"/>
  <c r="AY67" i="10"/>
  <c r="AY68" i="10"/>
  <c r="AY69" i="10"/>
  <c r="AY70" i="10"/>
  <c r="AY71" i="10"/>
  <c r="AY72" i="10"/>
  <c r="AY73" i="10"/>
  <c r="AY74" i="10"/>
  <c r="AY75" i="10"/>
  <c r="AY76" i="10"/>
  <c r="AY77" i="10"/>
  <c r="AY78" i="10"/>
  <c r="AY79" i="10"/>
  <c r="AY80" i="10"/>
  <c r="AY81" i="10"/>
  <c r="AY82" i="10"/>
  <c r="AY83" i="10"/>
  <c r="AY84" i="10"/>
  <c r="AY85" i="10"/>
  <c r="AY86" i="10"/>
  <c r="AY87" i="10"/>
  <c r="AY88" i="10"/>
  <c r="AY89" i="10"/>
  <c r="AY90" i="10"/>
  <c r="AY91" i="10"/>
  <c r="AY92" i="10"/>
  <c r="AY93" i="10"/>
  <c r="AY94" i="10"/>
  <c r="AY95" i="10"/>
  <c r="AY96" i="10"/>
  <c r="AY97" i="10"/>
  <c r="AY98" i="10"/>
  <c r="AY99" i="10"/>
  <c r="AY100" i="10"/>
  <c r="AY101" i="10"/>
  <c r="AY102" i="10"/>
  <c r="AY103" i="10"/>
  <c r="AY104" i="10"/>
  <c r="AY105" i="10"/>
  <c r="AY106" i="10"/>
  <c r="AY107" i="10"/>
  <c r="AY108" i="10"/>
  <c r="AY109" i="10"/>
  <c r="AY110" i="10"/>
  <c r="AY111" i="10"/>
  <c r="AY112" i="10"/>
  <c r="AY113" i="10"/>
  <c r="AY114" i="10"/>
  <c r="AY115" i="10"/>
  <c r="AY116" i="10"/>
  <c r="AY117" i="10"/>
  <c r="AY118" i="10"/>
  <c r="AY119" i="10"/>
  <c r="AY120" i="10"/>
  <c r="AY121" i="10"/>
  <c r="AY122" i="10"/>
  <c r="AY123" i="10"/>
  <c r="AY124" i="10"/>
  <c r="AY125" i="10"/>
  <c r="AY126" i="10"/>
  <c r="AY127" i="10"/>
  <c r="AY128" i="10"/>
  <c r="AY129" i="10"/>
  <c r="AY130" i="10"/>
  <c r="AY131" i="10"/>
  <c r="AY132" i="10"/>
  <c r="AY133" i="10"/>
  <c r="AY134" i="10"/>
  <c r="AY135" i="10"/>
  <c r="AY136" i="10"/>
  <c r="AY137" i="10"/>
  <c r="AY138" i="10"/>
  <c r="AY139" i="10"/>
  <c r="AY140" i="10"/>
  <c r="AY141" i="10"/>
  <c r="AY142" i="10"/>
  <c r="AY143" i="10"/>
  <c r="AY144" i="10"/>
  <c r="AY145" i="10"/>
  <c r="AY146" i="10"/>
  <c r="AY147" i="10"/>
  <c r="AY148" i="10"/>
  <c r="AY149" i="10"/>
  <c r="AY150" i="10"/>
  <c r="AY151" i="10"/>
  <c r="AY152" i="10"/>
  <c r="AY153" i="10"/>
  <c r="AY154" i="10"/>
  <c r="AY155" i="10"/>
  <c r="AY156" i="10"/>
  <c r="AY157" i="10"/>
  <c r="AY158" i="10"/>
  <c r="AY159" i="10"/>
  <c r="AY160" i="10"/>
  <c r="AY161" i="10"/>
  <c r="AY162" i="10"/>
  <c r="AY163" i="10"/>
  <c r="AY164" i="10"/>
  <c r="AY165" i="10"/>
  <c r="AY166" i="10"/>
  <c r="AY167" i="10"/>
  <c r="AY168" i="10"/>
  <c r="AY169" i="10"/>
  <c r="AY170" i="10"/>
  <c r="AY171" i="10"/>
  <c r="AY172" i="10"/>
  <c r="AY173" i="10"/>
  <c r="CG289" i="9"/>
  <c r="CF289" i="9"/>
  <c r="CE289" i="9"/>
  <c r="CD289" i="9"/>
  <c r="CG288" i="9"/>
  <c r="CF288" i="9"/>
  <c r="CE288" i="9"/>
  <c r="CD288" i="9"/>
  <c r="CG287" i="9"/>
  <c r="CF287" i="9"/>
  <c r="CE287" i="9"/>
  <c r="CD287" i="9"/>
  <c r="CG286" i="9"/>
  <c r="CF286" i="9"/>
  <c r="CE286" i="9"/>
  <c r="CD286" i="9"/>
  <c r="CG285" i="9"/>
  <c r="CF285" i="9"/>
  <c r="CE285" i="9"/>
  <c r="CD285" i="9"/>
  <c r="CG284" i="9"/>
  <c r="CF284" i="9"/>
  <c r="CE284" i="9"/>
  <c r="CD284" i="9"/>
  <c r="CG283" i="9"/>
  <c r="CF283" i="9"/>
  <c r="CE283" i="9"/>
  <c r="CD283" i="9"/>
  <c r="CG282" i="9"/>
  <c r="CF282" i="9"/>
  <c r="CE282" i="9"/>
  <c r="CD282" i="9"/>
  <c r="CG281" i="9"/>
  <c r="CF281" i="9"/>
  <c r="CE281" i="9"/>
  <c r="CD281" i="9"/>
  <c r="CG280" i="9"/>
  <c r="CF280" i="9"/>
  <c r="CE280" i="9"/>
  <c r="CD280" i="9"/>
  <c r="CG279" i="9"/>
  <c r="CF279" i="9"/>
  <c r="CE279" i="9"/>
  <c r="CD279" i="9"/>
  <c r="CG278" i="9"/>
  <c r="CF278" i="9"/>
  <c r="CE278" i="9"/>
  <c r="CD278" i="9"/>
  <c r="CG277" i="9"/>
  <c r="CF277" i="9"/>
  <c r="CE277" i="9"/>
  <c r="CD277" i="9"/>
  <c r="CG276" i="9"/>
  <c r="CF276" i="9"/>
  <c r="CE276" i="9"/>
  <c r="CD276" i="9"/>
  <c r="CG275" i="9"/>
  <c r="CF275" i="9"/>
  <c r="CE275" i="9"/>
  <c r="CD275" i="9"/>
  <c r="CG274" i="9"/>
  <c r="CF274" i="9"/>
  <c r="CE274" i="9"/>
  <c r="CD274" i="9"/>
  <c r="CG273" i="9"/>
  <c r="CF273" i="9"/>
  <c r="CE273" i="9"/>
  <c r="CD273" i="9"/>
  <c r="CG272" i="9"/>
  <c r="CF272" i="9"/>
  <c r="CE272" i="9"/>
  <c r="CD272" i="9"/>
  <c r="CG271" i="9"/>
  <c r="CF271" i="9"/>
  <c r="CE271" i="9"/>
  <c r="CD271" i="9"/>
  <c r="CG270" i="9"/>
  <c r="CF270" i="9"/>
  <c r="CE270" i="9"/>
  <c r="CD270" i="9"/>
  <c r="CG269" i="9"/>
  <c r="CF269" i="9"/>
  <c r="CE269" i="9"/>
  <c r="CD269" i="9"/>
  <c r="CG268" i="9"/>
  <c r="CF268" i="9"/>
  <c r="CE268" i="9"/>
  <c r="CD268" i="9"/>
  <c r="CG267" i="9"/>
  <c r="CF267" i="9"/>
  <c r="CE267" i="9"/>
  <c r="CD267" i="9"/>
  <c r="CG266" i="9"/>
  <c r="CF266" i="9"/>
  <c r="CE266" i="9"/>
  <c r="CD266" i="9"/>
  <c r="CG265" i="9"/>
  <c r="CF265" i="9"/>
  <c r="CE265" i="9"/>
  <c r="CD265" i="9"/>
  <c r="CG264" i="9"/>
  <c r="CF264" i="9"/>
  <c r="CE264" i="9"/>
  <c r="CD264" i="9"/>
  <c r="CG263" i="9"/>
  <c r="CF263" i="9"/>
  <c r="CE263" i="9"/>
  <c r="CD263" i="9"/>
  <c r="CG262" i="9"/>
  <c r="CF262" i="9"/>
  <c r="CE262" i="9"/>
  <c r="CD262" i="9"/>
  <c r="CG261" i="9"/>
  <c r="CF261" i="9"/>
  <c r="CE261" i="9"/>
  <c r="CD261" i="9"/>
  <c r="CG260" i="9"/>
  <c r="CF260" i="9"/>
  <c r="CE260" i="9"/>
  <c r="CD260" i="9"/>
  <c r="CG259" i="9"/>
  <c r="CF259" i="9"/>
  <c r="CE259" i="9"/>
  <c r="CD259" i="9"/>
  <c r="CG258" i="9"/>
  <c r="CF258" i="9"/>
  <c r="CE258" i="9"/>
  <c r="CD258" i="9"/>
  <c r="CG257" i="9"/>
  <c r="CF257" i="9"/>
  <c r="CE257" i="9"/>
  <c r="CD257" i="9"/>
  <c r="CG256" i="9"/>
  <c r="CF256" i="9"/>
  <c r="CE256" i="9"/>
  <c r="CD256" i="9"/>
  <c r="CG255" i="9"/>
  <c r="CF255" i="9"/>
  <c r="CE255" i="9"/>
  <c r="CD255" i="9"/>
  <c r="CG254" i="9"/>
  <c r="CF254" i="9"/>
  <c r="CE254" i="9"/>
  <c r="CD254" i="9"/>
  <c r="CG253" i="9"/>
  <c r="CF253" i="9"/>
  <c r="CE253" i="9"/>
  <c r="CD253" i="9"/>
  <c r="CG252" i="9"/>
  <c r="CF252" i="9"/>
  <c r="CE252" i="9"/>
  <c r="CD252" i="9"/>
  <c r="CG251" i="9"/>
  <c r="CF251" i="9"/>
  <c r="CE251" i="9"/>
  <c r="CD251" i="9"/>
  <c r="CG250" i="9"/>
  <c r="CF250" i="9"/>
  <c r="CE250" i="9"/>
  <c r="CD250" i="9"/>
  <c r="CG249" i="9"/>
  <c r="CF249" i="9"/>
  <c r="CE249" i="9"/>
  <c r="CD249" i="9"/>
  <c r="CG248" i="9"/>
  <c r="CF248" i="9"/>
  <c r="CE248" i="9"/>
  <c r="CD248" i="9"/>
  <c r="CG247" i="9"/>
  <c r="CF247" i="9"/>
  <c r="CE247" i="9"/>
  <c r="CD247" i="9"/>
  <c r="CG246" i="9"/>
  <c r="CF246" i="9"/>
  <c r="CE246" i="9"/>
  <c r="CD246" i="9"/>
  <c r="CG245" i="9"/>
  <c r="CF245" i="9"/>
  <c r="CE245" i="9"/>
  <c r="CD245" i="9"/>
  <c r="CG244" i="9"/>
  <c r="CF244" i="9"/>
  <c r="CE244" i="9"/>
  <c r="CD244" i="9"/>
  <c r="CG243" i="9"/>
  <c r="CF243" i="9"/>
  <c r="CE243" i="9"/>
  <c r="CD243" i="9"/>
  <c r="CG242" i="9"/>
  <c r="CF242" i="9"/>
  <c r="CE242" i="9"/>
  <c r="CD242" i="9"/>
  <c r="CG241" i="9"/>
  <c r="CF241" i="9"/>
  <c r="CE241" i="9"/>
  <c r="CD241" i="9"/>
  <c r="CG240" i="9"/>
  <c r="CF240" i="9"/>
  <c r="CE240" i="9"/>
  <c r="CD240" i="9"/>
  <c r="CG239" i="9"/>
  <c r="CF239" i="9"/>
  <c r="CE239" i="9"/>
  <c r="CD239" i="9"/>
  <c r="CG238" i="9"/>
  <c r="CF238" i="9"/>
  <c r="CE238" i="9"/>
  <c r="CD238" i="9"/>
  <c r="CG237" i="9"/>
  <c r="CF237" i="9"/>
  <c r="CE237" i="9"/>
  <c r="CD237" i="9"/>
  <c r="CG236" i="9"/>
  <c r="CF236" i="9"/>
  <c r="CE236" i="9"/>
  <c r="CD236" i="9"/>
  <c r="CG235" i="9"/>
  <c r="CF235" i="9"/>
  <c r="CE235" i="9"/>
  <c r="CD235" i="9"/>
  <c r="CG234" i="9"/>
  <c r="CF234" i="9"/>
  <c r="CE234" i="9"/>
  <c r="CD234" i="9"/>
  <c r="CG233" i="9"/>
  <c r="CF233" i="9"/>
  <c r="CE233" i="9"/>
  <c r="CD233" i="9"/>
  <c r="CG232" i="9"/>
  <c r="CF232" i="9"/>
  <c r="CE232" i="9"/>
  <c r="CD232" i="9"/>
  <c r="CG231" i="9"/>
  <c r="CF231" i="9"/>
  <c r="CE231" i="9"/>
  <c r="CD231" i="9"/>
  <c r="CG230" i="9"/>
  <c r="CF230" i="9"/>
  <c r="CE230" i="9"/>
  <c r="CD230" i="9"/>
  <c r="CG229" i="9"/>
  <c r="CF229" i="9"/>
  <c r="CE229" i="9"/>
  <c r="CD229" i="9"/>
  <c r="CG228" i="9"/>
  <c r="CF228" i="9"/>
  <c r="CE228" i="9"/>
  <c r="CD228" i="9"/>
  <c r="CG227" i="9"/>
  <c r="CF227" i="9"/>
  <c r="CE227" i="9"/>
  <c r="CD227" i="9"/>
  <c r="CG226" i="9"/>
  <c r="CF226" i="9"/>
  <c r="CE226" i="9"/>
  <c r="CD226" i="9"/>
  <c r="CG225" i="9"/>
  <c r="CF225" i="9"/>
  <c r="CE225" i="9"/>
  <c r="CD225" i="9"/>
  <c r="CG224" i="9"/>
  <c r="CF224" i="9"/>
  <c r="CE224" i="9"/>
  <c r="CD224" i="9"/>
  <c r="CG223" i="9"/>
  <c r="CF223" i="9"/>
  <c r="CE223" i="9"/>
  <c r="CD223" i="9"/>
  <c r="CG222" i="9"/>
  <c r="CF222" i="9"/>
  <c r="CE222" i="9"/>
  <c r="CD222" i="9"/>
  <c r="CG221" i="9"/>
  <c r="CF221" i="9"/>
  <c r="CE221" i="9"/>
  <c r="CD221" i="9"/>
  <c r="CG220" i="9"/>
  <c r="CF220" i="9"/>
  <c r="CE220" i="9"/>
  <c r="CD220" i="9"/>
  <c r="CG219" i="9"/>
  <c r="CF219" i="9"/>
  <c r="CE219" i="9"/>
  <c r="CD219" i="9"/>
  <c r="CG218" i="9"/>
  <c r="CF218" i="9"/>
  <c r="CE218" i="9"/>
  <c r="CD218" i="9"/>
  <c r="CG217" i="9"/>
  <c r="CF217" i="9"/>
  <c r="CE217" i="9"/>
  <c r="CD217" i="9"/>
  <c r="CG216" i="9"/>
  <c r="CF216" i="9"/>
  <c r="CE216" i="9"/>
  <c r="CD216" i="9"/>
  <c r="CG215" i="9"/>
  <c r="CF215" i="9"/>
  <c r="CE215" i="9"/>
  <c r="CD215" i="9"/>
  <c r="CG214" i="9"/>
  <c r="CF214" i="9"/>
  <c r="CE214" i="9"/>
  <c r="CD214" i="9"/>
  <c r="CG213" i="9"/>
  <c r="CF213" i="9"/>
  <c r="CE213" i="9"/>
  <c r="CD213" i="9"/>
  <c r="CG212" i="9"/>
  <c r="CF212" i="9"/>
  <c r="CE212" i="9"/>
  <c r="CD212" i="9"/>
  <c r="CG211" i="9"/>
  <c r="CF211" i="9"/>
  <c r="CE211" i="9"/>
  <c r="CD211" i="9"/>
  <c r="CG210" i="9"/>
  <c r="CF210" i="9"/>
  <c r="CE210" i="9"/>
  <c r="CD210" i="9"/>
  <c r="CG209" i="9"/>
  <c r="CF209" i="9"/>
  <c r="CE209" i="9"/>
  <c r="CD209" i="9"/>
  <c r="CG208" i="9"/>
  <c r="CF208" i="9"/>
  <c r="CE208" i="9"/>
  <c r="CD208" i="9"/>
  <c r="CG207" i="9"/>
  <c r="CF207" i="9"/>
  <c r="CE207" i="9"/>
  <c r="CD207" i="9"/>
  <c r="CG206" i="9"/>
  <c r="CF206" i="9"/>
  <c r="CE206" i="9"/>
  <c r="CD206" i="9"/>
  <c r="CG205" i="9"/>
  <c r="CF205" i="9"/>
  <c r="CE205" i="9"/>
  <c r="CD205" i="9"/>
  <c r="CG204" i="9"/>
  <c r="CF204" i="9"/>
  <c r="CE204" i="9"/>
  <c r="CD204" i="9"/>
  <c r="CG203" i="9"/>
  <c r="CF203" i="9"/>
  <c r="CE203" i="9"/>
  <c r="CD203" i="9"/>
  <c r="CG202" i="9"/>
  <c r="CF202" i="9"/>
  <c r="CE202" i="9"/>
  <c r="CD202" i="9"/>
  <c r="CG201" i="9"/>
  <c r="CF201" i="9"/>
  <c r="CE201" i="9"/>
  <c r="CD201" i="9"/>
  <c r="CG200" i="9"/>
  <c r="CF200" i="9"/>
  <c r="CE200" i="9"/>
  <c r="CD200" i="9"/>
  <c r="CG199" i="9"/>
  <c r="CF199" i="9"/>
  <c r="CE199" i="9"/>
  <c r="CD199" i="9"/>
  <c r="CG198" i="9"/>
  <c r="CF198" i="9"/>
  <c r="CE198" i="9"/>
  <c r="CD198" i="9"/>
  <c r="CG197" i="9"/>
  <c r="CF197" i="9"/>
  <c r="CE197" i="9"/>
  <c r="CD197" i="9"/>
  <c r="CG196" i="9"/>
  <c r="CF196" i="9"/>
  <c r="CE196" i="9"/>
  <c r="CD196" i="9"/>
  <c r="CG195" i="9"/>
  <c r="CF195" i="9"/>
  <c r="CE195" i="9"/>
  <c r="CD195" i="9"/>
  <c r="CG194" i="9"/>
  <c r="CF194" i="9"/>
  <c r="CE194" i="9"/>
  <c r="CD194" i="9"/>
  <c r="CG193" i="9"/>
  <c r="CF193" i="9"/>
  <c r="CE193" i="9"/>
  <c r="CD193" i="9"/>
  <c r="CG192" i="9"/>
  <c r="CF192" i="9"/>
  <c r="CE192" i="9"/>
  <c r="CD192" i="9"/>
  <c r="CG191" i="9"/>
  <c r="CF191" i="9"/>
  <c r="CE191" i="9"/>
  <c r="CD191" i="9"/>
  <c r="CG190" i="9"/>
  <c r="CF190" i="9"/>
  <c r="CE190" i="9"/>
  <c r="CD190" i="9"/>
  <c r="CG189" i="9"/>
  <c r="CF189" i="9"/>
  <c r="CE189" i="9"/>
  <c r="CD189" i="9"/>
  <c r="CG188" i="9"/>
  <c r="CF188" i="9"/>
  <c r="CE188" i="9"/>
  <c r="CD188" i="9"/>
  <c r="CG187" i="9"/>
  <c r="CF187" i="9"/>
  <c r="CE187" i="9"/>
  <c r="CD187" i="9"/>
  <c r="CG186" i="9"/>
  <c r="CF186" i="9"/>
  <c r="CE186" i="9"/>
  <c r="CD186" i="9"/>
  <c r="CG185" i="9"/>
  <c r="CF185" i="9"/>
  <c r="CE185" i="9"/>
  <c r="CD185" i="9"/>
  <c r="CG184" i="9"/>
  <c r="CF184" i="9"/>
  <c r="CE184" i="9"/>
  <c r="CD184" i="9"/>
  <c r="CG183" i="9"/>
  <c r="CF183" i="9"/>
  <c r="CE183" i="9"/>
  <c r="CD183" i="9"/>
  <c r="CG182" i="9"/>
  <c r="CF182" i="9"/>
  <c r="CE182" i="9"/>
  <c r="CD182" i="9"/>
  <c r="CG181" i="9"/>
  <c r="CF181" i="9"/>
  <c r="CE181" i="9"/>
  <c r="CD181" i="9"/>
  <c r="CG180" i="9"/>
  <c r="CF180" i="9"/>
  <c r="CE180" i="9"/>
  <c r="CD180" i="9"/>
  <c r="CG179" i="9"/>
  <c r="CF179" i="9"/>
  <c r="CE179" i="9"/>
  <c r="CD179" i="9"/>
  <c r="CG178" i="9"/>
  <c r="CF178" i="9"/>
  <c r="CE178" i="9"/>
  <c r="CD178" i="9"/>
  <c r="CG177" i="9"/>
  <c r="CF177" i="9"/>
  <c r="CE177" i="9"/>
  <c r="CD177" i="9"/>
  <c r="CG176" i="9"/>
  <c r="CF176" i="9"/>
  <c r="CE176" i="9"/>
  <c r="CD176" i="9"/>
  <c r="CG175" i="9"/>
  <c r="CF175" i="9"/>
  <c r="CE175" i="9"/>
  <c r="CD175" i="9"/>
  <c r="CG174" i="9"/>
  <c r="CF174" i="9"/>
  <c r="CE174" i="9"/>
  <c r="CD174" i="9"/>
  <c r="CG173" i="9"/>
  <c r="CF173" i="9"/>
  <c r="CE173" i="9"/>
  <c r="CD173" i="9"/>
  <c r="CG172" i="9"/>
  <c r="CF172" i="9"/>
  <c r="CE172" i="9"/>
  <c r="CD172" i="9"/>
  <c r="CG171" i="9"/>
  <c r="CF171" i="9"/>
  <c r="CE171" i="9"/>
  <c r="CD171" i="9"/>
  <c r="CG170" i="9"/>
  <c r="CF170" i="9"/>
  <c r="CE170" i="9"/>
  <c r="CD170" i="9"/>
  <c r="CG169" i="9"/>
  <c r="CF169" i="9"/>
  <c r="CE169" i="9"/>
  <c r="CD169" i="9"/>
  <c r="CG168" i="9"/>
  <c r="CF168" i="9"/>
  <c r="CE168" i="9"/>
  <c r="CD168" i="9"/>
  <c r="CG167" i="9"/>
  <c r="CF167" i="9"/>
  <c r="CE167" i="9"/>
  <c r="CD167" i="9"/>
  <c r="CG166" i="9"/>
  <c r="CF166" i="9"/>
  <c r="CE166" i="9"/>
  <c r="CD166" i="9"/>
  <c r="CG165" i="9"/>
  <c r="CF165" i="9"/>
  <c r="CE165" i="9"/>
  <c r="CD165" i="9"/>
  <c r="CG164" i="9"/>
  <c r="CF164" i="9"/>
  <c r="CE164" i="9"/>
  <c r="CD164" i="9"/>
  <c r="CG163" i="9"/>
  <c r="CF163" i="9"/>
  <c r="CE163" i="9"/>
  <c r="CD163" i="9"/>
  <c r="CG162" i="9"/>
  <c r="CF162" i="9"/>
  <c r="CE162" i="9"/>
  <c r="CD162" i="9"/>
  <c r="CG161" i="9"/>
  <c r="CF161" i="9"/>
  <c r="CE161" i="9"/>
  <c r="CD161" i="9"/>
  <c r="CG160" i="9"/>
  <c r="CF160" i="9"/>
  <c r="CE160" i="9"/>
  <c r="CD160" i="9"/>
  <c r="CG159" i="9"/>
  <c r="CF159" i="9"/>
  <c r="CE159" i="9"/>
  <c r="CD159" i="9"/>
  <c r="CG158" i="9"/>
  <c r="CF158" i="9"/>
  <c r="CE158" i="9"/>
  <c r="CD158" i="9"/>
  <c r="CG157" i="9"/>
  <c r="CF157" i="9"/>
  <c r="CE157" i="9"/>
  <c r="CD157" i="9"/>
  <c r="CG156" i="9"/>
  <c r="CF156" i="9"/>
  <c r="CE156" i="9"/>
  <c r="CD156" i="9"/>
  <c r="CG155" i="9"/>
  <c r="CF155" i="9"/>
  <c r="CE155" i="9"/>
  <c r="CD155" i="9"/>
  <c r="CG154" i="9"/>
  <c r="CF154" i="9"/>
  <c r="CE154" i="9"/>
  <c r="CD154" i="9"/>
  <c r="CG153" i="9"/>
  <c r="CF153" i="9"/>
  <c r="CE153" i="9"/>
  <c r="CD153" i="9"/>
  <c r="CG152" i="9"/>
  <c r="CF152" i="9"/>
  <c r="CE152" i="9"/>
  <c r="CD152" i="9"/>
  <c r="CG151" i="9"/>
  <c r="CF151" i="9"/>
  <c r="CE151" i="9"/>
  <c r="CD151" i="9"/>
  <c r="CG150" i="9"/>
  <c r="CF150" i="9"/>
  <c r="CE150" i="9"/>
  <c r="CD150" i="9"/>
  <c r="CG149" i="9"/>
  <c r="CF149" i="9"/>
  <c r="CE149" i="9"/>
  <c r="CD149" i="9"/>
  <c r="CG148" i="9"/>
  <c r="CF148" i="9"/>
  <c r="CE148" i="9"/>
  <c r="CD148" i="9"/>
  <c r="CG147" i="9"/>
  <c r="CF147" i="9"/>
  <c r="CE147" i="9"/>
  <c r="CD147" i="9"/>
  <c r="CG146" i="9"/>
  <c r="CF146" i="9"/>
  <c r="CE146" i="9"/>
  <c r="CD146" i="9"/>
  <c r="CG145" i="9"/>
  <c r="CF145" i="9"/>
  <c r="CE145" i="9"/>
  <c r="CD145" i="9"/>
  <c r="CG144" i="9"/>
  <c r="CF144" i="9"/>
  <c r="CE144" i="9"/>
  <c r="CD144" i="9"/>
  <c r="CG143" i="9"/>
  <c r="CF143" i="9"/>
  <c r="CE143" i="9"/>
  <c r="CD143" i="9"/>
  <c r="CG142" i="9"/>
  <c r="CF142" i="9"/>
  <c r="CE142" i="9"/>
  <c r="CD142" i="9"/>
  <c r="CG141" i="9"/>
  <c r="CF141" i="9"/>
  <c r="CE141" i="9"/>
  <c r="CD141" i="9"/>
  <c r="CG140" i="9"/>
  <c r="CF140" i="9"/>
  <c r="CE140" i="9"/>
  <c r="CD140" i="9"/>
  <c r="CG139" i="9"/>
  <c r="CF139" i="9"/>
  <c r="CE139" i="9"/>
  <c r="CD139" i="9"/>
  <c r="CG138" i="9"/>
  <c r="CF138" i="9"/>
  <c r="CE138" i="9"/>
  <c r="CD138" i="9"/>
  <c r="CG137" i="9"/>
  <c r="CF137" i="9"/>
  <c r="CE137" i="9"/>
  <c r="CD137" i="9"/>
  <c r="CG136" i="9"/>
  <c r="CF136" i="9"/>
  <c r="CE136" i="9"/>
  <c r="CD136" i="9"/>
  <c r="CG135" i="9"/>
  <c r="CF135" i="9"/>
  <c r="CE135" i="9"/>
  <c r="CD135" i="9"/>
  <c r="CG134" i="9"/>
  <c r="CF134" i="9"/>
  <c r="CE134" i="9"/>
  <c r="CD134" i="9"/>
  <c r="CG133" i="9"/>
  <c r="CF133" i="9"/>
  <c r="CE133" i="9"/>
  <c r="CD133" i="9"/>
  <c r="CG132" i="9"/>
  <c r="CF132" i="9"/>
  <c r="CE132" i="9"/>
  <c r="CD132" i="9"/>
  <c r="CG131" i="9"/>
  <c r="CF131" i="9"/>
  <c r="CE131" i="9"/>
  <c r="CD131" i="9"/>
  <c r="CG130" i="9"/>
  <c r="CF130" i="9"/>
  <c r="CE130" i="9"/>
  <c r="CD130" i="9"/>
  <c r="CG129" i="9"/>
  <c r="CF129" i="9"/>
  <c r="CE129" i="9"/>
  <c r="CD129" i="9"/>
  <c r="CG128" i="9"/>
  <c r="CF128" i="9"/>
  <c r="CE128" i="9"/>
  <c r="CD128" i="9"/>
  <c r="CG127" i="9"/>
  <c r="CF127" i="9"/>
  <c r="CE127" i="9"/>
  <c r="CD127" i="9"/>
  <c r="CG126" i="9"/>
  <c r="CF126" i="9"/>
  <c r="CE126" i="9"/>
  <c r="CD126" i="9"/>
  <c r="CG125" i="9"/>
  <c r="CF125" i="9"/>
  <c r="CE125" i="9"/>
  <c r="CD125" i="9"/>
  <c r="CG124" i="9"/>
  <c r="CF124" i="9"/>
  <c r="CE124" i="9"/>
  <c r="CD124" i="9"/>
  <c r="CG123" i="9"/>
  <c r="CF123" i="9"/>
  <c r="CE123" i="9"/>
  <c r="CD123" i="9"/>
  <c r="CG122" i="9"/>
  <c r="CF122" i="9"/>
  <c r="CE122" i="9"/>
  <c r="CD122" i="9"/>
  <c r="CG121" i="9"/>
  <c r="CF121" i="9"/>
  <c r="CE121" i="9"/>
  <c r="CD121" i="9"/>
  <c r="CG120" i="9"/>
  <c r="CF120" i="9"/>
  <c r="CE120" i="9"/>
  <c r="CD120" i="9"/>
  <c r="CG119" i="9"/>
  <c r="CF119" i="9"/>
  <c r="CE119" i="9"/>
  <c r="CD119" i="9"/>
  <c r="CG118" i="9"/>
  <c r="CF118" i="9"/>
  <c r="CE118" i="9"/>
  <c r="CD118" i="9"/>
  <c r="CG117" i="9"/>
  <c r="CF117" i="9"/>
  <c r="CE117" i="9"/>
  <c r="CD117" i="9"/>
  <c r="CG116" i="9"/>
  <c r="CF116" i="9"/>
  <c r="CE116" i="9"/>
  <c r="CD116" i="9"/>
  <c r="CG115" i="9"/>
  <c r="CF115" i="9"/>
  <c r="CE115" i="9"/>
  <c r="CD115" i="9"/>
  <c r="CG114" i="9"/>
  <c r="CF114" i="9"/>
  <c r="CE114" i="9"/>
  <c r="CD114" i="9"/>
  <c r="CG113" i="9"/>
  <c r="CF113" i="9"/>
  <c r="CE113" i="9"/>
  <c r="CD113" i="9"/>
  <c r="CG112" i="9"/>
  <c r="CF112" i="9"/>
  <c r="CE112" i="9"/>
  <c r="CD112" i="9"/>
  <c r="CG111" i="9"/>
  <c r="CF111" i="9"/>
  <c r="CE111" i="9"/>
  <c r="CD111" i="9"/>
  <c r="CG110" i="9"/>
  <c r="CF110" i="9"/>
  <c r="CE110" i="9"/>
  <c r="CD110" i="9"/>
  <c r="CG109" i="9"/>
  <c r="CF109" i="9"/>
  <c r="CE109" i="9"/>
  <c r="CD109" i="9"/>
  <c r="CG108" i="9"/>
  <c r="CF108" i="9"/>
  <c r="CE108" i="9"/>
  <c r="CD108" i="9"/>
  <c r="CG107" i="9"/>
  <c r="CF107" i="9"/>
  <c r="CE107" i="9"/>
  <c r="CD107" i="9"/>
  <c r="CG106" i="9"/>
  <c r="CF106" i="9"/>
  <c r="CE106" i="9"/>
  <c r="CD106" i="9"/>
  <c r="CG105" i="9"/>
  <c r="CF105" i="9"/>
  <c r="CE105" i="9"/>
  <c r="CD105" i="9"/>
  <c r="CG104" i="9"/>
  <c r="CF104" i="9"/>
  <c r="CE104" i="9"/>
  <c r="CD104" i="9"/>
  <c r="CG103" i="9"/>
  <c r="CF103" i="9"/>
  <c r="CE103" i="9"/>
  <c r="CD103" i="9"/>
  <c r="CG102" i="9"/>
  <c r="CF102" i="9"/>
  <c r="CE102" i="9"/>
  <c r="CD102" i="9"/>
  <c r="CG101" i="9"/>
  <c r="CF101" i="9"/>
  <c r="CE101" i="9"/>
  <c r="CD101" i="9"/>
  <c r="CG100" i="9"/>
  <c r="CF100" i="9"/>
  <c r="CE100" i="9"/>
  <c r="CD100" i="9"/>
  <c r="CG99" i="9"/>
  <c r="CF99" i="9"/>
  <c r="CE99" i="9"/>
  <c r="CD99" i="9"/>
  <c r="CG98" i="9"/>
  <c r="CF98" i="9"/>
  <c r="CE98" i="9"/>
  <c r="CD98" i="9"/>
  <c r="CG97" i="9"/>
  <c r="CF97" i="9"/>
  <c r="CE97" i="9"/>
  <c r="CD97" i="9"/>
  <c r="CG96" i="9"/>
  <c r="CF96" i="9"/>
  <c r="CE96" i="9"/>
  <c r="CD96" i="9"/>
  <c r="CG95" i="9"/>
  <c r="CF95" i="9"/>
  <c r="CE95" i="9"/>
  <c r="CD95" i="9"/>
  <c r="CG94" i="9"/>
  <c r="CF94" i="9"/>
  <c r="CE94" i="9"/>
  <c r="CD94" i="9"/>
  <c r="CG93" i="9"/>
  <c r="CF93" i="9"/>
  <c r="CE93" i="9"/>
  <c r="CD93" i="9"/>
  <c r="CG92" i="9"/>
  <c r="CF92" i="9"/>
  <c r="CE92" i="9"/>
  <c r="CD92" i="9"/>
  <c r="CG91" i="9"/>
  <c r="CF91" i="9"/>
  <c r="CE91" i="9"/>
  <c r="CD91" i="9"/>
  <c r="CG90" i="9"/>
  <c r="CF90" i="9"/>
  <c r="CE90" i="9"/>
  <c r="CD90" i="9"/>
  <c r="CG89" i="9"/>
  <c r="CF89" i="9"/>
  <c r="CE89" i="9"/>
  <c r="CD89" i="9"/>
  <c r="CG88" i="9"/>
  <c r="CF88" i="9"/>
  <c r="CE88" i="9"/>
  <c r="CD88" i="9"/>
  <c r="CG87" i="9"/>
  <c r="CF87" i="9"/>
  <c r="CE87" i="9"/>
  <c r="CD87" i="9"/>
  <c r="CG86" i="9"/>
  <c r="CF86" i="9"/>
  <c r="CE86" i="9"/>
  <c r="CD86" i="9"/>
  <c r="CG85" i="9"/>
  <c r="CF85" i="9"/>
  <c r="CE85" i="9"/>
  <c r="CD85" i="9"/>
  <c r="CG84" i="9"/>
  <c r="CF84" i="9"/>
  <c r="CE84" i="9"/>
  <c r="CD84" i="9"/>
  <c r="CG83" i="9"/>
  <c r="CF83" i="9"/>
  <c r="CE83" i="9"/>
  <c r="CD83" i="9"/>
  <c r="CG82" i="9"/>
  <c r="CF82" i="9"/>
  <c r="CE82" i="9"/>
  <c r="CD82" i="9"/>
  <c r="CG81" i="9"/>
  <c r="CF81" i="9"/>
  <c r="CE81" i="9"/>
  <c r="CD81" i="9"/>
  <c r="CG80" i="9"/>
  <c r="CF80" i="9"/>
  <c r="CE80" i="9"/>
  <c r="CD80" i="9"/>
  <c r="CG79" i="9"/>
  <c r="CF79" i="9"/>
  <c r="CE79" i="9"/>
  <c r="CD79" i="9"/>
  <c r="CG78" i="9"/>
  <c r="CF78" i="9"/>
  <c r="CE78" i="9"/>
  <c r="CD78" i="9"/>
  <c r="CG77" i="9"/>
  <c r="CF77" i="9"/>
  <c r="CE77" i="9"/>
  <c r="CD77" i="9"/>
  <c r="CG76" i="9"/>
  <c r="CF76" i="9"/>
  <c r="CE76" i="9"/>
  <c r="CD76" i="9"/>
  <c r="CG75" i="9"/>
  <c r="CF75" i="9"/>
  <c r="CE75" i="9"/>
  <c r="CD75" i="9"/>
  <c r="CG74" i="9"/>
  <c r="CF74" i="9"/>
  <c r="CE74" i="9"/>
  <c r="CD74" i="9"/>
  <c r="CG73" i="9"/>
  <c r="CF73" i="9"/>
  <c r="CE73" i="9"/>
  <c r="CD73" i="9"/>
  <c r="CG72" i="9"/>
  <c r="CF72" i="9"/>
  <c r="CE72" i="9"/>
  <c r="CD72" i="9"/>
  <c r="CG71" i="9"/>
  <c r="CF71" i="9"/>
  <c r="CE71" i="9"/>
  <c r="CD71" i="9"/>
  <c r="CG70" i="9"/>
  <c r="CF70" i="9"/>
  <c r="CE70" i="9"/>
  <c r="CD70" i="9"/>
  <c r="CG69" i="9"/>
  <c r="CF69" i="9"/>
  <c r="CE69" i="9"/>
  <c r="CD69" i="9"/>
  <c r="CG68" i="9"/>
  <c r="CF68" i="9"/>
  <c r="CE68" i="9"/>
  <c r="CD68" i="9"/>
  <c r="CG67" i="9"/>
  <c r="CF67" i="9"/>
  <c r="CE67" i="9"/>
  <c r="CD67" i="9"/>
  <c r="CG66" i="9"/>
  <c r="CF66" i="9"/>
  <c r="CE66" i="9"/>
  <c r="CD66" i="9"/>
  <c r="CG65" i="9"/>
  <c r="CF65" i="9"/>
  <c r="CE65" i="9"/>
  <c r="CD65" i="9"/>
  <c r="CG64" i="9"/>
  <c r="CF64" i="9"/>
  <c r="CE64" i="9"/>
  <c r="CD64" i="9"/>
  <c r="CG63" i="9"/>
  <c r="CF63" i="9"/>
  <c r="CE63" i="9"/>
  <c r="CD63" i="9"/>
  <c r="CG62" i="9"/>
  <c r="CF62" i="9"/>
  <c r="CE62" i="9"/>
  <c r="CD62" i="9"/>
  <c r="CG61" i="9"/>
  <c r="CF61" i="9"/>
  <c r="CE61" i="9"/>
  <c r="CD61" i="9"/>
  <c r="CG60" i="9"/>
  <c r="CF60" i="9"/>
  <c r="CE60" i="9"/>
  <c r="CD60" i="9"/>
  <c r="CG59" i="9"/>
  <c r="CF59" i="9"/>
  <c r="CE59" i="9"/>
  <c r="CD59" i="9"/>
  <c r="CG58" i="9"/>
  <c r="CF58" i="9"/>
  <c r="CE58" i="9"/>
  <c r="CD58" i="9"/>
  <c r="CG57" i="9"/>
  <c r="CF57" i="9"/>
  <c r="CE57" i="9"/>
  <c r="CD57" i="9"/>
  <c r="CG56" i="9"/>
  <c r="CF56" i="9"/>
  <c r="CE56" i="9"/>
  <c r="CD56" i="9"/>
  <c r="CG55" i="9"/>
  <c r="CF55" i="9"/>
  <c r="CE55" i="9"/>
  <c r="CD55" i="9"/>
  <c r="CG54" i="9"/>
  <c r="CF54" i="9"/>
  <c r="CE54" i="9"/>
  <c r="CD54" i="9"/>
  <c r="CG53" i="9"/>
  <c r="CF53" i="9"/>
  <c r="CE53" i="9"/>
  <c r="CD53" i="9"/>
  <c r="CG52" i="9"/>
  <c r="CF52" i="9"/>
  <c r="CE52" i="9"/>
  <c r="CD52" i="9"/>
  <c r="CG51" i="9"/>
  <c r="CF51" i="9"/>
  <c r="CE51" i="9"/>
  <c r="CD51" i="9"/>
  <c r="CG50" i="9"/>
  <c r="CF50" i="9"/>
  <c r="CE50" i="9"/>
  <c r="CD50" i="9"/>
  <c r="CG49" i="9"/>
  <c r="CF49" i="9"/>
  <c r="CE49" i="9"/>
  <c r="CD49" i="9"/>
  <c r="CG48" i="9"/>
  <c r="CF48" i="9"/>
  <c r="CE48" i="9"/>
  <c r="CD48" i="9"/>
  <c r="CG47" i="9"/>
  <c r="CF47" i="9"/>
  <c r="CE47" i="9"/>
  <c r="CD47" i="9"/>
  <c r="CG46" i="9"/>
  <c r="CF46" i="9"/>
  <c r="CE46" i="9"/>
  <c r="CD46" i="9"/>
  <c r="CG45" i="9"/>
  <c r="CF45" i="9"/>
  <c r="CE45" i="9"/>
  <c r="CD45" i="9"/>
  <c r="CG44" i="9"/>
  <c r="CF44" i="9"/>
  <c r="CE44" i="9"/>
  <c r="CD44" i="9"/>
  <c r="CG43" i="9"/>
  <c r="CF43" i="9"/>
  <c r="CE43" i="9"/>
  <c r="CD43" i="9"/>
  <c r="CG42" i="9"/>
  <c r="CF42" i="9"/>
  <c r="CE42" i="9"/>
  <c r="CD42" i="9"/>
  <c r="CG41" i="9"/>
  <c r="CF41" i="9"/>
  <c r="CE41" i="9"/>
  <c r="CD41" i="9"/>
  <c r="CG40" i="9"/>
  <c r="CF40" i="9"/>
  <c r="CE40" i="9"/>
  <c r="CD40" i="9"/>
  <c r="CG39" i="9"/>
  <c r="CF39" i="9"/>
  <c r="CE39" i="9"/>
  <c r="CD39" i="9"/>
  <c r="CG38" i="9"/>
  <c r="CF38" i="9"/>
  <c r="CE38" i="9"/>
  <c r="CD38" i="9"/>
  <c r="CG37" i="9"/>
  <c r="CF37" i="9"/>
  <c r="CE37" i="9"/>
  <c r="CD37" i="9"/>
  <c r="CG36" i="9"/>
  <c r="CF36" i="9"/>
  <c r="CE36" i="9"/>
  <c r="CD36" i="9"/>
  <c r="CG35" i="9"/>
  <c r="CF35" i="9"/>
  <c r="CE35" i="9"/>
  <c r="CD35" i="9"/>
  <c r="CG34" i="9"/>
  <c r="CF34" i="9"/>
  <c r="CE34" i="9"/>
  <c r="CD34" i="9"/>
  <c r="CG33" i="9"/>
  <c r="CF33" i="9"/>
  <c r="CE33" i="9"/>
  <c r="CD33" i="9"/>
  <c r="CG32" i="9"/>
  <c r="CF32" i="9"/>
  <c r="CE32" i="9"/>
  <c r="CD32" i="9"/>
  <c r="CG31" i="9"/>
  <c r="CF31" i="9"/>
  <c r="CE31" i="9"/>
  <c r="CD31" i="9"/>
  <c r="CG30" i="9"/>
  <c r="CF30" i="9"/>
  <c r="CE30" i="9"/>
  <c r="CD30" i="9"/>
  <c r="CG29" i="9"/>
  <c r="CF29" i="9"/>
  <c r="CE29" i="9"/>
  <c r="CD29" i="9"/>
  <c r="CG28" i="9"/>
  <c r="CF28" i="9"/>
  <c r="CE28" i="9"/>
  <c r="CD28" i="9"/>
  <c r="CG27" i="9"/>
  <c r="CF27" i="9"/>
  <c r="CE27" i="9"/>
  <c r="CD27" i="9"/>
  <c r="CG26" i="9"/>
  <c r="CF26" i="9"/>
  <c r="CE26" i="9"/>
  <c r="CD26" i="9"/>
  <c r="CG25" i="9"/>
  <c r="CF25" i="9"/>
  <c r="CE25" i="9"/>
  <c r="CD25" i="9"/>
  <c r="CG24" i="9"/>
  <c r="CF24" i="9"/>
  <c r="CE24" i="9"/>
  <c r="CD24" i="9"/>
  <c r="CG23" i="9"/>
  <c r="CF23" i="9"/>
  <c r="CE23" i="9"/>
  <c r="CD23" i="9"/>
  <c r="CG22" i="9"/>
  <c r="CF22" i="9"/>
  <c r="CE22" i="9"/>
  <c r="CD22" i="9"/>
  <c r="CG21" i="9"/>
  <c r="CF21" i="9"/>
  <c r="CE21" i="9"/>
  <c r="CD21" i="9"/>
  <c r="CG20" i="9"/>
  <c r="CF20" i="9"/>
  <c r="CE20" i="9"/>
  <c r="CD20" i="9"/>
  <c r="CG19" i="9"/>
  <c r="CF19" i="9"/>
  <c r="CE19" i="9"/>
  <c r="CD19" i="9"/>
  <c r="CG18" i="9"/>
  <c r="CF18" i="9"/>
  <c r="CE18" i="9"/>
  <c r="CD18" i="9"/>
  <c r="CG17" i="9"/>
  <c r="CF17" i="9"/>
  <c r="CE17" i="9"/>
  <c r="CD17" i="9"/>
  <c r="CG16" i="9"/>
  <c r="CF16" i="9"/>
  <c r="CE16" i="9"/>
  <c r="CD16" i="9"/>
  <c r="CG15" i="9"/>
  <c r="CF15" i="9"/>
  <c r="CE15" i="9"/>
  <c r="CD15" i="9"/>
  <c r="CG14" i="9"/>
  <c r="CF14" i="9"/>
  <c r="CE14" i="9"/>
  <c r="CD14" i="9"/>
  <c r="CG13" i="9"/>
  <c r="CF13" i="9"/>
  <c r="CE13" i="9"/>
  <c r="CD13" i="9"/>
  <c r="CG12" i="9"/>
  <c r="CF12" i="9"/>
  <c r="CE12" i="9"/>
  <c r="CD12" i="9"/>
  <c r="CG11" i="9"/>
  <c r="CF11" i="9"/>
  <c r="CE11" i="9"/>
  <c r="CD11" i="9"/>
  <c r="CG10" i="9"/>
  <c r="CF10" i="9"/>
  <c r="CE10" i="9"/>
  <c r="CD10" i="9"/>
  <c r="CG9" i="9"/>
  <c r="CF9" i="9"/>
  <c r="CE9" i="9"/>
  <c r="CD9" i="9"/>
  <c r="CG8" i="9"/>
  <c r="CF8" i="9"/>
  <c r="CE8" i="9"/>
  <c r="CD8" i="9"/>
  <c r="CG7" i="9"/>
  <c r="CF7" i="9"/>
  <c r="CE7" i="9"/>
  <c r="CD7" i="9"/>
  <c r="CG6" i="9"/>
  <c r="CF6" i="9"/>
  <c r="CE6" i="9"/>
  <c r="CD6" i="9"/>
  <c r="CG5" i="9"/>
  <c r="CF5" i="9"/>
  <c r="CE5" i="9"/>
  <c r="CD5" i="9"/>
  <c r="CG4" i="9"/>
  <c r="CF4" i="9"/>
  <c r="CE4" i="9"/>
  <c r="CD4" i="9"/>
  <c r="CG3" i="9"/>
  <c r="CF3" i="9"/>
  <c r="CE3" i="9"/>
  <c r="CD3" i="9"/>
  <c r="CG2" i="9"/>
  <c r="CF2" i="9"/>
  <c r="CE2" i="9"/>
  <c r="CD2" i="9"/>
  <c r="CE3" i="10"/>
  <c r="CE4" i="10"/>
  <c r="CE5" i="10"/>
  <c r="CE6" i="10"/>
  <c r="CE7" i="10"/>
  <c r="CE8" i="10"/>
  <c r="CE9" i="10"/>
  <c r="CE10" i="10"/>
  <c r="CE11" i="10"/>
  <c r="CE12" i="10"/>
  <c r="CE13" i="10"/>
  <c r="CE14" i="10"/>
  <c r="CE15" i="10"/>
  <c r="CE16" i="10"/>
  <c r="CE17" i="10"/>
  <c r="CE18" i="10"/>
  <c r="CE19" i="10"/>
  <c r="CE20" i="10"/>
  <c r="CE21" i="10"/>
  <c r="CE22" i="10"/>
  <c r="CE23" i="10"/>
  <c r="CE24" i="10"/>
  <c r="CE25" i="10"/>
  <c r="CE26" i="10"/>
  <c r="CE27" i="10"/>
  <c r="CE28" i="10"/>
  <c r="CE29" i="10"/>
  <c r="CE30" i="10"/>
  <c r="CE31" i="10"/>
  <c r="CE32" i="10"/>
  <c r="CE33" i="10"/>
  <c r="CE34" i="10"/>
  <c r="CE35" i="10"/>
  <c r="CE36" i="10"/>
  <c r="CE37" i="10"/>
  <c r="CE38" i="10"/>
  <c r="CE39" i="10"/>
  <c r="CE40" i="10"/>
  <c r="CE41" i="10"/>
  <c r="CE42" i="10"/>
  <c r="CE43" i="10"/>
  <c r="CE44" i="10"/>
  <c r="CE45" i="10"/>
  <c r="CE46" i="10"/>
  <c r="CE47" i="10"/>
  <c r="CE48" i="10"/>
  <c r="CE49" i="10"/>
  <c r="CE50" i="10"/>
  <c r="CE51" i="10"/>
  <c r="CE52" i="10"/>
  <c r="CE53" i="10"/>
  <c r="CE54" i="10"/>
  <c r="CE55" i="10"/>
  <c r="CE56" i="10"/>
  <c r="CE57" i="10"/>
  <c r="CE58" i="10"/>
  <c r="CE59" i="10"/>
  <c r="CE60" i="10"/>
  <c r="CE61" i="10"/>
  <c r="CE62" i="10"/>
  <c r="CE63" i="10"/>
  <c r="CE64" i="10"/>
  <c r="CE65" i="10"/>
  <c r="CE66" i="10"/>
  <c r="CE67" i="10"/>
  <c r="CE68" i="10"/>
  <c r="CE69" i="10"/>
  <c r="CE70" i="10"/>
  <c r="CE71" i="10"/>
  <c r="CE72" i="10"/>
  <c r="CE73" i="10"/>
  <c r="CE74" i="10"/>
  <c r="CE75" i="10"/>
  <c r="CE76" i="10"/>
  <c r="CE77" i="10"/>
  <c r="CE78" i="10"/>
  <c r="CE79" i="10"/>
  <c r="CE80" i="10"/>
  <c r="CE81" i="10"/>
  <c r="CE82" i="10"/>
  <c r="CE83" i="10"/>
  <c r="CE84" i="10"/>
  <c r="CE85" i="10"/>
  <c r="CE86" i="10"/>
  <c r="CE87" i="10"/>
  <c r="CE88" i="10"/>
  <c r="CE89" i="10"/>
  <c r="CE90" i="10"/>
  <c r="CE91" i="10"/>
  <c r="CE92" i="10"/>
  <c r="CE93" i="10"/>
  <c r="CE94" i="10"/>
  <c r="CE95" i="10"/>
  <c r="CE96" i="10"/>
  <c r="CE97" i="10"/>
  <c r="CE98" i="10"/>
  <c r="CE99" i="10"/>
  <c r="CE100" i="10"/>
  <c r="CE101" i="10"/>
  <c r="CE102" i="10"/>
  <c r="CE103" i="10"/>
  <c r="CE104" i="10"/>
  <c r="CE105" i="10"/>
  <c r="CE106" i="10"/>
  <c r="CE107" i="10"/>
  <c r="CE108" i="10"/>
  <c r="CE109" i="10"/>
  <c r="CE110" i="10"/>
  <c r="CE111" i="10"/>
  <c r="CE112" i="10"/>
  <c r="CE113" i="10"/>
  <c r="CE114" i="10"/>
  <c r="CE115" i="10"/>
  <c r="CE116" i="10"/>
  <c r="CE117" i="10"/>
  <c r="CE118" i="10"/>
  <c r="CE119" i="10"/>
  <c r="CE120" i="10"/>
  <c r="CE121" i="10"/>
  <c r="CE122" i="10"/>
  <c r="CE123" i="10"/>
  <c r="CE124" i="10"/>
  <c r="CE125" i="10"/>
  <c r="CE126" i="10"/>
  <c r="CE127" i="10"/>
  <c r="CE128" i="10"/>
  <c r="CE129" i="10"/>
  <c r="CE130" i="10"/>
  <c r="CE131" i="10"/>
  <c r="CE132" i="10"/>
  <c r="CE133" i="10"/>
  <c r="CE134" i="10"/>
  <c r="CE135" i="10"/>
  <c r="CE136" i="10"/>
  <c r="CE137" i="10"/>
  <c r="CE138" i="10"/>
  <c r="CE139" i="10"/>
  <c r="CE140" i="10"/>
  <c r="CE141" i="10"/>
  <c r="CE142" i="10"/>
  <c r="CE143" i="10"/>
  <c r="CE144" i="10"/>
  <c r="CE145" i="10"/>
  <c r="CE146" i="10"/>
  <c r="CE147" i="10"/>
  <c r="CE148" i="10"/>
  <c r="CE149" i="10"/>
  <c r="CE150" i="10"/>
  <c r="CE151" i="10"/>
  <c r="CE152" i="10"/>
  <c r="CE153" i="10"/>
  <c r="CE154" i="10"/>
  <c r="CE155" i="10"/>
  <c r="CE156" i="10"/>
  <c r="CE157" i="10"/>
  <c r="CE158" i="10"/>
  <c r="CE159" i="10"/>
  <c r="CE160" i="10"/>
  <c r="CE161" i="10"/>
  <c r="CE162" i="10"/>
  <c r="CE163" i="10"/>
  <c r="CE164" i="10"/>
  <c r="CE165" i="10"/>
  <c r="CE166" i="10"/>
  <c r="CE167" i="10"/>
  <c r="CE168" i="10"/>
  <c r="CE169" i="10"/>
  <c r="CE170" i="10"/>
  <c r="CE171" i="10"/>
  <c r="CE172" i="10"/>
  <c r="CE173" i="10"/>
  <c r="CE174" i="10"/>
  <c r="CE175" i="10"/>
  <c r="CE176" i="10"/>
  <c r="CE177" i="10"/>
  <c r="CE178" i="10"/>
  <c r="CE179" i="10"/>
  <c r="CE180" i="10"/>
  <c r="CE181" i="10"/>
  <c r="CE182" i="10"/>
  <c r="CE183" i="10"/>
  <c r="CE184" i="10"/>
  <c r="CE185" i="10"/>
  <c r="CE186" i="10"/>
  <c r="CE187" i="10"/>
  <c r="CE188" i="10"/>
  <c r="CE189" i="10"/>
  <c r="CE190" i="10"/>
  <c r="CE191" i="10"/>
  <c r="CE192" i="10"/>
  <c r="CE193" i="10"/>
  <c r="CE194" i="10"/>
  <c r="CE195" i="10"/>
  <c r="CE196" i="10"/>
  <c r="CE197" i="10"/>
  <c r="CE198" i="10"/>
  <c r="CE199" i="10"/>
  <c r="CE200" i="10"/>
  <c r="CE201" i="10"/>
  <c r="CE202" i="10"/>
  <c r="CE203" i="10"/>
  <c r="CE204" i="10"/>
  <c r="CE205" i="10"/>
  <c r="CE206" i="10"/>
  <c r="CE207" i="10"/>
  <c r="CE208" i="10"/>
  <c r="CE209" i="10"/>
  <c r="CE210" i="10"/>
  <c r="CE211" i="10"/>
  <c r="CE212" i="10"/>
  <c r="CE213" i="10"/>
  <c r="CE214" i="10"/>
  <c r="CE215" i="10"/>
  <c r="CE216" i="10"/>
  <c r="CE217" i="10"/>
  <c r="CE218" i="10"/>
  <c r="CE219" i="10"/>
  <c r="CE220" i="10"/>
  <c r="CE221" i="10"/>
  <c r="CE222" i="10"/>
  <c r="CE223" i="10"/>
  <c r="CE224" i="10"/>
  <c r="CE225" i="10"/>
  <c r="CE226" i="10"/>
  <c r="CE227" i="10"/>
  <c r="CE228" i="10"/>
  <c r="CE229" i="10"/>
  <c r="CE230" i="10"/>
  <c r="CE231" i="10"/>
  <c r="CE232" i="10"/>
  <c r="CE233" i="10"/>
  <c r="CE234" i="10"/>
  <c r="CE235" i="10"/>
  <c r="CE236" i="10"/>
  <c r="CE237" i="10"/>
  <c r="CE238" i="10"/>
  <c r="CE239" i="10"/>
  <c r="CE240" i="10"/>
  <c r="CE241" i="10"/>
  <c r="CE242" i="10"/>
  <c r="CE243" i="10"/>
  <c r="CE244" i="10"/>
  <c r="CE245" i="10"/>
  <c r="CE246" i="10"/>
  <c r="CE247" i="10"/>
  <c r="CE248" i="10"/>
  <c r="CE249" i="10"/>
  <c r="CE250" i="10"/>
  <c r="CE251" i="10"/>
  <c r="CE252" i="10"/>
  <c r="CE253" i="10"/>
  <c r="CE254" i="10"/>
  <c r="CE255" i="10"/>
  <c r="CE256" i="10"/>
  <c r="CE257" i="10"/>
  <c r="CE258" i="10"/>
  <c r="CE259" i="10"/>
  <c r="CE260" i="10"/>
  <c r="CE261" i="10"/>
  <c r="CE262" i="10"/>
  <c r="CE263" i="10"/>
  <c r="CE264" i="10"/>
  <c r="CE265" i="10"/>
  <c r="CE266" i="10"/>
  <c r="CE267" i="10"/>
  <c r="CE268" i="10"/>
  <c r="CE269" i="10"/>
  <c r="CE270" i="10"/>
  <c r="CE271" i="10"/>
  <c r="CE272" i="10"/>
  <c r="CE273" i="10"/>
  <c r="CE274" i="10"/>
  <c r="CE275" i="10"/>
  <c r="CE276" i="10"/>
  <c r="CE277" i="10"/>
  <c r="CE278" i="10"/>
  <c r="CE279" i="10"/>
  <c r="CE280" i="10"/>
  <c r="CE281" i="10"/>
  <c r="CE282" i="10"/>
  <c r="CE283" i="10"/>
  <c r="CE284" i="10"/>
  <c r="CE285" i="10"/>
  <c r="CE286" i="10"/>
  <c r="CE2" i="10"/>
  <c r="CD268" i="10"/>
  <c r="CF268" i="10"/>
  <c r="CG268" i="10"/>
  <c r="CD269" i="10"/>
  <c r="CF269" i="10"/>
  <c r="CG269" i="10"/>
  <c r="CD270" i="10"/>
  <c r="CF270" i="10"/>
  <c r="CG270" i="10"/>
  <c r="CD271" i="10"/>
  <c r="CF271" i="10"/>
  <c r="CG271" i="10"/>
  <c r="CD272" i="10"/>
  <c r="CF272" i="10"/>
  <c r="CG272" i="10"/>
  <c r="CD273" i="10"/>
  <c r="CF273" i="10"/>
  <c r="CG273" i="10"/>
  <c r="CD274" i="10"/>
  <c r="CF274" i="10"/>
  <c r="CG274" i="10"/>
  <c r="CD275" i="10"/>
  <c r="CF275" i="10"/>
  <c r="CG275" i="10"/>
  <c r="CD276" i="10"/>
  <c r="CF276" i="10"/>
  <c r="CG276" i="10"/>
  <c r="CD277" i="10"/>
  <c r="CF277" i="10"/>
  <c r="CG277" i="10"/>
  <c r="CD278" i="10"/>
  <c r="CF278" i="10"/>
  <c r="CG278" i="10"/>
  <c r="CD279" i="10"/>
  <c r="CF279" i="10"/>
  <c r="CG279" i="10"/>
  <c r="CD280" i="10"/>
  <c r="CF280" i="10"/>
  <c r="CG280" i="10"/>
  <c r="CD281" i="10"/>
  <c r="CF281" i="10"/>
  <c r="CG281" i="10"/>
  <c r="CD282" i="10"/>
  <c r="CF282" i="10"/>
  <c r="CG282" i="10"/>
  <c r="CD283" i="10"/>
  <c r="CF283" i="10"/>
  <c r="CG283" i="10"/>
  <c r="CD284" i="10"/>
  <c r="CF284" i="10"/>
  <c r="CG284" i="10"/>
  <c r="CD285" i="10"/>
  <c r="CF285" i="10"/>
  <c r="CG285" i="10"/>
  <c r="CD286" i="10"/>
  <c r="CF286" i="10"/>
  <c r="CG286" i="10"/>
  <c r="CF3" i="10"/>
  <c r="CG3" i="10"/>
  <c r="CF4" i="10"/>
  <c r="CG4" i="10"/>
  <c r="CF5" i="10"/>
  <c r="CG5" i="10"/>
  <c r="CF6" i="10"/>
  <c r="CG6" i="10"/>
  <c r="CF7" i="10"/>
  <c r="CG7" i="10"/>
  <c r="CF8" i="10"/>
  <c r="CG8" i="10"/>
  <c r="CF9" i="10"/>
  <c r="CG9" i="10"/>
  <c r="CF10" i="10"/>
  <c r="CG10" i="10"/>
  <c r="CF11" i="10"/>
  <c r="CG11" i="10"/>
  <c r="CF12" i="10"/>
  <c r="CG12" i="10"/>
  <c r="CF13" i="10"/>
  <c r="CG13" i="10"/>
  <c r="CF14" i="10"/>
  <c r="CG14" i="10"/>
  <c r="CF15" i="10"/>
  <c r="CG15" i="10"/>
  <c r="CF16" i="10"/>
  <c r="CG16" i="10"/>
  <c r="CF17" i="10"/>
  <c r="CG17" i="10"/>
  <c r="CF18" i="10"/>
  <c r="CG18" i="10"/>
  <c r="CF19" i="10"/>
  <c r="CG19" i="10"/>
  <c r="CF20" i="10"/>
  <c r="CG20" i="10"/>
  <c r="CF21" i="10"/>
  <c r="CG21" i="10"/>
  <c r="CF22" i="10"/>
  <c r="CG22" i="10"/>
  <c r="CF23" i="10"/>
  <c r="CG23" i="10"/>
  <c r="CF24" i="10"/>
  <c r="CG24" i="10"/>
  <c r="CF25" i="10"/>
  <c r="CG25" i="10"/>
  <c r="CF26" i="10"/>
  <c r="CG26" i="10"/>
  <c r="CF27" i="10"/>
  <c r="CG27" i="10"/>
  <c r="CF28" i="10"/>
  <c r="CG28" i="10"/>
  <c r="CF29" i="10"/>
  <c r="CG29" i="10"/>
  <c r="CF30" i="10"/>
  <c r="CG30" i="10"/>
  <c r="CF31" i="10"/>
  <c r="CG31" i="10"/>
  <c r="CF32" i="10"/>
  <c r="CG32" i="10"/>
  <c r="CF33" i="10"/>
  <c r="CG33" i="10"/>
  <c r="CF34" i="10"/>
  <c r="CG34" i="10"/>
  <c r="CF35" i="10"/>
  <c r="CG35" i="10"/>
  <c r="CF36" i="10"/>
  <c r="CG36" i="10"/>
  <c r="CF37" i="10"/>
  <c r="CG37" i="10"/>
  <c r="CF38" i="10"/>
  <c r="CG38" i="10"/>
  <c r="CF39" i="10"/>
  <c r="CG39" i="10"/>
  <c r="CF40" i="10"/>
  <c r="CG40" i="10"/>
  <c r="CF41" i="10"/>
  <c r="CG41" i="10"/>
  <c r="CF42" i="10"/>
  <c r="CG42" i="10"/>
  <c r="CF43" i="10"/>
  <c r="CG43" i="10"/>
  <c r="CF44" i="10"/>
  <c r="CG44" i="10"/>
  <c r="CF45" i="10"/>
  <c r="CG45" i="10"/>
  <c r="CF46" i="10"/>
  <c r="CG46" i="10"/>
  <c r="CF47" i="10"/>
  <c r="CG47" i="10"/>
  <c r="CF48" i="10"/>
  <c r="CG48" i="10"/>
  <c r="CF49" i="10"/>
  <c r="CG49" i="10"/>
  <c r="CF50" i="10"/>
  <c r="CG50" i="10"/>
  <c r="CF51" i="10"/>
  <c r="CG51" i="10"/>
  <c r="CF52" i="10"/>
  <c r="CG52" i="10"/>
  <c r="CF53" i="10"/>
  <c r="CG53" i="10"/>
  <c r="CF54" i="10"/>
  <c r="CG54" i="10"/>
  <c r="CF55" i="10"/>
  <c r="CG55" i="10"/>
  <c r="CF56" i="10"/>
  <c r="CG56" i="10"/>
  <c r="CF57" i="10"/>
  <c r="CG57" i="10"/>
  <c r="CF58" i="10"/>
  <c r="CG58" i="10"/>
  <c r="CF59" i="10"/>
  <c r="CG59" i="10"/>
  <c r="CF60" i="10"/>
  <c r="CG60" i="10"/>
  <c r="CF61" i="10"/>
  <c r="CG61" i="10"/>
  <c r="CF62" i="10"/>
  <c r="CG62" i="10"/>
  <c r="CF63" i="10"/>
  <c r="CG63" i="10"/>
  <c r="CF64" i="10"/>
  <c r="CG64" i="10"/>
  <c r="CF65" i="10"/>
  <c r="CG65" i="10"/>
  <c r="CF66" i="10"/>
  <c r="CG66" i="10"/>
  <c r="CF67" i="10"/>
  <c r="CG67" i="10"/>
  <c r="CF68" i="10"/>
  <c r="CG68" i="10"/>
  <c r="CF69" i="10"/>
  <c r="CG69" i="10"/>
  <c r="CF70" i="10"/>
  <c r="CG70" i="10"/>
  <c r="CF71" i="10"/>
  <c r="CG71" i="10"/>
  <c r="CF72" i="10"/>
  <c r="CG72" i="10"/>
  <c r="CF73" i="10"/>
  <c r="CG73" i="10"/>
  <c r="CF74" i="10"/>
  <c r="CG74" i="10"/>
  <c r="CF75" i="10"/>
  <c r="CG75" i="10"/>
  <c r="CF76" i="10"/>
  <c r="CG76" i="10"/>
  <c r="CF77" i="10"/>
  <c r="CG77" i="10"/>
  <c r="CF78" i="10"/>
  <c r="CG78" i="10"/>
  <c r="CF79" i="10"/>
  <c r="CG79" i="10"/>
  <c r="CF80" i="10"/>
  <c r="CG80" i="10"/>
  <c r="CF81" i="10"/>
  <c r="CG81" i="10"/>
  <c r="CF82" i="10"/>
  <c r="CG82" i="10"/>
  <c r="CF83" i="10"/>
  <c r="CG83" i="10"/>
  <c r="CF84" i="10"/>
  <c r="CG84" i="10"/>
  <c r="CF85" i="10"/>
  <c r="CG85" i="10"/>
  <c r="CF86" i="10"/>
  <c r="CG86" i="10"/>
  <c r="CF87" i="10"/>
  <c r="CG87" i="10"/>
  <c r="CF88" i="10"/>
  <c r="CG88" i="10"/>
  <c r="CF89" i="10"/>
  <c r="CG89" i="10"/>
  <c r="CF90" i="10"/>
  <c r="CG90" i="10"/>
  <c r="CF91" i="10"/>
  <c r="CG91" i="10"/>
  <c r="CF92" i="10"/>
  <c r="CG92" i="10"/>
  <c r="CF93" i="10"/>
  <c r="CG93" i="10"/>
  <c r="CF94" i="10"/>
  <c r="CG94" i="10"/>
  <c r="CF95" i="10"/>
  <c r="CG95" i="10"/>
  <c r="CF96" i="10"/>
  <c r="CG96" i="10"/>
  <c r="CF97" i="10"/>
  <c r="CG97" i="10"/>
  <c r="CF98" i="10"/>
  <c r="CG98" i="10"/>
  <c r="CF99" i="10"/>
  <c r="CG99" i="10"/>
  <c r="CF100" i="10"/>
  <c r="CG100" i="10"/>
  <c r="CF101" i="10"/>
  <c r="CG101" i="10"/>
  <c r="CF102" i="10"/>
  <c r="CG102" i="10"/>
  <c r="CF103" i="10"/>
  <c r="CG103" i="10"/>
  <c r="CF104" i="10"/>
  <c r="CG104" i="10"/>
  <c r="CF105" i="10"/>
  <c r="CG105" i="10"/>
  <c r="CF106" i="10"/>
  <c r="CG106" i="10"/>
  <c r="CF107" i="10"/>
  <c r="CG107" i="10"/>
  <c r="CF108" i="10"/>
  <c r="CG108" i="10"/>
  <c r="CF109" i="10"/>
  <c r="CG109" i="10"/>
  <c r="CF110" i="10"/>
  <c r="CG110" i="10"/>
  <c r="CF111" i="10"/>
  <c r="CG111" i="10"/>
  <c r="CF112" i="10"/>
  <c r="CG112" i="10"/>
  <c r="CF113" i="10"/>
  <c r="CG113" i="10"/>
  <c r="CF114" i="10"/>
  <c r="CG114" i="10"/>
  <c r="CF115" i="10"/>
  <c r="CG115" i="10"/>
  <c r="CF116" i="10"/>
  <c r="CG116" i="10"/>
  <c r="CF117" i="10"/>
  <c r="CG117" i="10"/>
  <c r="CF118" i="10"/>
  <c r="CG118" i="10"/>
  <c r="CF119" i="10"/>
  <c r="CG119" i="10"/>
  <c r="CF120" i="10"/>
  <c r="CG120" i="10"/>
  <c r="CF121" i="10"/>
  <c r="CG121" i="10"/>
  <c r="CF122" i="10"/>
  <c r="CG122" i="10"/>
  <c r="CF123" i="10"/>
  <c r="CG123" i="10"/>
  <c r="CF124" i="10"/>
  <c r="CG124" i="10"/>
  <c r="CF125" i="10"/>
  <c r="CG125" i="10"/>
  <c r="CF126" i="10"/>
  <c r="CG126" i="10"/>
  <c r="CF127" i="10"/>
  <c r="CG127" i="10"/>
  <c r="CF128" i="10"/>
  <c r="CG128" i="10"/>
  <c r="CF129" i="10"/>
  <c r="CG129" i="10"/>
  <c r="CF130" i="10"/>
  <c r="CG130" i="10"/>
  <c r="CF131" i="10"/>
  <c r="CG131" i="10"/>
  <c r="CF132" i="10"/>
  <c r="CG132" i="10"/>
  <c r="CF133" i="10"/>
  <c r="CG133" i="10"/>
  <c r="CF134" i="10"/>
  <c r="CG134" i="10"/>
  <c r="CF135" i="10"/>
  <c r="CG135" i="10"/>
  <c r="CF136" i="10"/>
  <c r="CG136" i="10"/>
  <c r="CF137" i="10"/>
  <c r="CG137" i="10"/>
  <c r="CF138" i="10"/>
  <c r="CG138" i="10"/>
  <c r="CF139" i="10"/>
  <c r="CG139" i="10"/>
  <c r="CF140" i="10"/>
  <c r="CG140" i="10"/>
  <c r="CF141" i="10"/>
  <c r="CG141" i="10"/>
  <c r="CF142" i="10"/>
  <c r="CG142" i="10"/>
  <c r="CF143" i="10"/>
  <c r="CG143" i="10"/>
  <c r="CF144" i="10"/>
  <c r="CG144" i="10"/>
  <c r="CF145" i="10"/>
  <c r="CG145" i="10"/>
  <c r="CF146" i="10"/>
  <c r="CG146" i="10"/>
  <c r="CF147" i="10"/>
  <c r="CG147" i="10"/>
  <c r="CF148" i="10"/>
  <c r="CG148" i="10"/>
  <c r="CF149" i="10"/>
  <c r="CG149" i="10"/>
  <c r="CF150" i="10"/>
  <c r="CG150" i="10"/>
  <c r="CF151" i="10"/>
  <c r="CG151" i="10"/>
  <c r="CF152" i="10"/>
  <c r="CG152" i="10"/>
  <c r="CF153" i="10"/>
  <c r="CG153" i="10"/>
  <c r="CF154" i="10"/>
  <c r="CG154" i="10"/>
  <c r="CF155" i="10"/>
  <c r="CG155" i="10"/>
  <c r="CF156" i="10"/>
  <c r="CG156" i="10"/>
  <c r="CF157" i="10"/>
  <c r="CG157" i="10"/>
  <c r="CF158" i="10"/>
  <c r="CG158" i="10"/>
  <c r="CF159" i="10"/>
  <c r="CG159" i="10"/>
  <c r="CF160" i="10"/>
  <c r="CG160" i="10"/>
  <c r="CF161" i="10"/>
  <c r="CG161" i="10"/>
  <c r="CF162" i="10"/>
  <c r="CG162" i="10"/>
  <c r="CF163" i="10"/>
  <c r="CG163" i="10"/>
  <c r="CF164" i="10"/>
  <c r="CG164" i="10"/>
  <c r="CF165" i="10"/>
  <c r="CG165" i="10"/>
  <c r="CF166" i="10"/>
  <c r="CG166" i="10"/>
  <c r="CF167" i="10"/>
  <c r="CG167" i="10"/>
  <c r="CF168" i="10"/>
  <c r="CG168" i="10"/>
  <c r="CF169" i="10"/>
  <c r="CG169" i="10"/>
  <c r="CF170" i="10"/>
  <c r="CG170" i="10"/>
  <c r="CF171" i="10"/>
  <c r="CG171" i="10"/>
  <c r="CF172" i="10"/>
  <c r="CG172" i="10"/>
  <c r="CF173" i="10"/>
  <c r="CG173" i="10"/>
  <c r="CF174" i="10"/>
  <c r="CG174" i="10"/>
  <c r="CF175" i="10"/>
  <c r="CG175" i="10"/>
  <c r="CF176" i="10"/>
  <c r="CG176" i="10"/>
  <c r="CF177" i="10"/>
  <c r="CG177" i="10"/>
  <c r="CF178" i="10"/>
  <c r="CG178" i="10"/>
  <c r="CF179" i="10"/>
  <c r="CG179" i="10"/>
  <c r="CF180" i="10"/>
  <c r="CG180" i="10"/>
  <c r="CF181" i="10"/>
  <c r="CG181" i="10"/>
  <c r="CF182" i="10"/>
  <c r="CG182" i="10"/>
  <c r="CF183" i="10"/>
  <c r="CG183" i="10"/>
  <c r="CF184" i="10"/>
  <c r="CG184" i="10"/>
  <c r="CF185" i="10"/>
  <c r="CG185" i="10"/>
  <c r="CF186" i="10"/>
  <c r="CG186" i="10"/>
  <c r="CF187" i="10"/>
  <c r="CG187" i="10"/>
  <c r="CF188" i="10"/>
  <c r="CG188" i="10"/>
  <c r="CF189" i="10"/>
  <c r="CG189" i="10"/>
  <c r="CF190" i="10"/>
  <c r="CG190" i="10"/>
  <c r="CF191" i="10"/>
  <c r="CG191" i="10"/>
  <c r="CF192" i="10"/>
  <c r="CG192" i="10"/>
  <c r="CF193" i="10"/>
  <c r="CG193" i="10"/>
  <c r="CF194" i="10"/>
  <c r="CG194" i="10"/>
  <c r="CF195" i="10"/>
  <c r="CG195" i="10"/>
  <c r="CF196" i="10"/>
  <c r="CG196" i="10"/>
  <c r="CF197" i="10"/>
  <c r="CG197" i="10"/>
  <c r="CF198" i="10"/>
  <c r="CG198" i="10"/>
  <c r="CF199" i="10"/>
  <c r="CG199" i="10"/>
  <c r="CF200" i="10"/>
  <c r="CG200" i="10"/>
  <c r="CF201" i="10"/>
  <c r="CG201" i="10"/>
  <c r="CF202" i="10"/>
  <c r="CG202" i="10"/>
  <c r="CF203" i="10"/>
  <c r="CG203" i="10"/>
  <c r="CF204" i="10"/>
  <c r="CG204" i="10"/>
  <c r="CF205" i="10"/>
  <c r="CG205" i="10"/>
  <c r="CF206" i="10"/>
  <c r="CG206" i="10"/>
  <c r="CF207" i="10"/>
  <c r="CG207" i="10"/>
  <c r="CF208" i="10"/>
  <c r="CG208" i="10"/>
  <c r="CF209" i="10"/>
  <c r="CG209" i="10"/>
  <c r="CF210" i="10"/>
  <c r="CG210" i="10"/>
  <c r="CF211" i="10"/>
  <c r="CG211" i="10"/>
  <c r="CF212" i="10"/>
  <c r="CG212" i="10"/>
  <c r="CF213" i="10"/>
  <c r="CG213" i="10"/>
  <c r="CF214" i="10"/>
  <c r="CG214" i="10"/>
  <c r="CF215" i="10"/>
  <c r="CG215" i="10"/>
  <c r="CF216" i="10"/>
  <c r="CG216" i="10"/>
  <c r="CF217" i="10"/>
  <c r="CG217" i="10"/>
  <c r="CF218" i="10"/>
  <c r="CG218" i="10"/>
  <c r="CF219" i="10"/>
  <c r="CG219" i="10"/>
  <c r="CF220" i="10"/>
  <c r="CG220" i="10"/>
  <c r="CF221" i="10"/>
  <c r="CG221" i="10"/>
  <c r="CF222" i="10"/>
  <c r="CG222" i="10"/>
  <c r="CF223" i="10"/>
  <c r="CG223" i="10"/>
  <c r="CF224" i="10"/>
  <c r="CG224" i="10"/>
  <c r="CF225" i="10"/>
  <c r="CG225" i="10"/>
  <c r="CF226" i="10"/>
  <c r="CG226" i="10"/>
  <c r="CF227" i="10"/>
  <c r="CG227" i="10"/>
  <c r="CF228" i="10"/>
  <c r="CG228" i="10"/>
  <c r="CF229" i="10"/>
  <c r="CG229" i="10"/>
  <c r="CF230" i="10"/>
  <c r="CG230" i="10"/>
  <c r="CF231" i="10"/>
  <c r="CG231" i="10"/>
  <c r="CF232" i="10"/>
  <c r="CG232" i="10"/>
  <c r="CF233" i="10"/>
  <c r="CG233" i="10"/>
  <c r="CF234" i="10"/>
  <c r="CG234" i="10"/>
  <c r="CF235" i="10"/>
  <c r="CG235" i="10"/>
  <c r="CF236" i="10"/>
  <c r="CG236" i="10"/>
  <c r="CF237" i="10"/>
  <c r="CG237" i="10"/>
  <c r="CF238" i="10"/>
  <c r="CG238" i="10"/>
  <c r="CF239" i="10"/>
  <c r="CG239" i="10"/>
  <c r="CF240" i="10"/>
  <c r="CG240" i="10"/>
  <c r="CF241" i="10"/>
  <c r="CG241" i="10"/>
  <c r="CF242" i="10"/>
  <c r="CG242" i="10"/>
  <c r="CF243" i="10"/>
  <c r="CG243" i="10"/>
  <c r="CF244" i="10"/>
  <c r="CG244" i="10"/>
  <c r="CF245" i="10"/>
  <c r="CG245" i="10"/>
  <c r="CF246" i="10"/>
  <c r="CG246" i="10"/>
  <c r="CF247" i="10"/>
  <c r="CG247" i="10"/>
  <c r="CF248" i="10"/>
  <c r="CG248" i="10"/>
  <c r="CF249" i="10"/>
  <c r="CG249" i="10"/>
  <c r="CF250" i="10"/>
  <c r="CG250" i="10"/>
  <c r="CF251" i="10"/>
  <c r="CG251" i="10"/>
  <c r="CF252" i="10"/>
  <c r="CG252" i="10"/>
  <c r="CF253" i="10"/>
  <c r="CG253" i="10"/>
  <c r="CF254" i="10"/>
  <c r="CG254" i="10"/>
  <c r="CF255" i="10"/>
  <c r="CG255" i="10"/>
  <c r="CF256" i="10"/>
  <c r="CG256" i="10"/>
  <c r="CF257" i="10"/>
  <c r="CG257" i="10"/>
  <c r="CF258" i="10"/>
  <c r="CG258" i="10"/>
  <c r="CF259" i="10"/>
  <c r="CG259" i="10"/>
  <c r="CF260" i="10"/>
  <c r="CG260" i="10"/>
  <c r="CF261" i="10"/>
  <c r="CG261" i="10"/>
  <c r="CF262" i="10"/>
  <c r="CG262" i="10"/>
  <c r="CF263" i="10"/>
  <c r="CG263" i="10"/>
  <c r="CF264" i="10"/>
  <c r="CG264" i="10"/>
  <c r="CF265" i="10"/>
  <c r="CG265" i="10"/>
  <c r="CF266" i="10"/>
  <c r="CG266" i="10"/>
  <c r="CF267" i="10"/>
  <c r="CG267" i="10"/>
  <c r="CG2" i="10"/>
  <c r="CF2" i="10"/>
  <c r="CD3" i="10"/>
  <c r="CD4" i="10"/>
  <c r="CD5" i="10"/>
  <c r="CD6" i="10"/>
  <c r="CD7" i="10"/>
  <c r="CD8" i="10"/>
  <c r="CD9" i="10"/>
  <c r="CD10" i="10"/>
  <c r="CD11" i="10"/>
  <c r="CD12" i="10"/>
  <c r="CD13" i="10"/>
  <c r="CD14" i="10"/>
  <c r="CD15" i="10"/>
  <c r="CD16" i="10"/>
  <c r="CD17" i="10"/>
  <c r="CD18" i="10"/>
  <c r="CD19" i="10"/>
  <c r="CD20" i="10"/>
  <c r="CD21" i="10"/>
  <c r="CD22" i="10"/>
  <c r="CD23" i="10"/>
  <c r="CD24" i="10"/>
  <c r="CD25" i="10"/>
  <c r="CD26" i="10"/>
  <c r="CD27" i="10"/>
  <c r="CD28" i="10"/>
  <c r="CD29" i="10"/>
  <c r="CD30" i="10"/>
  <c r="CD31" i="10"/>
  <c r="CD32" i="10"/>
  <c r="CD33" i="10"/>
  <c r="CD34" i="10"/>
  <c r="CD35" i="10"/>
  <c r="CD36" i="10"/>
  <c r="CD37" i="10"/>
  <c r="CD38" i="10"/>
  <c r="CD39" i="10"/>
  <c r="CD40" i="10"/>
  <c r="CD41" i="10"/>
  <c r="CD42" i="10"/>
  <c r="CD43" i="10"/>
  <c r="CD44" i="10"/>
  <c r="CD45" i="10"/>
  <c r="CD46" i="10"/>
  <c r="CD47" i="10"/>
  <c r="CD48" i="10"/>
  <c r="CD49" i="10"/>
  <c r="CD50" i="10"/>
  <c r="CD51" i="10"/>
  <c r="CD52" i="10"/>
  <c r="CD53" i="10"/>
  <c r="CD54" i="10"/>
  <c r="CD55" i="10"/>
  <c r="CD56" i="10"/>
  <c r="CD57" i="10"/>
  <c r="CD58" i="10"/>
  <c r="CD59" i="10"/>
  <c r="CD60" i="10"/>
  <c r="CD61" i="10"/>
  <c r="CD62" i="10"/>
  <c r="CD63" i="10"/>
  <c r="CD64" i="10"/>
  <c r="CD65" i="10"/>
  <c r="CD66" i="10"/>
  <c r="CD67" i="10"/>
  <c r="CD68" i="10"/>
  <c r="CD69" i="10"/>
  <c r="CD70" i="10"/>
  <c r="CD71" i="10"/>
  <c r="CD72" i="10"/>
  <c r="CD73" i="10"/>
  <c r="CD74" i="10"/>
  <c r="CD75" i="10"/>
  <c r="CD76" i="10"/>
  <c r="CD77" i="10"/>
  <c r="CD78" i="10"/>
  <c r="CD79" i="10"/>
  <c r="CD80" i="10"/>
  <c r="CD81" i="10"/>
  <c r="CD82" i="10"/>
  <c r="CD83" i="10"/>
  <c r="CD84" i="10"/>
  <c r="CD85" i="10"/>
  <c r="CD86" i="10"/>
  <c r="CD87" i="10"/>
  <c r="CD88" i="10"/>
  <c r="CD89" i="10"/>
  <c r="CD90" i="10"/>
  <c r="CD91" i="10"/>
  <c r="CD92" i="10"/>
  <c r="CD93" i="10"/>
  <c r="CD94" i="10"/>
  <c r="CD95" i="10"/>
  <c r="CD96" i="10"/>
  <c r="CD97" i="10"/>
  <c r="CD98" i="10"/>
  <c r="CD99" i="10"/>
  <c r="CD100" i="10"/>
  <c r="CD101" i="10"/>
  <c r="CD102" i="10"/>
  <c r="CD103" i="10"/>
  <c r="CD104" i="10"/>
  <c r="CD105" i="10"/>
  <c r="CD106" i="10"/>
  <c r="CD107" i="10"/>
  <c r="CD108" i="10"/>
  <c r="CD109" i="10"/>
  <c r="CD110" i="10"/>
  <c r="CD111" i="10"/>
  <c r="CD112" i="10"/>
  <c r="CD113" i="10"/>
  <c r="CD114" i="10"/>
  <c r="CD115" i="10"/>
  <c r="CD116" i="10"/>
  <c r="CD117" i="10"/>
  <c r="CD118" i="10"/>
  <c r="CD119" i="10"/>
  <c r="CD120" i="10"/>
  <c r="CD121" i="10"/>
  <c r="CD122" i="10"/>
  <c r="CD123" i="10"/>
  <c r="CD124" i="10"/>
  <c r="CD125" i="10"/>
  <c r="CD126" i="10"/>
  <c r="CD127" i="10"/>
  <c r="CD128" i="10"/>
  <c r="CD129" i="10"/>
  <c r="CD130" i="10"/>
  <c r="CD131" i="10"/>
  <c r="CD132" i="10"/>
  <c r="CD133" i="10"/>
  <c r="CD134" i="10"/>
  <c r="CD135" i="10"/>
  <c r="CD136" i="10"/>
  <c r="CD137" i="10"/>
  <c r="CD138" i="10"/>
  <c r="CD139" i="10"/>
  <c r="CD140" i="10"/>
  <c r="CD141" i="10"/>
  <c r="CD142" i="10"/>
  <c r="CD143" i="10"/>
  <c r="CD144" i="10"/>
  <c r="CD145" i="10"/>
  <c r="CD146" i="10"/>
  <c r="CD147" i="10"/>
  <c r="CD148" i="10"/>
  <c r="CD149" i="10"/>
  <c r="CD150" i="10"/>
  <c r="CD151" i="10"/>
  <c r="CD152" i="10"/>
  <c r="CD153" i="10"/>
  <c r="CD154" i="10"/>
  <c r="CD155" i="10"/>
  <c r="CD156" i="10"/>
  <c r="CD157" i="10"/>
  <c r="CD158" i="10"/>
  <c r="CD159" i="10"/>
  <c r="CD160" i="10"/>
  <c r="CD161" i="10"/>
  <c r="CD162" i="10"/>
  <c r="CD163" i="10"/>
  <c r="CD164" i="10"/>
  <c r="CD165" i="10"/>
  <c r="CD166" i="10"/>
  <c r="CD167" i="10"/>
  <c r="CD168" i="10"/>
  <c r="CD169" i="10"/>
  <c r="CD170" i="10"/>
  <c r="CD171" i="10"/>
  <c r="CD172" i="10"/>
  <c r="CD173" i="10"/>
  <c r="CD174" i="10"/>
  <c r="CD175" i="10"/>
  <c r="CD176" i="10"/>
  <c r="CD177" i="10"/>
  <c r="CD178" i="10"/>
  <c r="CD179" i="10"/>
  <c r="CD180" i="10"/>
  <c r="CD181" i="10"/>
  <c r="CD182" i="10"/>
  <c r="CD183" i="10"/>
  <c r="CD184" i="10"/>
  <c r="CD185" i="10"/>
  <c r="CD186" i="10"/>
  <c r="CD187" i="10"/>
  <c r="CD188" i="10"/>
  <c r="CD189" i="10"/>
  <c r="CD190" i="10"/>
  <c r="CD191" i="10"/>
  <c r="CD192" i="10"/>
  <c r="CD193" i="10"/>
  <c r="CD194" i="10"/>
  <c r="CD195" i="10"/>
  <c r="CD196" i="10"/>
  <c r="CD197" i="10"/>
  <c r="CD198" i="10"/>
  <c r="CD199" i="10"/>
  <c r="CD200" i="10"/>
  <c r="CD201" i="10"/>
  <c r="CD202" i="10"/>
  <c r="CD203" i="10"/>
  <c r="CD204" i="10"/>
  <c r="CD205" i="10"/>
  <c r="CD206" i="10"/>
  <c r="CD207" i="10"/>
  <c r="CD208" i="10"/>
  <c r="CD209" i="10"/>
  <c r="CD210" i="10"/>
  <c r="CD211" i="10"/>
  <c r="CD212" i="10"/>
  <c r="CD213" i="10"/>
  <c r="CD214" i="10"/>
  <c r="CD215" i="10"/>
  <c r="CD216" i="10"/>
  <c r="CD217" i="10"/>
  <c r="CD218" i="10"/>
  <c r="CD219" i="10"/>
  <c r="CD220" i="10"/>
  <c r="CD221" i="10"/>
  <c r="CD222" i="10"/>
  <c r="CD223" i="10"/>
  <c r="CD224" i="10"/>
  <c r="CD225" i="10"/>
  <c r="CD226" i="10"/>
  <c r="CD227" i="10"/>
  <c r="CD228" i="10"/>
  <c r="CD229" i="10"/>
  <c r="CD230" i="10"/>
  <c r="CD231" i="10"/>
  <c r="CD232" i="10"/>
  <c r="CD233" i="10"/>
  <c r="CD234" i="10"/>
  <c r="CD235" i="10"/>
  <c r="CD236" i="10"/>
  <c r="CD237" i="10"/>
  <c r="CD238" i="10"/>
  <c r="CD239" i="10"/>
  <c r="CD240" i="10"/>
  <c r="CD241" i="10"/>
  <c r="CD242" i="10"/>
  <c r="CD243" i="10"/>
  <c r="CD244" i="10"/>
  <c r="CD245" i="10"/>
  <c r="CD246" i="10"/>
  <c r="CD247" i="10"/>
  <c r="CD248" i="10"/>
  <c r="CD249" i="10"/>
  <c r="CD250" i="10"/>
  <c r="CD251" i="10"/>
  <c r="CD252" i="10"/>
  <c r="CD253" i="10"/>
  <c r="CD254" i="10"/>
  <c r="CD255" i="10"/>
  <c r="CD256" i="10"/>
  <c r="CD257" i="10"/>
  <c r="CD258" i="10"/>
  <c r="CD259" i="10"/>
  <c r="CD260" i="10"/>
  <c r="CD261" i="10"/>
  <c r="CD262" i="10"/>
  <c r="CD263" i="10"/>
  <c r="CD264" i="10"/>
  <c r="CD265" i="10"/>
  <c r="CD266" i="10"/>
  <c r="CD267" i="10"/>
  <c r="CD2" i="10"/>
  <c r="A319" i="24" l="1"/>
  <c r="B319" i="24"/>
  <c r="A320" i="24"/>
  <c r="B320" i="24"/>
  <c r="A321" i="24"/>
  <c r="B321" i="24"/>
  <c r="A322" i="24"/>
  <c r="B322" i="24"/>
  <c r="A323" i="24"/>
  <c r="B323" i="24"/>
  <c r="A324" i="24"/>
  <c r="B324" i="24"/>
  <c r="A325" i="24"/>
  <c r="B325" i="24"/>
  <c r="A326" i="24"/>
  <c r="B326" i="24"/>
  <c r="A327" i="24"/>
  <c r="B327" i="24"/>
  <c r="A328" i="24"/>
  <c r="B328" i="24"/>
  <c r="A329" i="24"/>
  <c r="B329" i="24"/>
  <c r="A330" i="24"/>
  <c r="B330" i="24"/>
  <c r="A331" i="24"/>
  <c r="B331" i="24"/>
  <c r="A332" i="24"/>
  <c r="B332" i="24"/>
  <c r="A333" i="24"/>
  <c r="B333" i="24"/>
  <c r="A334" i="24"/>
  <c r="B334" i="24"/>
  <c r="A335" i="24"/>
  <c r="B335" i="24"/>
  <c r="A336" i="24"/>
  <c r="B336" i="24"/>
  <c r="A337" i="24"/>
  <c r="B337" i="24"/>
  <c r="A338" i="24"/>
  <c r="B338" i="24"/>
  <c r="A339" i="24"/>
  <c r="B339" i="24"/>
  <c r="A340" i="24"/>
  <c r="B340" i="24"/>
  <c r="A341" i="24"/>
  <c r="B341" i="24"/>
  <c r="A342" i="24"/>
  <c r="B342" i="24"/>
  <c r="A343" i="24"/>
  <c r="B343" i="24"/>
  <c r="A344" i="24"/>
  <c r="B344" i="24"/>
  <c r="A345" i="24"/>
  <c r="B345" i="24"/>
  <c r="A346" i="24"/>
  <c r="B346" i="24"/>
  <c r="A347" i="24"/>
  <c r="B347" i="24"/>
  <c r="A348" i="24"/>
  <c r="B348" i="24"/>
  <c r="A349" i="24"/>
  <c r="B349" i="24"/>
  <c r="A350" i="24"/>
  <c r="B350" i="24"/>
  <c r="A351" i="24"/>
  <c r="B351" i="24"/>
  <c r="A352" i="24"/>
  <c r="B352" i="24"/>
  <c r="A353" i="24"/>
  <c r="B353" i="24"/>
  <c r="A354" i="24"/>
  <c r="B354" i="24"/>
  <c r="A355" i="24"/>
  <c r="B355" i="24"/>
  <c r="A356" i="24"/>
  <c r="B356" i="24"/>
  <c r="A357" i="24"/>
  <c r="B357" i="24"/>
  <c r="A358" i="24"/>
  <c r="B358" i="24"/>
  <c r="A359" i="24"/>
  <c r="B359" i="24"/>
  <c r="A360" i="24"/>
  <c r="B360" i="24"/>
  <c r="A361" i="24"/>
  <c r="B361" i="24"/>
  <c r="A362" i="24"/>
  <c r="B362" i="24"/>
  <c r="A363" i="24"/>
  <c r="B363" i="24"/>
  <c r="A364" i="24"/>
  <c r="B364" i="24"/>
  <c r="A365" i="24"/>
  <c r="B365" i="24"/>
  <c r="A366" i="24"/>
  <c r="B366" i="24"/>
  <c r="A367" i="24"/>
  <c r="B367" i="24"/>
  <c r="A368" i="24"/>
  <c r="B368" i="24"/>
  <c r="A369" i="24"/>
  <c r="B369" i="24"/>
  <c r="A370" i="24"/>
  <c r="B370" i="24"/>
  <c r="A371" i="24"/>
  <c r="B371" i="24"/>
  <c r="A372" i="24"/>
  <c r="B372" i="24"/>
  <c r="A373" i="24"/>
  <c r="B373" i="24"/>
  <c r="A374" i="24"/>
  <c r="B374" i="24"/>
  <c r="A375" i="24"/>
  <c r="B375" i="24"/>
  <c r="A376" i="24"/>
  <c r="B376" i="24"/>
  <c r="A377" i="24"/>
  <c r="B377" i="24"/>
  <c r="A378" i="24"/>
  <c r="B378" i="24"/>
  <c r="A379" i="24"/>
  <c r="B379" i="24"/>
  <c r="A380" i="24"/>
  <c r="B380" i="24"/>
  <c r="A381" i="24"/>
  <c r="B381" i="24"/>
  <c r="A382" i="24"/>
  <c r="B382" i="24"/>
  <c r="A383" i="24"/>
  <c r="B383" i="24"/>
  <c r="A384" i="24"/>
  <c r="B384" i="24"/>
  <c r="A385" i="24"/>
  <c r="B385" i="24"/>
  <c r="A386" i="24"/>
  <c r="B386" i="24"/>
  <c r="A387" i="24"/>
  <c r="B387" i="24"/>
  <c r="A388" i="24"/>
  <c r="B388" i="24"/>
  <c r="A389" i="24"/>
  <c r="B389" i="24"/>
  <c r="A390" i="24"/>
  <c r="B390" i="24"/>
  <c r="A391" i="24"/>
  <c r="B391" i="24"/>
  <c r="A392" i="24"/>
  <c r="B392" i="24"/>
  <c r="A393" i="24"/>
  <c r="B393" i="24"/>
  <c r="A394" i="24"/>
  <c r="B394" i="24"/>
  <c r="A395" i="24"/>
  <c r="B395" i="24"/>
  <c r="A396" i="24"/>
  <c r="B396" i="24"/>
  <c r="B318" i="24"/>
  <c r="A318" i="24"/>
  <c r="A240" i="24"/>
  <c r="B240" i="24"/>
  <c r="A241" i="24"/>
  <c r="B241" i="24"/>
  <c r="A242" i="24"/>
  <c r="B242" i="24"/>
  <c r="A243" i="24"/>
  <c r="B243" i="24"/>
  <c r="A244" i="24"/>
  <c r="B244" i="24"/>
  <c r="A245" i="24"/>
  <c r="B245" i="24"/>
  <c r="A246" i="24"/>
  <c r="B246" i="24"/>
  <c r="A247" i="24"/>
  <c r="B247" i="24"/>
  <c r="A248" i="24"/>
  <c r="B248" i="24"/>
  <c r="A249" i="24"/>
  <c r="B249" i="24"/>
  <c r="A250" i="24"/>
  <c r="B250" i="24"/>
  <c r="A251" i="24"/>
  <c r="B251" i="24"/>
  <c r="A252" i="24"/>
  <c r="B252" i="24"/>
  <c r="A253" i="24"/>
  <c r="B253" i="24"/>
  <c r="A254" i="24"/>
  <c r="B254" i="24"/>
  <c r="A255" i="24"/>
  <c r="B255" i="24"/>
  <c r="A256" i="24"/>
  <c r="B256" i="24"/>
  <c r="A257" i="24"/>
  <c r="B257" i="24"/>
  <c r="A258" i="24"/>
  <c r="B258" i="24"/>
  <c r="A259" i="24"/>
  <c r="B259" i="24"/>
  <c r="A260" i="24"/>
  <c r="B260" i="24"/>
  <c r="A261" i="24"/>
  <c r="B261" i="24"/>
  <c r="A262" i="24"/>
  <c r="B262" i="24"/>
  <c r="A263" i="24"/>
  <c r="B263" i="24"/>
  <c r="A264" i="24"/>
  <c r="B264" i="24"/>
  <c r="A265" i="24"/>
  <c r="B265" i="24"/>
  <c r="A266" i="24"/>
  <c r="B266" i="24"/>
  <c r="A267" i="24"/>
  <c r="B267" i="24"/>
  <c r="A268" i="24"/>
  <c r="B268" i="24"/>
  <c r="A269" i="24"/>
  <c r="B269" i="24"/>
  <c r="A270" i="24"/>
  <c r="B270" i="24"/>
  <c r="A271" i="24"/>
  <c r="B271" i="24"/>
  <c r="A272" i="24"/>
  <c r="B272" i="24"/>
  <c r="A273" i="24"/>
  <c r="B273" i="24"/>
  <c r="A274" i="24"/>
  <c r="B274" i="24"/>
  <c r="A275" i="24"/>
  <c r="B275" i="24"/>
  <c r="A276" i="24"/>
  <c r="B276" i="24"/>
  <c r="A277" i="24"/>
  <c r="B277" i="24"/>
  <c r="A278" i="24"/>
  <c r="B278" i="24"/>
  <c r="A279" i="24"/>
  <c r="B279" i="24"/>
  <c r="A280" i="24"/>
  <c r="B280" i="24"/>
  <c r="A281" i="24"/>
  <c r="B281" i="24"/>
  <c r="A282" i="24"/>
  <c r="B282" i="24"/>
  <c r="A283" i="24"/>
  <c r="B283" i="24"/>
  <c r="A284" i="24"/>
  <c r="B284" i="24"/>
  <c r="A285" i="24"/>
  <c r="B285" i="24"/>
  <c r="A286" i="24"/>
  <c r="B286" i="24"/>
  <c r="A287" i="24"/>
  <c r="B287" i="24"/>
  <c r="A288" i="24"/>
  <c r="B288" i="24"/>
  <c r="A289" i="24"/>
  <c r="B289" i="24"/>
  <c r="A290" i="24"/>
  <c r="B290" i="24"/>
  <c r="A291" i="24"/>
  <c r="B291" i="24"/>
  <c r="A292" i="24"/>
  <c r="B292" i="24"/>
  <c r="A293" i="24"/>
  <c r="B293" i="24"/>
  <c r="A294" i="24"/>
  <c r="B294" i="24"/>
  <c r="A295" i="24"/>
  <c r="B295" i="24"/>
  <c r="A296" i="24"/>
  <c r="B296" i="24"/>
  <c r="A297" i="24"/>
  <c r="B297" i="24"/>
  <c r="A298" i="24"/>
  <c r="B298" i="24"/>
  <c r="A299" i="24"/>
  <c r="B299" i="24"/>
  <c r="A300" i="24"/>
  <c r="B300" i="24"/>
  <c r="A301" i="24"/>
  <c r="B301" i="24"/>
  <c r="A302" i="24"/>
  <c r="B302" i="24"/>
  <c r="A303" i="24"/>
  <c r="B303" i="24"/>
  <c r="A304" i="24"/>
  <c r="B304" i="24"/>
  <c r="A305" i="24"/>
  <c r="B305" i="24"/>
  <c r="A306" i="24"/>
  <c r="B306" i="24"/>
  <c r="A307" i="24"/>
  <c r="B307" i="24"/>
  <c r="A308" i="24"/>
  <c r="B308" i="24"/>
  <c r="A309" i="24"/>
  <c r="B309" i="24"/>
  <c r="A310" i="24"/>
  <c r="B310" i="24"/>
  <c r="A311" i="24"/>
  <c r="B311" i="24"/>
  <c r="A312" i="24"/>
  <c r="B312" i="24"/>
  <c r="A313" i="24"/>
  <c r="B313" i="24"/>
  <c r="A314" i="24"/>
  <c r="B314" i="24"/>
  <c r="A315" i="24"/>
  <c r="B315" i="24"/>
  <c r="A316" i="24"/>
  <c r="B316" i="24"/>
  <c r="A317" i="24"/>
  <c r="B317" i="24"/>
  <c r="B239" i="24"/>
  <c r="A239" i="24"/>
  <c r="A161" i="24"/>
  <c r="B161" i="24"/>
  <c r="A162" i="24"/>
  <c r="B162" i="24"/>
  <c r="A163" i="24"/>
  <c r="B163" i="24"/>
  <c r="A164" i="24"/>
  <c r="B164" i="24"/>
  <c r="A165" i="24"/>
  <c r="B165" i="24"/>
  <c r="A166" i="24"/>
  <c r="B166" i="24"/>
  <c r="A167" i="24"/>
  <c r="B167" i="24"/>
  <c r="A168" i="24"/>
  <c r="B168" i="24"/>
  <c r="A169" i="24"/>
  <c r="B169" i="24"/>
  <c r="A170" i="24"/>
  <c r="B170" i="24"/>
  <c r="A171" i="24"/>
  <c r="B171" i="24"/>
  <c r="A172" i="24"/>
  <c r="B172" i="24"/>
  <c r="A173" i="24"/>
  <c r="B173" i="24"/>
  <c r="A174" i="24"/>
  <c r="B174" i="24"/>
  <c r="A175" i="24"/>
  <c r="B175" i="24"/>
  <c r="A176" i="24"/>
  <c r="B176" i="24"/>
  <c r="A177" i="24"/>
  <c r="B177" i="24"/>
  <c r="A178" i="24"/>
  <c r="B178" i="24"/>
  <c r="A179" i="24"/>
  <c r="B179" i="24"/>
  <c r="A180" i="24"/>
  <c r="B180" i="24"/>
  <c r="A181" i="24"/>
  <c r="B181" i="24"/>
  <c r="A182" i="24"/>
  <c r="B182" i="24"/>
  <c r="A183" i="24"/>
  <c r="B183" i="24"/>
  <c r="A184" i="24"/>
  <c r="B184" i="24"/>
  <c r="A185" i="24"/>
  <c r="B185" i="24"/>
  <c r="A186" i="24"/>
  <c r="B186" i="24"/>
  <c r="A187" i="24"/>
  <c r="B187" i="24"/>
  <c r="A188" i="24"/>
  <c r="B188" i="24"/>
  <c r="A189" i="24"/>
  <c r="B189" i="24"/>
  <c r="A190" i="24"/>
  <c r="B190" i="24"/>
  <c r="A191" i="24"/>
  <c r="B191" i="24"/>
  <c r="A192" i="24"/>
  <c r="B192" i="24"/>
  <c r="A193" i="24"/>
  <c r="B193" i="24"/>
  <c r="A194" i="24"/>
  <c r="B194" i="24"/>
  <c r="A195" i="24"/>
  <c r="B195" i="24"/>
  <c r="A196" i="24"/>
  <c r="B196" i="24"/>
  <c r="A197" i="24"/>
  <c r="B197" i="24"/>
  <c r="A198" i="24"/>
  <c r="B198" i="24"/>
  <c r="A199" i="24"/>
  <c r="B199" i="24"/>
  <c r="A200" i="24"/>
  <c r="B200" i="24"/>
  <c r="A201" i="24"/>
  <c r="B201" i="24"/>
  <c r="A202" i="24"/>
  <c r="B202" i="24"/>
  <c r="A203" i="24"/>
  <c r="B203" i="24"/>
  <c r="A204" i="24"/>
  <c r="B204" i="24"/>
  <c r="A205" i="24"/>
  <c r="B205" i="24"/>
  <c r="A206" i="24"/>
  <c r="B206" i="24"/>
  <c r="A207" i="24"/>
  <c r="B207" i="24"/>
  <c r="A208" i="24"/>
  <c r="B208" i="24"/>
  <c r="A209" i="24"/>
  <c r="B209" i="24"/>
  <c r="A210" i="24"/>
  <c r="B210" i="24"/>
  <c r="A211" i="24"/>
  <c r="B211" i="24"/>
  <c r="A212" i="24"/>
  <c r="B212" i="24"/>
  <c r="A213" i="24"/>
  <c r="B213" i="24"/>
  <c r="A214" i="24"/>
  <c r="B214" i="24"/>
  <c r="A215" i="24"/>
  <c r="B215" i="24"/>
  <c r="A216" i="24"/>
  <c r="B216" i="24"/>
  <c r="A217" i="24"/>
  <c r="B217" i="24"/>
  <c r="A218" i="24"/>
  <c r="B218" i="24"/>
  <c r="A219" i="24"/>
  <c r="B219" i="24"/>
  <c r="A220" i="24"/>
  <c r="B220" i="24"/>
  <c r="A221" i="24"/>
  <c r="B221" i="24"/>
  <c r="A222" i="24"/>
  <c r="B222" i="24"/>
  <c r="A223" i="24"/>
  <c r="B223" i="24"/>
  <c r="A224" i="24"/>
  <c r="B224" i="24"/>
  <c r="A225" i="24"/>
  <c r="B225" i="24"/>
  <c r="A226" i="24"/>
  <c r="B226" i="24"/>
  <c r="A227" i="24"/>
  <c r="B227" i="24"/>
  <c r="A228" i="24"/>
  <c r="B228" i="24"/>
  <c r="A229" i="24"/>
  <c r="B229" i="24"/>
  <c r="A230" i="24"/>
  <c r="B230" i="24"/>
  <c r="A231" i="24"/>
  <c r="B231" i="24"/>
  <c r="A232" i="24"/>
  <c r="B232" i="24"/>
  <c r="A233" i="24"/>
  <c r="B233" i="24"/>
  <c r="A234" i="24"/>
  <c r="B234" i="24"/>
  <c r="A235" i="24"/>
  <c r="B235" i="24"/>
  <c r="A236" i="24"/>
  <c r="B236" i="24"/>
  <c r="A237" i="24"/>
  <c r="B237" i="24"/>
  <c r="A238" i="24"/>
  <c r="B238" i="24"/>
  <c r="B160" i="24"/>
  <c r="A160" i="24"/>
  <c r="A82" i="24"/>
  <c r="B82" i="24"/>
  <c r="A83" i="24"/>
  <c r="B83" i="24"/>
  <c r="A84" i="24"/>
  <c r="B84" i="24"/>
  <c r="A85" i="24"/>
  <c r="B85" i="24"/>
  <c r="A86" i="24"/>
  <c r="B86" i="24"/>
  <c r="A87" i="24"/>
  <c r="B87" i="24"/>
  <c r="A88" i="24"/>
  <c r="B88" i="24"/>
  <c r="A89" i="24"/>
  <c r="B89" i="24"/>
  <c r="A90" i="24"/>
  <c r="B90" i="24"/>
  <c r="A91" i="24"/>
  <c r="B91" i="24"/>
  <c r="A92" i="24"/>
  <c r="B92" i="24"/>
  <c r="A93" i="24"/>
  <c r="B93" i="24"/>
  <c r="A94" i="24"/>
  <c r="B94" i="24"/>
  <c r="A95" i="24"/>
  <c r="B95" i="24"/>
  <c r="A96" i="24"/>
  <c r="B96" i="24"/>
  <c r="A97" i="24"/>
  <c r="B97" i="24"/>
  <c r="A98" i="24"/>
  <c r="B98" i="24"/>
  <c r="A99" i="24"/>
  <c r="B99" i="24"/>
  <c r="A100" i="24"/>
  <c r="B100" i="24"/>
  <c r="A101" i="24"/>
  <c r="B101" i="24"/>
  <c r="A102" i="24"/>
  <c r="B102" i="24"/>
  <c r="A103" i="24"/>
  <c r="B103" i="24"/>
  <c r="A104" i="24"/>
  <c r="B104" i="24"/>
  <c r="A105" i="24"/>
  <c r="B105" i="24"/>
  <c r="A106" i="24"/>
  <c r="B106" i="24"/>
  <c r="A107" i="24"/>
  <c r="B107" i="24"/>
  <c r="A108" i="24"/>
  <c r="B108" i="24"/>
  <c r="A109" i="24"/>
  <c r="B109" i="24"/>
  <c r="A110" i="24"/>
  <c r="B110" i="24"/>
  <c r="A111" i="24"/>
  <c r="B111" i="24"/>
  <c r="A112" i="24"/>
  <c r="B112" i="24"/>
  <c r="A113" i="24"/>
  <c r="B113" i="24"/>
  <c r="A114" i="24"/>
  <c r="B114" i="24"/>
  <c r="A115" i="24"/>
  <c r="B115" i="24"/>
  <c r="A116" i="24"/>
  <c r="B116" i="24"/>
  <c r="A117" i="24"/>
  <c r="B117" i="24"/>
  <c r="A118" i="24"/>
  <c r="B118" i="24"/>
  <c r="A119" i="24"/>
  <c r="B119" i="24"/>
  <c r="A120" i="24"/>
  <c r="B120" i="24"/>
  <c r="A121" i="24"/>
  <c r="B121" i="24"/>
  <c r="A122" i="24"/>
  <c r="B122" i="24"/>
  <c r="A123" i="24"/>
  <c r="B123" i="24"/>
  <c r="A124" i="24"/>
  <c r="B124" i="24"/>
  <c r="A125" i="24"/>
  <c r="B125" i="24"/>
  <c r="A126" i="24"/>
  <c r="B126" i="24"/>
  <c r="A127" i="24"/>
  <c r="B127" i="24"/>
  <c r="A128" i="24"/>
  <c r="B128" i="24"/>
  <c r="A129" i="24"/>
  <c r="B129" i="24"/>
  <c r="A130" i="24"/>
  <c r="B130" i="24"/>
  <c r="A131" i="24"/>
  <c r="B131" i="24"/>
  <c r="A132" i="24"/>
  <c r="B132" i="24"/>
  <c r="A133" i="24"/>
  <c r="B133" i="24"/>
  <c r="A134" i="24"/>
  <c r="B134" i="24"/>
  <c r="A135" i="24"/>
  <c r="B135" i="24"/>
  <c r="A136" i="24"/>
  <c r="B136" i="24"/>
  <c r="A137" i="24"/>
  <c r="B137" i="24"/>
  <c r="A138" i="24"/>
  <c r="B138" i="24"/>
  <c r="A139" i="24"/>
  <c r="B139" i="24"/>
  <c r="A140" i="24"/>
  <c r="B140" i="24"/>
  <c r="A141" i="24"/>
  <c r="B141" i="24"/>
  <c r="A142" i="24"/>
  <c r="B142" i="24"/>
  <c r="A143" i="24"/>
  <c r="B143" i="24"/>
  <c r="A144" i="24"/>
  <c r="B144" i="24"/>
  <c r="A145" i="24"/>
  <c r="B145" i="24"/>
  <c r="A146" i="24"/>
  <c r="B146" i="24"/>
  <c r="A147" i="24"/>
  <c r="B147" i="24"/>
  <c r="A148" i="24"/>
  <c r="B148" i="24"/>
  <c r="A149" i="24"/>
  <c r="B149" i="24"/>
  <c r="A150" i="24"/>
  <c r="B150" i="24"/>
  <c r="A151" i="24"/>
  <c r="B151" i="24"/>
  <c r="A152" i="24"/>
  <c r="B152" i="24"/>
  <c r="A153" i="24"/>
  <c r="B153" i="24"/>
  <c r="A154" i="24"/>
  <c r="B154" i="24"/>
  <c r="A155" i="24"/>
  <c r="B155" i="24"/>
  <c r="A156" i="24"/>
  <c r="B156" i="24"/>
  <c r="A157" i="24"/>
  <c r="B157" i="24"/>
  <c r="A158" i="24"/>
  <c r="B158" i="24"/>
  <c r="A159" i="24"/>
  <c r="B159" i="24"/>
  <c r="B81" i="24"/>
  <c r="A81" i="24"/>
  <c r="A77" i="24"/>
  <c r="A3" i="24"/>
  <c r="B3" i="24"/>
  <c r="A4" i="24"/>
  <c r="B4" i="24"/>
  <c r="A5" i="24"/>
  <c r="B5" i="24"/>
  <c r="A6" i="24"/>
  <c r="B6" i="24"/>
  <c r="A7" i="24"/>
  <c r="B7" i="24"/>
  <c r="A8" i="24"/>
  <c r="B8" i="24"/>
  <c r="A9" i="24"/>
  <c r="B9" i="24"/>
  <c r="A10" i="24"/>
  <c r="B10" i="24"/>
  <c r="A11" i="24"/>
  <c r="B11" i="24"/>
  <c r="A12" i="24"/>
  <c r="B12" i="24"/>
  <c r="A13" i="24"/>
  <c r="B13" i="24"/>
  <c r="A14" i="24"/>
  <c r="B14" i="24"/>
  <c r="A15" i="24"/>
  <c r="B15" i="24"/>
  <c r="A16" i="24"/>
  <c r="B16" i="24"/>
  <c r="A17" i="24"/>
  <c r="B17" i="24"/>
  <c r="A18" i="24"/>
  <c r="B18" i="24"/>
  <c r="A19" i="24"/>
  <c r="B19" i="24"/>
  <c r="A20" i="24"/>
  <c r="B20" i="24"/>
  <c r="A21" i="24"/>
  <c r="B21" i="24"/>
  <c r="A22" i="24"/>
  <c r="B22" i="24"/>
  <c r="A23" i="24"/>
  <c r="B23" i="24"/>
  <c r="A24" i="24"/>
  <c r="B24" i="24"/>
  <c r="A25" i="24"/>
  <c r="B25" i="24"/>
  <c r="A26" i="24"/>
  <c r="B26" i="24"/>
  <c r="A27" i="24"/>
  <c r="B27" i="24"/>
  <c r="A28" i="24"/>
  <c r="B28" i="24"/>
  <c r="A29" i="24"/>
  <c r="B29" i="24"/>
  <c r="A30" i="24"/>
  <c r="B30" i="24"/>
  <c r="A31" i="24"/>
  <c r="B31" i="24"/>
  <c r="A32" i="24"/>
  <c r="B32" i="24"/>
  <c r="A33" i="24"/>
  <c r="B33" i="24"/>
  <c r="A34" i="24"/>
  <c r="B34" i="24"/>
  <c r="A35" i="24"/>
  <c r="B35" i="24"/>
  <c r="A36" i="24"/>
  <c r="B36" i="24"/>
  <c r="A37" i="24"/>
  <c r="B37" i="24"/>
  <c r="A38" i="24"/>
  <c r="B38" i="24"/>
  <c r="A39" i="24"/>
  <c r="B39" i="24"/>
  <c r="A40" i="24"/>
  <c r="B40" i="24"/>
  <c r="A41" i="24"/>
  <c r="B41" i="24"/>
  <c r="A42" i="24"/>
  <c r="B42" i="24"/>
  <c r="A43" i="24"/>
  <c r="B43" i="24"/>
  <c r="A44" i="24"/>
  <c r="B44" i="24"/>
  <c r="A45" i="24"/>
  <c r="B45" i="24"/>
  <c r="A46" i="24"/>
  <c r="B46" i="24"/>
  <c r="A47" i="24"/>
  <c r="B47" i="24"/>
  <c r="A48" i="24"/>
  <c r="B48" i="24"/>
  <c r="A49" i="24"/>
  <c r="B49" i="24"/>
  <c r="A50" i="24"/>
  <c r="B50" i="24"/>
  <c r="A51" i="24"/>
  <c r="B51" i="24"/>
  <c r="A52" i="24"/>
  <c r="B52" i="24"/>
  <c r="A53" i="24"/>
  <c r="B53" i="24"/>
  <c r="A54" i="24"/>
  <c r="B54" i="24"/>
  <c r="A55" i="24"/>
  <c r="B55" i="24"/>
  <c r="A56" i="24"/>
  <c r="B56" i="24"/>
  <c r="A57" i="24"/>
  <c r="B57" i="24"/>
  <c r="A58" i="24"/>
  <c r="B58" i="24"/>
  <c r="A59" i="24"/>
  <c r="B59" i="24"/>
  <c r="A60" i="24"/>
  <c r="B60" i="24"/>
  <c r="A61" i="24"/>
  <c r="B61" i="24"/>
  <c r="A62" i="24"/>
  <c r="B62" i="24"/>
  <c r="A63" i="24"/>
  <c r="B63" i="24"/>
  <c r="A64" i="24"/>
  <c r="B64" i="24"/>
  <c r="A65" i="24"/>
  <c r="B65" i="24"/>
  <c r="A66" i="24"/>
  <c r="B66" i="24"/>
  <c r="A67" i="24"/>
  <c r="B67" i="24"/>
  <c r="A68" i="24"/>
  <c r="B68" i="24"/>
  <c r="A69" i="24"/>
  <c r="B69" i="24"/>
  <c r="A70" i="24"/>
  <c r="B70" i="24"/>
  <c r="A71" i="24"/>
  <c r="B71" i="24"/>
  <c r="A72" i="24"/>
  <c r="B72" i="24"/>
  <c r="A73" i="24"/>
  <c r="B73" i="24"/>
  <c r="A74" i="24"/>
  <c r="B74" i="24"/>
  <c r="A75" i="24"/>
  <c r="B75" i="24"/>
  <c r="A76" i="24"/>
  <c r="B76" i="24"/>
  <c r="B77" i="24"/>
  <c r="A78" i="24"/>
  <c r="B78" i="24"/>
  <c r="A79" i="24"/>
  <c r="B79" i="24"/>
  <c r="A80" i="24"/>
  <c r="B80" i="24"/>
  <c r="B2" i="24"/>
  <c r="A2" i="24"/>
  <c r="AX3" i="9" l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AX23" i="9"/>
  <c r="AX24" i="9"/>
  <c r="AX25" i="9"/>
  <c r="AX26" i="9"/>
  <c r="AX27" i="9"/>
  <c r="AX28" i="9"/>
  <c r="AX29" i="9"/>
  <c r="AX30" i="9"/>
  <c r="AX31" i="9"/>
  <c r="AX32" i="9"/>
  <c r="AX33" i="9"/>
  <c r="AX34" i="9"/>
  <c r="AX35" i="9"/>
  <c r="AX36" i="9"/>
  <c r="AX37" i="9"/>
  <c r="AX38" i="9"/>
  <c r="AX39" i="9"/>
  <c r="AX40" i="9"/>
  <c r="AX41" i="9"/>
  <c r="AX42" i="9"/>
  <c r="AX43" i="9"/>
  <c r="AX44" i="9"/>
  <c r="AX45" i="9"/>
  <c r="AX46" i="9"/>
  <c r="AX47" i="9"/>
  <c r="AX48" i="9"/>
  <c r="AX49" i="9"/>
  <c r="AX50" i="9"/>
  <c r="AX51" i="9"/>
  <c r="AX52" i="9"/>
  <c r="AX53" i="9"/>
  <c r="AX54" i="9"/>
  <c r="AX55" i="9"/>
  <c r="AX56" i="9"/>
  <c r="AX57" i="9"/>
  <c r="AX58" i="9"/>
  <c r="AX59" i="9"/>
  <c r="AX60" i="9"/>
  <c r="AX61" i="9"/>
  <c r="AX62" i="9"/>
  <c r="AX63" i="9"/>
  <c r="AX64" i="9"/>
  <c r="AX65" i="9"/>
  <c r="AX66" i="9"/>
  <c r="AX67" i="9"/>
  <c r="AX68" i="9"/>
  <c r="AX69" i="9"/>
  <c r="AX70" i="9"/>
  <c r="AX71" i="9"/>
  <c r="AX72" i="9"/>
  <c r="AX73" i="9"/>
  <c r="AX74" i="9"/>
  <c r="AX75" i="9"/>
  <c r="AX76" i="9"/>
  <c r="AX77" i="9"/>
  <c r="AX78" i="9"/>
  <c r="AX79" i="9"/>
  <c r="AX80" i="9"/>
  <c r="AX81" i="9"/>
  <c r="AX82" i="9"/>
  <c r="AX83" i="9"/>
  <c r="AX84" i="9"/>
  <c r="AX85" i="9"/>
  <c r="AX86" i="9"/>
  <c r="AX87" i="9"/>
  <c r="AX88" i="9"/>
  <c r="AX89" i="9"/>
  <c r="AX90" i="9"/>
  <c r="AX91" i="9"/>
  <c r="AX92" i="9"/>
  <c r="AX93" i="9"/>
  <c r="AX94" i="9"/>
  <c r="AX95" i="9"/>
  <c r="AX96" i="9"/>
  <c r="AX97" i="9"/>
  <c r="AX98" i="9"/>
  <c r="AX99" i="9"/>
  <c r="AX100" i="9"/>
  <c r="AX101" i="9"/>
  <c r="AX102" i="9"/>
  <c r="AX103" i="9"/>
  <c r="AX104" i="9"/>
  <c r="AX105" i="9"/>
  <c r="AX106" i="9"/>
  <c r="AX107" i="9"/>
  <c r="AX108" i="9"/>
  <c r="AX109" i="9"/>
  <c r="AX110" i="9"/>
  <c r="AX111" i="9"/>
  <c r="AX112" i="9"/>
  <c r="AX113" i="9"/>
  <c r="AX114" i="9"/>
  <c r="AX115" i="9"/>
  <c r="AX116" i="9"/>
  <c r="AX117" i="9"/>
  <c r="AX118" i="9"/>
  <c r="AX119" i="9"/>
  <c r="AX120" i="9"/>
  <c r="AX121" i="9"/>
  <c r="AX122" i="9"/>
  <c r="AX123" i="9"/>
  <c r="AX124" i="9"/>
  <c r="AX125" i="9"/>
  <c r="AX126" i="9"/>
  <c r="AX127" i="9"/>
  <c r="AX128" i="9"/>
  <c r="AX129" i="9"/>
  <c r="AX130" i="9"/>
  <c r="AX131" i="9"/>
  <c r="AX132" i="9"/>
  <c r="AX133" i="9"/>
  <c r="AX134" i="9"/>
  <c r="AX135" i="9"/>
  <c r="AX136" i="9"/>
  <c r="AX137" i="9"/>
  <c r="AX138" i="9"/>
  <c r="AX139" i="9"/>
  <c r="AX140" i="9"/>
  <c r="AX141" i="9"/>
  <c r="AX142" i="9"/>
  <c r="AX143" i="9"/>
  <c r="AX144" i="9"/>
  <c r="AX145" i="9"/>
  <c r="AX146" i="9"/>
  <c r="AX147" i="9"/>
  <c r="AX148" i="9"/>
  <c r="AX149" i="9"/>
  <c r="AX150" i="9"/>
  <c r="AX151" i="9"/>
  <c r="AX152" i="9"/>
  <c r="AX153" i="9"/>
  <c r="AX154" i="9"/>
  <c r="AX155" i="9"/>
  <c r="AX156" i="9"/>
  <c r="AX157" i="9"/>
  <c r="AX158" i="9"/>
  <c r="AX159" i="9"/>
  <c r="AX160" i="9"/>
  <c r="AX161" i="9"/>
  <c r="AX162" i="9"/>
  <c r="AX163" i="9"/>
  <c r="AX164" i="9"/>
  <c r="AX165" i="9"/>
  <c r="AX166" i="9"/>
  <c r="AX167" i="9"/>
  <c r="AX168" i="9"/>
  <c r="AX169" i="9"/>
  <c r="AX170" i="9"/>
  <c r="AX171" i="9"/>
  <c r="AX172" i="9"/>
  <c r="AX173" i="9"/>
  <c r="AX174" i="9"/>
  <c r="AX175" i="9"/>
  <c r="AX176" i="9"/>
  <c r="AX177" i="9"/>
  <c r="AX178" i="9"/>
  <c r="AX179" i="9"/>
  <c r="AX180" i="9"/>
  <c r="AX181" i="9"/>
  <c r="AX182" i="9"/>
  <c r="AX183" i="9"/>
  <c r="AX184" i="9"/>
  <c r="AX185" i="9"/>
  <c r="AX186" i="9"/>
  <c r="AX187" i="9"/>
  <c r="AX188" i="9"/>
  <c r="AX189" i="9"/>
  <c r="AX190" i="9"/>
  <c r="AX191" i="9"/>
  <c r="AX192" i="9"/>
  <c r="AX193" i="9"/>
  <c r="AX194" i="9"/>
  <c r="AX195" i="9"/>
  <c r="AX196" i="9"/>
  <c r="AX197" i="9"/>
  <c r="AX198" i="9"/>
  <c r="AX199" i="9"/>
  <c r="AX200" i="9"/>
  <c r="AX201" i="9"/>
  <c r="AX202" i="9"/>
  <c r="AX203" i="9"/>
  <c r="AX204" i="9"/>
  <c r="AX205" i="9"/>
  <c r="AX206" i="9"/>
  <c r="AX207" i="9"/>
  <c r="AX208" i="9"/>
  <c r="AX209" i="9"/>
  <c r="AX210" i="9"/>
  <c r="AX211" i="9"/>
  <c r="AX212" i="9"/>
  <c r="AX213" i="9"/>
  <c r="AX214" i="9"/>
  <c r="AX215" i="9"/>
  <c r="AX216" i="9"/>
  <c r="AX217" i="9"/>
  <c r="AX218" i="9"/>
  <c r="AX219" i="9"/>
  <c r="AX220" i="9"/>
  <c r="AX221" i="9"/>
  <c r="AX222" i="9"/>
  <c r="AX223" i="9"/>
  <c r="AX224" i="9"/>
  <c r="AX225" i="9"/>
  <c r="AX226" i="9"/>
  <c r="AX227" i="9"/>
  <c r="AX228" i="9"/>
  <c r="AX229" i="9"/>
  <c r="AX230" i="9"/>
  <c r="AX231" i="9"/>
  <c r="AX232" i="9"/>
  <c r="AX233" i="9"/>
  <c r="AX234" i="9"/>
  <c r="AX235" i="9"/>
  <c r="AX236" i="9"/>
  <c r="AX237" i="9"/>
  <c r="AX238" i="9"/>
  <c r="AX239" i="9"/>
  <c r="AX240" i="9"/>
  <c r="AX241" i="9"/>
  <c r="AX242" i="9"/>
  <c r="AX243" i="9"/>
  <c r="AX244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265" i="9"/>
  <c r="AX266" i="9"/>
  <c r="AX267" i="9"/>
  <c r="AX268" i="9"/>
  <c r="AX269" i="9"/>
  <c r="AX270" i="9"/>
  <c r="AX271" i="9"/>
  <c r="AX272" i="9"/>
  <c r="AX273" i="9"/>
  <c r="AX274" i="9"/>
  <c r="AX275" i="9"/>
  <c r="AX276" i="9"/>
  <c r="AX277" i="9"/>
  <c r="AX278" i="9"/>
  <c r="AX279" i="9"/>
  <c r="AX280" i="9"/>
  <c r="AX281" i="9"/>
  <c r="AX282" i="9"/>
  <c r="AX283" i="9"/>
  <c r="AX284" i="9"/>
  <c r="AX285" i="9"/>
  <c r="AX286" i="9"/>
  <c r="AX287" i="9"/>
  <c r="AX288" i="9"/>
  <c r="AX289" i="9"/>
  <c r="AX2" i="9"/>
  <c r="AX3" i="10"/>
  <c r="AX4" i="10"/>
  <c r="AX5" i="10"/>
  <c r="AX6" i="10"/>
  <c r="AX7" i="10"/>
  <c r="AX8" i="10"/>
  <c r="AX9" i="10"/>
  <c r="AX10" i="10"/>
  <c r="AX11" i="10"/>
  <c r="AX12" i="10"/>
  <c r="AX13" i="10"/>
  <c r="AX14" i="10"/>
  <c r="AX15" i="10"/>
  <c r="AX16" i="10"/>
  <c r="AX17" i="10"/>
  <c r="AX18" i="10"/>
  <c r="AX19" i="10"/>
  <c r="AX20" i="10"/>
  <c r="AX21" i="10"/>
  <c r="AX22" i="10"/>
  <c r="AX23" i="10"/>
  <c r="AX24" i="10"/>
  <c r="AX25" i="10"/>
  <c r="AX26" i="10"/>
  <c r="AX27" i="10"/>
  <c r="AX28" i="10"/>
  <c r="AX29" i="10"/>
  <c r="AX30" i="10"/>
  <c r="AX31" i="10"/>
  <c r="AX32" i="10"/>
  <c r="AX33" i="10"/>
  <c r="AX34" i="10"/>
  <c r="AX35" i="10"/>
  <c r="AX36" i="10"/>
  <c r="AX37" i="10"/>
  <c r="AX38" i="10"/>
  <c r="AX39" i="10"/>
  <c r="AX40" i="10"/>
  <c r="AX41" i="10"/>
  <c r="AX42" i="10"/>
  <c r="AX43" i="10"/>
  <c r="AX44" i="10"/>
  <c r="AX45" i="10"/>
  <c r="AX46" i="10"/>
  <c r="AX47" i="10"/>
  <c r="AX48" i="10"/>
  <c r="AX49" i="10"/>
  <c r="AX50" i="10"/>
  <c r="AX51" i="10"/>
  <c r="AX52" i="10"/>
  <c r="AX53" i="10"/>
  <c r="AX54" i="10"/>
  <c r="AX55" i="10"/>
  <c r="AX56" i="10"/>
  <c r="AX57" i="10"/>
  <c r="AX58" i="10"/>
  <c r="AX59" i="10"/>
  <c r="AX60" i="10"/>
  <c r="AX61" i="10"/>
  <c r="AX62" i="10"/>
  <c r="AX63" i="10"/>
  <c r="AX64" i="10"/>
  <c r="AX65" i="10"/>
  <c r="AX66" i="10"/>
  <c r="AX67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" i="10"/>
  <c r="BY3" i="10" l="1"/>
  <c r="BZ3" i="10"/>
  <c r="BY4" i="10"/>
  <c r="BZ4" i="10"/>
  <c r="BY5" i="10"/>
  <c r="BZ5" i="10"/>
  <c r="BY6" i="10"/>
  <c r="BZ6" i="10"/>
  <c r="BY7" i="10"/>
  <c r="BZ7" i="10"/>
  <c r="BY8" i="10"/>
  <c r="BZ8" i="10"/>
  <c r="BY9" i="10"/>
  <c r="BZ9" i="10"/>
  <c r="BY10" i="10"/>
  <c r="BZ10" i="10"/>
  <c r="BY11" i="10"/>
  <c r="BZ11" i="10"/>
  <c r="BY12" i="10"/>
  <c r="BZ12" i="10"/>
  <c r="BY13" i="10"/>
  <c r="BZ13" i="10"/>
  <c r="BY14" i="10"/>
  <c r="BZ14" i="10"/>
  <c r="BY15" i="10"/>
  <c r="BZ15" i="10"/>
  <c r="BY16" i="10"/>
  <c r="BZ16" i="10"/>
  <c r="BY17" i="10"/>
  <c r="BZ17" i="10"/>
  <c r="BY18" i="10"/>
  <c r="BZ18" i="10"/>
  <c r="BY19" i="10"/>
  <c r="BZ19" i="10"/>
  <c r="BY20" i="10"/>
  <c r="BZ20" i="10"/>
  <c r="BY21" i="10"/>
  <c r="BZ21" i="10"/>
  <c r="BY22" i="10"/>
  <c r="BZ22" i="10"/>
  <c r="BY23" i="10"/>
  <c r="BZ23" i="10"/>
  <c r="BY24" i="10"/>
  <c r="BZ24" i="10"/>
  <c r="BY25" i="10"/>
  <c r="BZ25" i="10"/>
  <c r="BY26" i="10"/>
  <c r="BZ26" i="10"/>
  <c r="BY27" i="10"/>
  <c r="BZ27" i="10"/>
  <c r="BY28" i="10"/>
  <c r="BZ28" i="10"/>
  <c r="BY29" i="10"/>
  <c r="BZ29" i="10"/>
  <c r="BY30" i="10"/>
  <c r="BZ30" i="10"/>
  <c r="BY31" i="10"/>
  <c r="BZ31" i="10"/>
  <c r="BY32" i="10"/>
  <c r="BZ32" i="10"/>
  <c r="BY33" i="10"/>
  <c r="BZ33" i="10"/>
  <c r="BY34" i="10"/>
  <c r="BZ34" i="10"/>
  <c r="BY35" i="10"/>
  <c r="BZ35" i="10"/>
  <c r="BY36" i="10"/>
  <c r="BZ36" i="10"/>
  <c r="BY37" i="10"/>
  <c r="BZ37" i="10"/>
  <c r="BY38" i="10"/>
  <c r="BZ38" i="10"/>
  <c r="BY39" i="10"/>
  <c r="BZ39" i="10"/>
  <c r="BY40" i="10"/>
  <c r="BZ40" i="10"/>
  <c r="BY41" i="10"/>
  <c r="BZ41" i="10"/>
  <c r="BY42" i="10"/>
  <c r="BZ42" i="10"/>
  <c r="BY43" i="10"/>
  <c r="BZ43" i="10"/>
  <c r="BY44" i="10"/>
  <c r="BZ44" i="10"/>
  <c r="BY45" i="10"/>
  <c r="BZ45" i="10"/>
  <c r="BY46" i="10"/>
  <c r="BZ46" i="10"/>
  <c r="BY47" i="10"/>
  <c r="BZ47" i="10"/>
  <c r="BY48" i="10"/>
  <c r="BZ48" i="10"/>
  <c r="BY49" i="10"/>
  <c r="BZ49" i="10"/>
  <c r="BY50" i="10"/>
  <c r="BZ50" i="10"/>
  <c r="BY51" i="10"/>
  <c r="BZ51" i="10"/>
  <c r="BY52" i="10"/>
  <c r="BZ52" i="10"/>
  <c r="BY53" i="10"/>
  <c r="BZ53" i="10"/>
  <c r="BY54" i="10"/>
  <c r="BZ54" i="10"/>
  <c r="BY55" i="10"/>
  <c r="BZ55" i="10"/>
  <c r="BY56" i="10"/>
  <c r="BZ56" i="10"/>
  <c r="BY57" i="10"/>
  <c r="BZ57" i="10"/>
  <c r="BY58" i="10"/>
  <c r="BZ58" i="10"/>
  <c r="BY59" i="10"/>
  <c r="BZ59" i="10"/>
  <c r="BY60" i="10"/>
  <c r="BZ60" i="10"/>
  <c r="BY61" i="10"/>
  <c r="BZ61" i="10"/>
  <c r="BY62" i="10"/>
  <c r="BZ62" i="10"/>
  <c r="BY63" i="10"/>
  <c r="BZ63" i="10"/>
  <c r="BY64" i="10"/>
  <c r="BZ64" i="10"/>
  <c r="BY65" i="10"/>
  <c r="BZ65" i="10"/>
  <c r="BY66" i="10"/>
  <c r="BZ66" i="10"/>
  <c r="BY67" i="10"/>
  <c r="BZ67" i="10"/>
  <c r="BZ2" i="10"/>
  <c r="BY2" i="10"/>
  <c r="BL236" i="10"/>
  <c r="BL235" i="10"/>
  <c r="BL234" i="10"/>
  <c r="BL233" i="10"/>
  <c r="BL232" i="10"/>
  <c r="BL231" i="10"/>
  <c r="BL230" i="10"/>
  <c r="BL229" i="10"/>
  <c r="BL228" i="10"/>
  <c r="BL227" i="10"/>
  <c r="BL226" i="10"/>
  <c r="BL225" i="10"/>
  <c r="BL224" i="10"/>
  <c r="BL223" i="10"/>
  <c r="BL222" i="10"/>
  <c r="BL221" i="10"/>
  <c r="BL220" i="10"/>
  <c r="BL219" i="10"/>
  <c r="BL218" i="10"/>
  <c r="BL217" i="10"/>
  <c r="BL216" i="10"/>
  <c r="BL215" i="10"/>
  <c r="BL214" i="10"/>
  <c r="BL213" i="10"/>
  <c r="BL212" i="10"/>
  <c r="BL211" i="10"/>
  <c r="BL210" i="10"/>
  <c r="BL209" i="10"/>
  <c r="BL208" i="10"/>
  <c r="BL207" i="10"/>
  <c r="BL206" i="10"/>
  <c r="BL205" i="10"/>
  <c r="BL204" i="10"/>
  <c r="BL203" i="10"/>
  <c r="BL202" i="10"/>
  <c r="BL201" i="10"/>
  <c r="BL200" i="10"/>
  <c r="BL199" i="10"/>
  <c r="BL198" i="10"/>
  <c r="BL197" i="10"/>
  <c r="BL196" i="10"/>
  <c r="BL195" i="10"/>
  <c r="BL194" i="10"/>
  <c r="BL193" i="10"/>
  <c r="BL192" i="10"/>
  <c r="BL191" i="10"/>
  <c r="BL190" i="10"/>
  <c r="BL189" i="10"/>
  <c r="BL188" i="10"/>
  <c r="BL187" i="10"/>
  <c r="BL186" i="10"/>
  <c r="BL185" i="10"/>
  <c r="BL184" i="10"/>
  <c r="BL183" i="10"/>
  <c r="BL182" i="10"/>
  <c r="BL181" i="10"/>
  <c r="BL180" i="10"/>
  <c r="BL179" i="10"/>
  <c r="BL178" i="10"/>
  <c r="BL177" i="10"/>
  <c r="BL176" i="10"/>
  <c r="BL175" i="10"/>
  <c r="BL174" i="10"/>
  <c r="BL173" i="10"/>
  <c r="BL172" i="10"/>
  <c r="BL171" i="10"/>
  <c r="BL170" i="10"/>
  <c r="BL169" i="10"/>
  <c r="BL168" i="10"/>
  <c r="BL167" i="10"/>
  <c r="BL166" i="10"/>
  <c r="BL165" i="10"/>
  <c r="BL164" i="10"/>
  <c r="BL163" i="10"/>
  <c r="BL162" i="10"/>
  <c r="BL161" i="10"/>
  <c r="BL160" i="10"/>
  <c r="BL159" i="10"/>
  <c r="BL158" i="10"/>
  <c r="BL157" i="10"/>
  <c r="BL156" i="10"/>
  <c r="BL155" i="10"/>
  <c r="BL154" i="10"/>
  <c r="BL153" i="10"/>
  <c r="BL152" i="10"/>
  <c r="BL151" i="10"/>
  <c r="BL150" i="10"/>
  <c r="BL149" i="10"/>
  <c r="BL148" i="10"/>
  <c r="BL147" i="10"/>
  <c r="BL146" i="10"/>
  <c r="BL145" i="10"/>
  <c r="BL144" i="10"/>
  <c r="BL143" i="10"/>
  <c r="BL142" i="10"/>
  <c r="BL141" i="10"/>
  <c r="BL140" i="10"/>
  <c r="BL139" i="10"/>
  <c r="BL138" i="10"/>
  <c r="BL137" i="10"/>
  <c r="BL136" i="10"/>
  <c r="BL135" i="10"/>
  <c r="BL134" i="10"/>
  <c r="BL133" i="10"/>
  <c r="BL132" i="10"/>
  <c r="BL131" i="10"/>
  <c r="BL130" i="10"/>
  <c r="BL129" i="10"/>
  <c r="BL128" i="10"/>
  <c r="BL127" i="10"/>
  <c r="BL126" i="10"/>
  <c r="BL125" i="10"/>
  <c r="BL124" i="10"/>
  <c r="BL123" i="10"/>
  <c r="BL122" i="10"/>
  <c r="BL121" i="10"/>
  <c r="BL120" i="10"/>
  <c r="BL119" i="10"/>
  <c r="BL118" i="10"/>
  <c r="BL117" i="10"/>
  <c r="BL116" i="10"/>
  <c r="BL115" i="10"/>
  <c r="BL114" i="10"/>
  <c r="BL113" i="10"/>
  <c r="BL112" i="10"/>
  <c r="BL111" i="10"/>
  <c r="BL110" i="10"/>
  <c r="BL109" i="10"/>
  <c r="BL108" i="10"/>
  <c r="BL107" i="10"/>
  <c r="BL106" i="10"/>
  <c r="BL105" i="10"/>
  <c r="BL104" i="10"/>
  <c r="BL103" i="10"/>
  <c r="BL102" i="10"/>
  <c r="BL101" i="10"/>
  <c r="BL100" i="10"/>
  <c r="BL99" i="10"/>
  <c r="BL98" i="10"/>
  <c r="BL97" i="10"/>
  <c r="BL96" i="10"/>
  <c r="BL95" i="10"/>
  <c r="BL94" i="10"/>
  <c r="BL93" i="10"/>
  <c r="BL92" i="10"/>
  <c r="BL91" i="10"/>
  <c r="BL90" i="10"/>
  <c r="BL89" i="10"/>
  <c r="BL88" i="10"/>
  <c r="BL87" i="10"/>
  <c r="BL86" i="10"/>
  <c r="BL85" i="10"/>
  <c r="BL84" i="10"/>
  <c r="BL83" i="10"/>
  <c r="BL82" i="10"/>
  <c r="BL81" i="10"/>
  <c r="BL80" i="10"/>
  <c r="BL79" i="10"/>
  <c r="BL78" i="10"/>
  <c r="BL77" i="10"/>
  <c r="BL76" i="10"/>
  <c r="BL75" i="10"/>
  <c r="BL74" i="10"/>
  <c r="BL73" i="10"/>
  <c r="BL72" i="10"/>
  <c r="BL71" i="10"/>
  <c r="BL70" i="10"/>
  <c r="BL69" i="10"/>
  <c r="BL68" i="10"/>
  <c r="BL67" i="10"/>
  <c r="BL66" i="10"/>
  <c r="BL65" i="10"/>
  <c r="BL64" i="10"/>
  <c r="BL63" i="10"/>
  <c r="BL62" i="10"/>
  <c r="BL61" i="10"/>
  <c r="BL60" i="10"/>
  <c r="BL59" i="10"/>
  <c r="BL58" i="10"/>
  <c r="BL57" i="10"/>
  <c r="BL56" i="10"/>
  <c r="BL55" i="10"/>
  <c r="BL54" i="10"/>
  <c r="BL53" i="10"/>
  <c r="BL52" i="10"/>
  <c r="BL51" i="10"/>
  <c r="BL50" i="10"/>
  <c r="BL49" i="10"/>
  <c r="BL48" i="10"/>
  <c r="BL47" i="10"/>
  <c r="BL46" i="10"/>
  <c r="BL45" i="10"/>
  <c r="BL44" i="10"/>
  <c r="BL43" i="10"/>
  <c r="BL42" i="10"/>
  <c r="BL41" i="10"/>
  <c r="BL40" i="10"/>
  <c r="BL39" i="10"/>
  <c r="BL38" i="10"/>
  <c r="BL37" i="10"/>
  <c r="BL36" i="10"/>
  <c r="BL35" i="10"/>
  <c r="BL34" i="10"/>
  <c r="BL33" i="10"/>
  <c r="BL32" i="10"/>
  <c r="BL31" i="10"/>
  <c r="BL30" i="10"/>
  <c r="BL29" i="10"/>
  <c r="BL28" i="10"/>
  <c r="BL27" i="10"/>
  <c r="BL26" i="10"/>
  <c r="BL25" i="10"/>
  <c r="BL24" i="10"/>
  <c r="BL23" i="10"/>
  <c r="BL22" i="10"/>
  <c r="BL21" i="10"/>
  <c r="BL20" i="10"/>
  <c r="BL19" i="10"/>
  <c r="BL18" i="10"/>
  <c r="BL17" i="10"/>
  <c r="BL16" i="10"/>
  <c r="BL15" i="10"/>
  <c r="BL14" i="10"/>
  <c r="BL13" i="10"/>
  <c r="BL12" i="10"/>
  <c r="BL11" i="10"/>
  <c r="BL10" i="10"/>
  <c r="BL9" i="10"/>
  <c r="BL8" i="10"/>
  <c r="BL7" i="10"/>
  <c r="BL6" i="10"/>
  <c r="BL5" i="10"/>
  <c r="BL4" i="10"/>
  <c r="BL3" i="10"/>
  <c r="BL2" i="10"/>
  <c r="BK3" i="10" l="1"/>
  <c r="BJ3" i="10"/>
  <c r="BJ4" i="10"/>
  <c r="BJ5" i="10"/>
  <c r="BJ6" i="10"/>
  <c r="BJ7" i="10"/>
  <c r="BJ8" i="10"/>
  <c r="BJ9" i="10"/>
  <c r="BJ10" i="10"/>
  <c r="BJ11" i="10"/>
  <c r="BJ12" i="10"/>
  <c r="BJ13" i="10"/>
  <c r="BJ14" i="10"/>
  <c r="BJ15" i="10"/>
  <c r="BJ16" i="10"/>
  <c r="BJ17" i="10"/>
  <c r="BJ18" i="10"/>
  <c r="BJ19" i="10"/>
  <c r="BJ20" i="10"/>
  <c r="BJ21" i="10"/>
  <c r="BJ22" i="10"/>
  <c r="BJ23" i="10"/>
  <c r="BJ24" i="10"/>
  <c r="BJ25" i="10"/>
  <c r="BJ26" i="10"/>
  <c r="BJ27" i="10"/>
  <c r="BJ28" i="10"/>
  <c r="BJ29" i="10"/>
  <c r="BJ30" i="10"/>
  <c r="BJ31" i="10"/>
  <c r="BJ32" i="10"/>
  <c r="BJ33" i="10"/>
  <c r="BJ34" i="10"/>
  <c r="BJ35" i="10"/>
  <c r="BJ36" i="10"/>
  <c r="BJ37" i="10"/>
  <c r="BJ38" i="10"/>
  <c r="BJ39" i="10"/>
  <c r="BJ40" i="10"/>
  <c r="BJ41" i="10"/>
  <c r="BJ42" i="10"/>
  <c r="BJ43" i="10"/>
  <c r="BJ44" i="10"/>
  <c r="BJ45" i="10"/>
  <c r="BJ46" i="10"/>
  <c r="BJ47" i="10"/>
  <c r="BJ48" i="10"/>
  <c r="BJ49" i="10"/>
  <c r="BJ50" i="10"/>
  <c r="BJ51" i="10"/>
  <c r="BJ52" i="10"/>
  <c r="BJ53" i="10"/>
  <c r="BJ54" i="10"/>
  <c r="BJ55" i="10"/>
  <c r="BJ56" i="10"/>
  <c r="BJ57" i="10"/>
  <c r="BJ58" i="10"/>
  <c r="BJ59" i="10"/>
  <c r="BJ60" i="10"/>
  <c r="BJ61" i="10"/>
  <c r="BJ62" i="10"/>
  <c r="BJ63" i="10"/>
  <c r="BJ64" i="10"/>
  <c r="BJ65" i="10"/>
  <c r="BJ66" i="10"/>
  <c r="BJ67" i="10"/>
  <c r="BJ2" i="10"/>
  <c r="BI236" i="10"/>
  <c r="BI235" i="10"/>
  <c r="BI234" i="10"/>
  <c r="BI233" i="10"/>
  <c r="BI232" i="10"/>
  <c r="BI231" i="10"/>
  <c r="BI230" i="10"/>
  <c r="BI229" i="10"/>
  <c r="BI228" i="10"/>
  <c r="BI227" i="10"/>
  <c r="BI226" i="10"/>
  <c r="BI225" i="10"/>
  <c r="BI224" i="10"/>
  <c r="BI223" i="10"/>
  <c r="BI222" i="10"/>
  <c r="BI221" i="10"/>
  <c r="BI220" i="10"/>
  <c r="BI219" i="10"/>
  <c r="BI218" i="10"/>
  <c r="BI217" i="10"/>
  <c r="BI216" i="10"/>
  <c r="BI215" i="10"/>
  <c r="BI214" i="10"/>
  <c r="BI213" i="10"/>
  <c r="BI212" i="10"/>
  <c r="BI211" i="10"/>
  <c r="BI210" i="10"/>
  <c r="BI209" i="10"/>
  <c r="BI208" i="10"/>
  <c r="BI207" i="10"/>
  <c r="BI206" i="10"/>
  <c r="BI205" i="10"/>
  <c r="BI204" i="10"/>
  <c r="BI203" i="10"/>
  <c r="BI202" i="10"/>
  <c r="BI201" i="10"/>
  <c r="BI200" i="10"/>
  <c r="BI199" i="10"/>
  <c r="BI198" i="10"/>
  <c r="BI197" i="10"/>
  <c r="BI196" i="10"/>
  <c r="BI195" i="10"/>
  <c r="BI194" i="10"/>
  <c r="BI193" i="10"/>
  <c r="BI192" i="10"/>
  <c r="BI191" i="10"/>
  <c r="BI190" i="10"/>
  <c r="BI189" i="10"/>
  <c r="BI188" i="10"/>
  <c r="BI187" i="10"/>
  <c r="BI186" i="10"/>
  <c r="BI185" i="10"/>
  <c r="BI184" i="10"/>
  <c r="BI183" i="10"/>
  <c r="BI182" i="10"/>
  <c r="BI181" i="10"/>
  <c r="BI180" i="10"/>
  <c r="BI179" i="10"/>
  <c r="BI178" i="10"/>
  <c r="BI177" i="10"/>
  <c r="BI176" i="10"/>
  <c r="BI175" i="10"/>
  <c r="BI174" i="10"/>
  <c r="BI173" i="10"/>
  <c r="BI172" i="10"/>
  <c r="BI171" i="10"/>
  <c r="BI170" i="10"/>
  <c r="BI169" i="10"/>
  <c r="BI168" i="10"/>
  <c r="BI167" i="10"/>
  <c r="BI166" i="10"/>
  <c r="BI165" i="10"/>
  <c r="BI164" i="10"/>
  <c r="BI163" i="10"/>
  <c r="BI162" i="10"/>
  <c r="BI161" i="10"/>
  <c r="BI160" i="10"/>
  <c r="BI159" i="10"/>
  <c r="BI158" i="10"/>
  <c r="BI157" i="10"/>
  <c r="BI156" i="10"/>
  <c r="BI155" i="10"/>
  <c r="BI154" i="10"/>
  <c r="BI153" i="10"/>
  <c r="BI152" i="10"/>
  <c r="BI151" i="10"/>
  <c r="BI150" i="10"/>
  <c r="BI149" i="10"/>
  <c r="BI148" i="10"/>
  <c r="BI147" i="10"/>
  <c r="BI146" i="10"/>
  <c r="BI145" i="10"/>
  <c r="BI144" i="10"/>
  <c r="BI143" i="10"/>
  <c r="BI142" i="10"/>
  <c r="BI141" i="10"/>
  <c r="BI140" i="10"/>
  <c r="BI139" i="10"/>
  <c r="BI138" i="10"/>
  <c r="BI137" i="10"/>
  <c r="BI136" i="10"/>
  <c r="BI135" i="10"/>
  <c r="BI134" i="10"/>
  <c r="BI133" i="10"/>
  <c r="BI132" i="10"/>
  <c r="BI131" i="10"/>
  <c r="BI130" i="10"/>
  <c r="BI129" i="10"/>
  <c r="BI128" i="10"/>
  <c r="BI127" i="10"/>
  <c r="BI126" i="10"/>
  <c r="BI125" i="10"/>
  <c r="BI124" i="10"/>
  <c r="BI123" i="10"/>
  <c r="BI122" i="10"/>
  <c r="BI121" i="10"/>
  <c r="BI120" i="10"/>
  <c r="BI119" i="10"/>
  <c r="BI118" i="10"/>
  <c r="BI117" i="10"/>
  <c r="BI116" i="10"/>
  <c r="BI115" i="10"/>
  <c r="BI114" i="10"/>
  <c r="BI113" i="10"/>
  <c r="BI112" i="10"/>
  <c r="BI111" i="10"/>
  <c r="BI110" i="10"/>
  <c r="BI109" i="10"/>
  <c r="BI108" i="10"/>
  <c r="BI107" i="10"/>
  <c r="BI106" i="10"/>
  <c r="BI105" i="10"/>
  <c r="BI104" i="10"/>
  <c r="BI103" i="10"/>
  <c r="BI102" i="10"/>
  <c r="BI101" i="10"/>
  <c r="BI100" i="10"/>
  <c r="BI99" i="10"/>
  <c r="BI98" i="10"/>
  <c r="BI97" i="10"/>
  <c r="BI96" i="10"/>
  <c r="BI95" i="10"/>
  <c r="BI94" i="10"/>
  <c r="BI93" i="10"/>
  <c r="BI92" i="10"/>
  <c r="BI91" i="10"/>
  <c r="BI90" i="10"/>
  <c r="BI89" i="10"/>
  <c r="BI88" i="10"/>
  <c r="BI87" i="10"/>
  <c r="BI86" i="10"/>
  <c r="BI85" i="10"/>
  <c r="BI84" i="10"/>
  <c r="BI83" i="10"/>
  <c r="BI82" i="10"/>
  <c r="BI81" i="10"/>
  <c r="BI80" i="10"/>
  <c r="BI79" i="10"/>
  <c r="BI78" i="10"/>
  <c r="BI77" i="10"/>
  <c r="BI76" i="10"/>
  <c r="BI75" i="10"/>
  <c r="BI74" i="10"/>
  <c r="BI73" i="10"/>
  <c r="BI72" i="10"/>
  <c r="BI71" i="10"/>
  <c r="BI70" i="10"/>
  <c r="BI69" i="10"/>
  <c r="BI68" i="10"/>
  <c r="BI67" i="10"/>
  <c r="BI66" i="10"/>
  <c r="BI65" i="10"/>
  <c r="BI64" i="10"/>
  <c r="BI63" i="10"/>
  <c r="BI62" i="10"/>
  <c r="BI61" i="10"/>
  <c r="BI60" i="10"/>
  <c r="BI59" i="10"/>
  <c r="BI58" i="10"/>
  <c r="BI57" i="10"/>
  <c r="BI56" i="10"/>
  <c r="BI55" i="10"/>
  <c r="BI54" i="10"/>
  <c r="BI53" i="10"/>
  <c r="BI52" i="10"/>
  <c r="BI51" i="10"/>
  <c r="BI50" i="10"/>
  <c r="BI49" i="10"/>
  <c r="BI48" i="10"/>
  <c r="BI47" i="10"/>
  <c r="BI46" i="10"/>
  <c r="BI45" i="10"/>
  <c r="BI44" i="10"/>
  <c r="BI43" i="10"/>
  <c r="BI42" i="10"/>
  <c r="BI41" i="10"/>
  <c r="BI40" i="10"/>
  <c r="BI39" i="10"/>
  <c r="BI38" i="10"/>
  <c r="BI37" i="10"/>
  <c r="BI36" i="10"/>
  <c r="BI35" i="10"/>
  <c r="BI34" i="10"/>
  <c r="BI33" i="10"/>
  <c r="BI32" i="10"/>
  <c r="BI31" i="10"/>
  <c r="BI30" i="10"/>
  <c r="BI29" i="10"/>
  <c r="BI28" i="10"/>
  <c r="BI27" i="10"/>
  <c r="BI26" i="10"/>
  <c r="BI25" i="10"/>
  <c r="BI24" i="10"/>
  <c r="BI23" i="10"/>
  <c r="BI22" i="10"/>
  <c r="BI21" i="10"/>
  <c r="BI20" i="10"/>
  <c r="BI19" i="10"/>
  <c r="BI18" i="10"/>
  <c r="BI17" i="10"/>
  <c r="BI16" i="10"/>
  <c r="BI15" i="10"/>
  <c r="BI14" i="10"/>
  <c r="BI13" i="10"/>
  <c r="BI12" i="10"/>
  <c r="BI11" i="10"/>
  <c r="BI10" i="10"/>
  <c r="BI9" i="10"/>
  <c r="BI8" i="10"/>
  <c r="BI7" i="10"/>
  <c r="BI6" i="10"/>
  <c r="BI5" i="10"/>
  <c r="BI4" i="10"/>
  <c r="BI3" i="10"/>
  <c r="AY236" i="10" l="1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3" i="10"/>
  <c r="AY2" i="10"/>
  <c r="BZ286" i="10" l="1"/>
  <c r="BY286" i="10"/>
  <c r="BZ285" i="10"/>
  <c r="BY285" i="10"/>
  <c r="BZ284" i="10"/>
  <c r="BY284" i="10"/>
  <c r="BZ283" i="10"/>
  <c r="BY283" i="10"/>
  <c r="BZ282" i="10"/>
  <c r="BY282" i="10"/>
  <c r="BZ281" i="10"/>
  <c r="BY281" i="10"/>
  <c r="BZ280" i="10"/>
  <c r="BY280" i="10"/>
  <c r="BZ279" i="10"/>
  <c r="BY279" i="10"/>
  <c r="BZ278" i="10"/>
  <c r="BY278" i="10"/>
  <c r="BZ277" i="10"/>
  <c r="BY277" i="10"/>
  <c r="BZ276" i="10"/>
  <c r="BY276" i="10"/>
  <c r="BZ275" i="10"/>
  <c r="BY275" i="10"/>
  <c r="BZ274" i="10"/>
  <c r="BY274" i="10"/>
  <c r="BZ273" i="10"/>
  <c r="BY273" i="10"/>
  <c r="BZ272" i="10"/>
  <c r="BY272" i="10"/>
  <c r="BZ271" i="10"/>
  <c r="BY271" i="10"/>
  <c r="BZ270" i="10"/>
  <c r="BY270" i="10"/>
  <c r="BZ269" i="10"/>
  <c r="BY269" i="10"/>
  <c r="BZ268" i="10"/>
  <c r="BY268" i="10"/>
  <c r="BZ267" i="10"/>
  <c r="BY267" i="10"/>
  <c r="BZ266" i="10"/>
  <c r="BY266" i="10"/>
  <c r="BZ265" i="10"/>
  <c r="BY265" i="10"/>
  <c r="BZ264" i="10"/>
  <c r="BY264" i="10"/>
  <c r="BZ263" i="10"/>
  <c r="BY263" i="10"/>
  <c r="BZ262" i="10"/>
  <c r="BY262" i="10"/>
  <c r="BZ261" i="10"/>
  <c r="BY261" i="10"/>
  <c r="BZ260" i="10"/>
  <c r="BY260" i="10"/>
  <c r="BZ259" i="10"/>
  <c r="BY259" i="10"/>
  <c r="BZ258" i="10"/>
  <c r="BY258" i="10"/>
  <c r="BZ257" i="10"/>
  <c r="BY257" i="10"/>
  <c r="BZ256" i="10"/>
  <c r="BY256" i="10"/>
  <c r="BZ255" i="10"/>
  <c r="BY255" i="10"/>
  <c r="BZ254" i="10"/>
  <c r="BY254" i="10"/>
  <c r="BZ253" i="10"/>
  <c r="BY253" i="10"/>
  <c r="BZ252" i="10"/>
  <c r="BY252" i="10"/>
  <c r="BZ251" i="10"/>
  <c r="BY251" i="10"/>
  <c r="BZ250" i="10"/>
  <c r="BY250" i="10"/>
  <c r="BZ249" i="10"/>
  <c r="BY249" i="10"/>
  <c r="BZ248" i="10"/>
  <c r="BY248" i="10"/>
  <c r="BZ247" i="10"/>
  <c r="BY247" i="10"/>
  <c r="BZ246" i="10"/>
  <c r="BY246" i="10"/>
  <c r="BZ245" i="10"/>
  <c r="BY245" i="10"/>
  <c r="BZ244" i="10"/>
  <c r="BY244" i="10"/>
  <c r="BZ243" i="10"/>
  <c r="BY243" i="10"/>
  <c r="BZ242" i="10"/>
  <c r="BY242" i="10"/>
  <c r="BZ241" i="10"/>
  <c r="BY241" i="10"/>
  <c r="BZ240" i="10"/>
  <c r="BY240" i="10"/>
  <c r="BZ239" i="10"/>
  <c r="BY239" i="10"/>
  <c r="BZ238" i="10"/>
  <c r="BY238" i="10"/>
  <c r="BZ237" i="10"/>
  <c r="BY237" i="10"/>
  <c r="BZ236" i="10"/>
  <c r="BY236" i="10"/>
  <c r="BK236" i="10"/>
  <c r="BJ236" i="10"/>
  <c r="BZ235" i="10"/>
  <c r="BY235" i="10"/>
  <c r="BK235" i="10"/>
  <c r="BJ235" i="10"/>
  <c r="BZ234" i="10"/>
  <c r="BY234" i="10"/>
  <c r="BK234" i="10"/>
  <c r="BJ234" i="10"/>
  <c r="BZ233" i="10"/>
  <c r="BY233" i="10"/>
  <c r="BK233" i="10"/>
  <c r="BJ233" i="10"/>
  <c r="BZ232" i="10"/>
  <c r="BY232" i="10"/>
  <c r="BK232" i="10"/>
  <c r="BJ232" i="10"/>
  <c r="BZ231" i="10"/>
  <c r="BY231" i="10"/>
  <c r="BK231" i="10"/>
  <c r="BJ231" i="10"/>
  <c r="BZ230" i="10"/>
  <c r="BY230" i="10"/>
  <c r="BK230" i="10"/>
  <c r="BJ230" i="10"/>
  <c r="BZ229" i="10"/>
  <c r="BY229" i="10"/>
  <c r="BK229" i="10"/>
  <c r="BJ229" i="10"/>
  <c r="BZ228" i="10"/>
  <c r="BY228" i="10"/>
  <c r="BK228" i="10"/>
  <c r="BJ228" i="10"/>
  <c r="BZ227" i="10"/>
  <c r="BY227" i="10"/>
  <c r="BK227" i="10"/>
  <c r="BJ227" i="10"/>
  <c r="BZ226" i="10"/>
  <c r="BY226" i="10"/>
  <c r="BK226" i="10"/>
  <c r="BJ226" i="10"/>
  <c r="BZ225" i="10"/>
  <c r="BY225" i="10"/>
  <c r="BK225" i="10"/>
  <c r="BJ225" i="10"/>
  <c r="BZ224" i="10"/>
  <c r="BY224" i="10"/>
  <c r="BK224" i="10"/>
  <c r="BJ224" i="10"/>
  <c r="BZ223" i="10"/>
  <c r="BY223" i="10"/>
  <c r="BK223" i="10"/>
  <c r="BJ223" i="10"/>
  <c r="BZ222" i="10"/>
  <c r="BY222" i="10"/>
  <c r="BK222" i="10"/>
  <c r="BJ222" i="10"/>
  <c r="BZ221" i="10"/>
  <c r="BY221" i="10"/>
  <c r="BK221" i="10"/>
  <c r="BJ221" i="10"/>
  <c r="BZ220" i="10"/>
  <c r="BY220" i="10"/>
  <c r="BK220" i="10"/>
  <c r="BJ220" i="10"/>
  <c r="BZ219" i="10"/>
  <c r="BY219" i="10"/>
  <c r="BK219" i="10"/>
  <c r="BJ219" i="10"/>
  <c r="BZ218" i="10"/>
  <c r="BY218" i="10"/>
  <c r="BK218" i="10"/>
  <c r="BJ218" i="10"/>
  <c r="BZ217" i="10"/>
  <c r="BY217" i="10"/>
  <c r="BK217" i="10"/>
  <c r="BJ217" i="10"/>
  <c r="BZ216" i="10"/>
  <c r="BY216" i="10"/>
  <c r="BK216" i="10"/>
  <c r="BJ216" i="10"/>
  <c r="BZ215" i="10"/>
  <c r="BY215" i="10"/>
  <c r="BK215" i="10"/>
  <c r="BJ215" i="10"/>
  <c r="BZ214" i="10"/>
  <c r="BY214" i="10"/>
  <c r="BK214" i="10"/>
  <c r="BJ214" i="10"/>
  <c r="BZ213" i="10"/>
  <c r="BY213" i="10"/>
  <c r="BK213" i="10"/>
  <c r="BJ213" i="10"/>
  <c r="BZ212" i="10"/>
  <c r="BY212" i="10"/>
  <c r="BK212" i="10"/>
  <c r="BJ212" i="10"/>
  <c r="BZ211" i="10"/>
  <c r="BY211" i="10"/>
  <c r="BK211" i="10"/>
  <c r="BJ211" i="10"/>
  <c r="BZ210" i="10"/>
  <c r="BY210" i="10"/>
  <c r="BK210" i="10"/>
  <c r="BJ210" i="10"/>
  <c r="BZ209" i="10"/>
  <c r="BY209" i="10"/>
  <c r="BK209" i="10"/>
  <c r="BJ209" i="10"/>
  <c r="BZ208" i="10"/>
  <c r="BY208" i="10"/>
  <c r="BK208" i="10"/>
  <c r="BJ208" i="10"/>
  <c r="BZ207" i="10"/>
  <c r="BY207" i="10"/>
  <c r="BK207" i="10"/>
  <c r="BJ207" i="10"/>
  <c r="BZ206" i="10"/>
  <c r="BY206" i="10"/>
  <c r="BK206" i="10"/>
  <c r="BJ206" i="10"/>
  <c r="BZ205" i="10"/>
  <c r="BY205" i="10"/>
  <c r="BK205" i="10"/>
  <c r="BJ205" i="10"/>
  <c r="BZ204" i="10"/>
  <c r="BY204" i="10"/>
  <c r="BK204" i="10"/>
  <c r="BJ204" i="10"/>
  <c r="BZ203" i="10"/>
  <c r="BY203" i="10"/>
  <c r="BK203" i="10"/>
  <c r="BJ203" i="10"/>
  <c r="BZ202" i="10"/>
  <c r="BY202" i="10"/>
  <c r="BK202" i="10"/>
  <c r="BJ202" i="10"/>
  <c r="BZ201" i="10"/>
  <c r="BY201" i="10"/>
  <c r="BK201" i="10"/>
  <c r="BJ201" i="10"/>
  <c r="BZ200" i="10"/>
  <c r="BY200" i="10"/>
  <c r="BK200" i="10"/>
  <c r="BJ200" i="10"/>
  <c r="BZ199" i="10"/>
  <c r="BY199" i="10"/>
  <c r="BK199" i="10"/>
  <c r="BJ199" i="10"/>
  <c r="BZ198" i="10"/>
  <c r="BY198" i="10"/>
  <c r="BK198" i="10"/>
  <c r="BJ198" i="10"/>
  <c r="BZ197" i="10"/>
  <c r="BY197" i="10"/>
  <c r="BK197" i="10"/>
  <c r="BJ197" i="10"/>
  <c r="BZ196" i="10"/>
  <c r="BY196" i="10"/>
  <c r="BK196" i="10"/>
  <c r="BJ196" i="10"/>
  <c r="BZ195" i="10"/>
  <c r="BY195" i="10"/>
  <c r="BK195" i="10"/>
  <c r="BJ195" i="10"/>
  <c r="BZ194" i="10"/>
  <c r="BY194" i="10"/>
  <c r="BK194" i="10"/>
  <c r="BJ194" i="10"/>
  <c r="BZ193" i="10"/>
  <c r="BY193" i="10"/>
  <c r="BK193" i="10"/>
  <c r="BJ193" i="10"/>
  <c r="BZ192" i="10"/>
  <c r="BY192" i="10"/>
  <c r="BK192" i="10"/>
  <c r="BJ192" i="10"/>
  <c r="BZ191" i="10"/>
  <c r="BY191" i="10"/>
  <c r="BK191" i="10"/>
  <c r="BJ191" i="10"/>
  <c r="BZ190" i="10"/>
  <c r="BY190" i="10"/>
  <c r="BK190" i="10"/>
  <c r="BJ190" i="10"/>
  <c r="BZ189" i="10"/>
  <c r="BY189" i="10"/>
  <c r="BK189" i="10"/>
  <c r="BJ189" i="10"/>
  <c r="BZ188" i="10"/>
  <c r="BY188" i="10"/>
  <c r="BK188" i="10"/>
  <c r="BJ188" i="10"/>
  <c r="BZ187" i="10"/>
  <c r="BY187" i="10"/>
  <c r="BK187" i="10"/>
  <c r="BJ187" i="10"/>
  <c r="BZ186" i="10"/>
  <c r="BY186" i="10"/>
  <c r="BK186" i="10"/>
  <c r="BJ186" i="10"/>
  <c r="BZ185" i="10"/>
  <c r="BY185" i="10"/>
  <c r="BK185" i="10"/>
  <c r="BJ185" i="10"/>
  <c r="BZ184" i="10"/>
  <c r="BY184" i="10"/>
  <c r="BK184" i="10"/>
  <c r="BJ184" i="10"/>
  <c r="BZ183" i="10"/>
  <c r="BY183" i="10"/>
  <c r="BK183" i="10"/>
  <c r="BJ183" i="10"/>
  <c r="BZ182" i="10"/>
  <c r="BY182" i="10"/>
  <c r="BK182" i="10"/>
  <c r="BJ182" i="10"/>
  <c r="BZ181" i="10"/>
  <c r="BY181" i="10"/>
  <c r="BK181" i="10"/>
  <c r="BJ181" i="10"/>
  <c r="BZ180" i="10"/>
  <c r="BY180" i="10"/>
  <c r="BK180" i="10"/>
  <c r="BJ180" i="10"/>
  <c r="BZ179" i="10"/>
  <c r="BY179" i="10"/>
  <c r="BK179" i="10"/>
  <c r="BJ179" i="10"/>
  <c r="BZ178" i="10"/>
  <c r="BY178" i="10"/>
  <c r="BK178" i="10"/>
  <c r="BJ178" i="10"/>
  <c r="BZ177" i="10"/>
  <c r="BY177" i="10"/>
  <c r="BK177" i="10"/>
  <c r="BJ177" i="10"/>
  <c r="BZ176" i="10"/>
  <c r="BY176" i="10"/>
  <c r="BK176" i="10"/>
  <c r="BJ176" i="10"/>
  <c r="BZ175" i="10"/>
  <c r="BY175" i="10"/>
  <c r="BK175" i="10"/>
  <c r="BJ175" i="10"/>
  <c r="BZ174" i="10"/>
  <c r="BY174" i="10"/>
  <c r="BJ174" i="10"/>
  <c r="BZ173" i="10"/>
  <c r="BY173" i="10"/>
  <c r="BJ173" i="10"/>
  <c r="BZ172" i="10"/>
  <c r="BY172" i="10"/>
  <c r="BJ172" i="10"/>
  <c r="BZ171" i="10"/>
  <c r="BY171" i="10"/>
  <c r="BJ171" i="10"/>
  <c r="BZ170" i="10"/>
  <c r="BY170" i="10"/>
  <c r="BJ170" i="10"/>
  <c r="BZ169" i="10"/>
  <c r="BY169" i="10"/>
  <c r="BJ169" i="10"/>
  <c r="BZ168" i="10"/>
  <c r="BY168" i="10"/>
  <c r="BJ168" i="10"/>
  <c r="BZ167" i="10"/>
  <c r="BY167" i="10"/>
  <c r="BJ167" i="10"/>
  <c r="BZ166" i="10"/>
  <c r="BY166" i="10"/>
  <c r="BJ166" i="10"/>
  <c r="BZ165" i="10"/>
  <c r="BY165" i="10"/>
  <c r="BJ165" i="10"/>
  <c r="BZ164" i="10"/>
  <c r="BY164" i="10"/>
  <c r="BJ164" i="10"/>
  <c r="BZ163" i="10"/>
  <c r="BY163" i="10"/>
  <c r="BJ163" i="10"/>
  <c r="BZ162" i="10"/>
  <c r="BY162" i="10"/>
  <c r="BJ162" i="10"/>
  <c r="BZ161" i="10"/>
  <c r="BY161" i="10"/>
  <c r="BJ161" i="10"/>
  <c r="BZ160" i="10"/>
  <c r="BY160" i="10"/>
  <c r="BJ160" i="10"/>
  <c r="BZ159" i="10"/>
  <c r="BY159" i="10"/>
  <c r="BJ159" i="10"/>
  <c r="BZ158" i="10"/>
  <c r="BY158" i="10"/>
  <c r="BJ158" i="10"/>
  <c r="BZ157" i="10"/>
  <c r="BY157" i="10"/>
  <c r="BJ157" i="10"/>
  <c r="BZ156" i="10"/>
  <c r="BY156" i="10"/>
  <c r="BJ156" i="10"/>
  <c r="BZ155" i="10"/>
  <c r="BY155" i="10"/>
  <c r="BJ155" i="10"/>
  <c r="BZ154" i="10"/>
  <c r="BY154" i="10"/>
  <c r="BJ154" i="10"/>
  <c r="BZ153" i="10"/>
  <c r="BY153" i="10"/>
  <c r="BJ153" i="10"/>
  <c r="BZ152" i="10"/>
  <c r="BY152" i="10"/>
  <c r="BJ152" i="10"/>
  <c r="BZ151" i="10"/>
  <c r="BY151" i="10"/>
  <c r="BJ151" i="10"/>
  <c r="BZ150" i="10"/>
  <c r="BY150" i="10"/>
  <c r="BJ150" i="10"/>
  <c r="BZ149" i="10"/>
  <c r="BY149" i="10"/>
  <c r="BJ149" i="10"/>
  <c r="BZ148" i="10"/>
  <c r="BY148" i="10"/>
  <c r="BJ148" i="10"/>
  <c r="BZ147" i="10"/>
  <c r="BY147" i="10"/>
  <c r="BJ147" i="10"/>
  <c r="BZ146" i="10"/>
  <c r="BY146" i="10"/>
  <c r="BJ146" i="10"/>
  <c r="BZ145" i="10"/>
  <c r="BY145" i="10"/>
  <c r="BJ145" i="10"/>
  <c r="BZ144" i="10"/>
  <c r="BY144" i="10"/>
  <c r="BJ144" i="10"/>
  <c r="BZ143" i="10"/>
  <c r="BY143" i="10"/>
  <c r="BJ143" i="10"/>
  <c r="BZ142" i="10"/>
  <c r="BY142" i="10"/>
  <c r="BJ142" i="10"/>
  <c r="BZ141" i="10"/>
  <c r="BY141" i="10"/>
  <c r="BJ141" i="10"/>
  <c r="BZ140" i="10"/>
  <c r="BY140" i="10"/>
  <c r="BJ140" i="10"/>
  <c r="BZ139" i="10"/>
  <c r="BY139" i="10"/>
  <c r="BJ139" i="10"/>
  <c r="BZ138" i="10"/>
  <c r="BY138" i="10"/>
  <c r="BJ138" i="10"/>
  <c r="BZ137" i="10"/>
  <c r="BY137" i="10"/>
  <c r="BJ137" i="10"/>
  <c r="BZ136" i="10"/>
  <c r="BY136" i="10"/>
  <c r="BJ136" i="10"/>
  <c r="BZ135" i="10"/>
  <c r="BY135" i="10"/>
  <c r="BJ135" i="10"/>
  <c r="BZ134" i="10"/>
  <c r="BY134" i="10"/>
  <c r="BJ134" i="10"/>
  <c r="BZ133" i="10"/>
  <c r="BY133" i="10"/>
  <c r="BJ133" i="10"/>
  <c r="BZ132" i="10"/>
  <c r="BY132" i="10"/>
  <c r="BJ132" i="10"/>
  <c r="BZ131" i="10"/>
  <c r="BY131" i="10"/>
  <c r="BJ131" i="10"/>
  <c r="BZ130" i="10"/>
  <c r="BY130" i="10"/>
  <c r="BJ130" i="10"/>
  <c r="BZ129" i="10"/>
  <c r="BY129" i="10"/>
  <c r="BJ129" i="10"/>
  <c r="BZ128" i="10"/>
  <c r="BY128" i="10"/>
  <c r="BJ128" i="10"/>
  <c r="BZ127" i="10"/>
  <c r="BY127" i="10"/>
  <c r="BJ127" i="10"/>
  <c r="BZ126" i="10"/>
  <c r="BY126" i="10"/>
  <c r="BJ126" i="10"/>
  <c r="BZ125" i="10"/>
  <c r="BY125" i="10"/>
  <c r="BJ125" i="10"/>
  <c r="BZ124" i="10"/>
  <c r="BY124" i="10"/>
  <c r="BJ124" i="10"/>
  <c r="BZ123" i="10"/>
  <c r="BY123" i="10"/>
  <c r="BJ123" i="10"/>
  <c r="BZ122" i="10"/>
  <c r="BY122" i="10"/>
  <c r="BJ122" i="10"/>
  <c r="BZ121" i="10"/>
  <c r="BY121" i="10"/>
  <c r="BJ121" i="10"/>
  <c r="BZ120" i="10"/>
  <c r="BY120" i="10"/>
  <c r="BJ120" i="10"/>
  <c r="BZ119" i="10"/>
  <c r="BY119" i="10"/>
  <c r="BJ119" i="10"/>
  <c r="BZ118" i="10"/>
  <c r="BY118" i="10"/>
  <c r="BJ118" i="10"/>
  <c r="BZ117" i="10"/>
  <c r="BY117" i="10"/>
  <c r="BJ117" i="10"/>
  <c r="BZ116" i="10"/>
  <c r="BY116" i="10"/>
  <c r="BJ116" i="10"/>
  <c r="BZ115" i="10"/>
  <c r="BY115" i="10"/>
  <c r="BJ115" i="10"/>
  <c r="BZ114" i="10"/>
  <c r="BY114" i="10"/>
  <c r="BJ114" i="10"/>
  <c r="BZ113" i="10"/>
  <c r="BY113" i="10"/>
  <c r="BJ113" i="10"/>
  <c r="BZ112" i="10"/>
  <c r="BY112" i="10"/>
  <c r="BJ112" i="10"/>
  <c r="BZ111" i="10"/>
  <c r="BY111" i="10"/>
  <c r="BJ111" i="10"/>
  <c r="BZ110" i="10"/>
  <c r="BY110" i="10"/>
  <c r="BJ110" i="10"/>
  <c r="BZ109" i="10"/>
  <c r="BY109" i="10"/>
  <c r="BJ109" i="10"/>
  <c r="BZ108" i="10"/>
  <c r="BY108" i="10"/>
  <c r="BJ108" i="10"/>
  <c r="BZ107" i="10"/>
  <c r="BY107" i="10"/>
  <c r="BJ107" i="10"/>
  <c r="BZ106" i="10"/>
  <c r="BY106" i="10"/>
  <c r="BJ106" i="10"/>
  <c r="BZ105" i="10"/>
  <c r="BY105" i="10"/>
  <c r="BJ105" i="10"/>
  <c r="BZ104" i="10"/>
  <c r="BY104" i="10"/>
  <c r="BJ104" i="10"/>
  <c r="BZ103" i="10"/>
  <c r="BY103" i="10"/>
  <c r="BJ103" i="10"/>
  <c r="BZ102" i="10"/>
  <c r="BY102" i="10"/>
  <c r="BJ102" i="10"/>
  <c r="BZ101" i="10"/>
  <c r="BY101" i="10"/>
  <c r="BJ101" i="10"/>
  <c r="BZ100" i="10"/>
  <c r="BY100" i="10"/>
  <c r="BJ100" i="10"/>
  <c r="BZ99" i="10"/>
  <c r="BY99" i="10"/>
  <c r="BJ99" i="10"/>
  <c r="BZ98" i="10"/>
  <c r="BY98" i="10"/>
  <c r="BJ98" i="10"/>
  <c r="BZ97" i="10"/>
  <c r="BY97" i="10"/>
  <c r="BJ97" i="10"/>
  <c r="BZ96" i="10"/>
  <c r="BY96" i="10"/>
  <c r="BJ96" i="10"/>
  <c r="BZ95" i="10"/>
  <c r="BY95" i="10"/>
  <c r="BJ95" i="10"/>
  <c r="BZ94" i="10"/>
  <c r="BY94" i="10"/>
  <c r="BJ94" i="10"/>
  <c r="BZ93" i="10"/>
  <c r="BY93" i="10"/>
  <c r="BJ93" i="10"/>
  <c r="BZ92" i="10"/>
  <c r="BY92" i="10"/>
  <c r="BJ92" i="10"/>
  <c r="BZ91" i="10"/>
  <c r="BY91" i="10"/>
  <c r="BJ91" i="10"/>
  <c r="BZ90" i="10"/>
  <c r="BY90" i="10"/>
  <c r="BJ90" i="10"/>
  <c r="BZ89" i="10"/>
  <c r="BY89" i="10"/>
  <c r="BJ89" i="10"/>
  <c r="BZ88" i="10"/>
  <c r="BY88" i="10"/>
  <c r="BJ88" i="10"/>
  <c r="BZ87" i="10"/>
  <c r="BY87" i="10"/>
  <c r="BJ87" i="10"/>
  <c r="BZ86" i="10"/>
  <c r="BY86" i="10"/>
  <c r="BJ86" i="10"/>
  <c r="BZ85" i="10"/>
  <c r="BY85" i="10"/>
  <c r="BJ85" i="10"/>
  <c r="BZ84" i="10"/>
  <c r="BY84" i="10"/>
  <c r="BJ84" i="10"/>
  <c r="BZ83" i="10"/>
  <c r="BY83" i="10"/>
  <c r="BJ83" i="10"/>
  <c r="BZ82" i="10"/>
  <c r="BY82" i="10"/>
  <c r="BJ82" i="10"/>
  <c r="BZ81" i="10"/>
  <c r="BY81" i="10"/>
  <c r="BJ81" i="10"/>
  <c r="BZ80" i="10"/>
  <c r="BY80" i="10"/>
  <c r="BJ80" i="10"/>
  <c r="BZ79" i="10"/>
  <c r="BY79" i="10"/>
  <c r="BJ79" i="10"/>
  <c r="BZ78" i="10"/>
  <c r="BY78" i="10"/>
  <c r="BJ78" i="10"/>
  <c r="BZ77" i="10"/>
  <c r="BY77" i="10"/>
  <c r="BJ77" i="10"/>
  <c r="BZ76" i="10"/>
  <c r="BY76" i="10"/>
  <c r="BJ76" i="10"/>
  <c r="BZ75" i="10"/>
  <c r="BY75" i="10"/>
  <c r="BJ75" i="10"/>
  <c r="BZ74" i="10"/>
  <c r="BY74" i="10"/>
  <c r="BJ74" i="10"/>
  <c r="BZ73" i="10"/>
  <c r="BY73" i="10"/>
  <c r="BJ73" i="10"/>
  <c r="BZ72" i="10"/>
  <c r="BY72" i="10"/>
  <c r="BJ72" i="10"/>
  <c r="BZ71" i="10"/>
  <c r="BY71" i="10"/>
  <c r="BJ71" i="10"/>
  <c r="BZ70" i="10"/>
  <c r="BY70" i="10"/>
  <c r="BJ70" i="10"/>
  <c r="BZ69" i="10"/>
  <c r="BY69" i="10"/>
  <c r="BJ69" i="10"/>
  <c r="BZ68" i="10"/>
  <c r="BY68" i="10"/>
  <c r="BJ68" i="10"/>
  <c r="BZ289" i="9" l="1"/>
  <c r="BY289" i="9"/>
  <c r="BZ288" i="9"/>
  <c r="BY288" i="9"/>
  <c r="BZ287" i="9"/>
  <c r="BY287" i="9"/>
  <c r="BZ286" i="9"/>
  <c r="BY286" i="9"/>
  <c r="BZ285" i="9"/>
  <c r="BY285" i="9"/>
  <c r="BZ284" i="9"/>
  <c r="BY284" i="9"/>
  <c r="BZ283" i="9"/>
  <c r="BY283" i="9"/>
  <c r="BZ282" i="9"/>
  <c r="BY282" i="9"/>
  <c r="BZ281" i="9"/>
  <c r="BY281" i="9"/>
  <c r="BZ280" i="9"/>
  <c r="BY280" i="9"/>
  <c r="BZ279" i="9"/>
  <c r="BY279" i="9"/>
  <c r="BZ278" i="9"/>
  <c r="BY278" i="9"/>
  <c r="BZ277" i="9"/>
  <c r="BY277" i="9"/>
  <c r="BZ276" i="9"/>
  <c r="BY276" i="9"/>
  <c r="BZ275" i="9"/>
  <c r="BY275" i="9"/>
  <c r="BZ274" i="9"/>
  <c r="BY274" i="9"/>
  <c r="BZ273" i="9"/>
  <c r="BY273" i="9"/>
  <c r="BZ272" i="9"/>
  <c r="BY272" i="9"/>
  <c r="BZ271" i="9"/>
  <c r="BY271" i="9"/>
  <c r="BZ270" i="9"/>
  <c r="BY270" i="9"/>
  <c r="BZ269" i="9"/>
  <c r="BY269" i="9"/>
  <c r="BZ268" i="9"/>
  <c r="BY268" i="9"/>
  <c r="BZ267" i="9"/>
  <c r="BY267" i="9"/>
  <c r="BZ266" i="9"/>
  <c r="BY266" i="9"/>
  <c r="BZ265" i="9"/>
  <c r="BY265" i="9"/>
  <c r="BZ264" i="9"/>
  <c r="BY264" i="9"/>
  <c r="BZ263" i="9"/>
  <c r="BY263" i="9"/>
  <c r="BZ262" i="9"/>
  <c r="BY262" i="9"/>
  <c r="BZ261" i="9"/>
  <c r="BY261" i="9"/>
  <c r="BZ260" i="9"/>
  <c r="BY260" i="9"/>
  <c r="BZ259" i="9"/>
  <c r="BY259" i="9"/>
  <c r="BZ258" i="9"/>
  <c r="BY258" i="9"/>
  <c r="BZ257" i="9"/>
  <c r="BY257" i="9"/>
  <c r="BZ256" i="9"/>
  <c r="BY256" i="9"/>
  <c r="BZ255" i="9"/>
  <c r="BY255" i="9"/>
  <c r="BZ254" i="9"/>
  <c r="BY254" i="9"/>
  <c r="BZ253" i="9"/>
  <c r="BY253" i="9"/>
  <c r="BZ252" i="9"/>
  <c r="BY252" i="9"/>
  <c r="BZ251" i="9"/>
  <c r="BY251" i="9"/>
  <c r="BZ250" i="9"/>
  <c r="BY250" i="9"/>
  <c r="BZ249" i="9"/>
  <c r="BY249" i="9"/>
  <c r="BZ248" i="9"/>
  <c r="BY248" i="9"/>
  <c r="BZ247" i="9"/>
  <c r="BY247" i="9"/>
  <c r="BZ246" i="9"/>
  <c r="BY246" i="9"/>
  <c r="BZ245" i="9"/>
  <c r="BY245" i="9"/>
  <c r="BZ244" i="9"/>
  <c r="BY244" i="9"/>
  <c r="BZ243" i="9"/>
  <c r="BY243" i="9"/>
  <c r="BZ242" i="9"/>
  <c r="BY242" i="9"/>
  <c r="BZ241" i="9"/>
  <c r="BY241" i="9"/>
  <c r="BZ240" i="9"/>
  <c r="BY240" i="9"/>
  <c r="BZ239" i="9"/>
  <c r="BY239" i="9"/>
  <c r="BZ238" i="9"/>
  <c r="BY238" i="9"/>
  <c r="BZ237" i="9"/>
  <c r="BY237" i="9"/>
  <c r="BZ236" i="9"/>
  <c r="BY236" i="9"/>
  <c r="BZ235" i="9"/>
  <c r="BY235" i="9"/>
  <c r="BZ234" i="9"/>
  <c r="BY234" i="9"/>
  <c r="BZ233" i="9"/>
  <c r="BY233" i="9"/>
  <c r="BZ232" i="9"/>
  <c r="BY232" i="9"/>
  <c r="BZ231" i="9"/>
  <c r="BY231" i="9"/>
  <c r="BZ230" i="9"/>
  <c r="BY230" i="9"/>
  <c r="BZ229" i="9"/>
  <c r="BY229" i="9"/>
  <c r="BZ228" i="9"/>
  <c r="BY228" i="9"/>
  <c r="BZ227" i="9"/>
  <c r="BY227" i="9"/>
  <c r="BZ226" i="9"/>
  <c r="BY226" i="9"/>
  <c r="BZ225" i="9"/>
  <c r="BY225" i="9"/>
  <c r="BZ224" i="9"/>
  <c r="BY224" i="9"/>
  <c r="BZ223" i="9"/>
  <c r="BY223" i="9"/>
  <c r="BZ222" i="9"/>
  <c r="BY222" i="9"/>
  <c r="BZ221" i="9"/>
  <c r="BY221" i="9"/>
  <c r="BZ220" i="9"/>
  <c r="BY220" i="9"/>
  <c r="BZ219" i="9"/>
  <c r="BY219" i="9"/>
  <c r="BZ218" i="9"/>
  <c r="BY218" i="9"/>
  <c r="BZ217" i="9"/>
  <c r="BY217" i="9"/>
  <c r="BZ216" i="9"/>
  <c r="BY216" i="9"/>
  <c r="BZ215" i="9"/>
  <c r="BY215" i="9"/>
  <c r="BZ214" i="9"/>
  <c r="BY214" i="9"/>
  <c r="BZ213" i="9"/>
  <c r="BY213" i="9"/>
  <c r="BZ212" i="9"/>
  <c r="BY212" i="9"/>
  <c r="BZ211" i="9"/>
  <c r="BY211" i="9"/>
  <c r="BZ210" i="9"/>
  <c r="BY210" i="9"/>
  <c r="BZ209" i="9"/>
  <c r="BY209" i="9"/>
  <c r="BZ208" i="9"/>
  <c r="BY208" i="9"/>
  <c r="BZ207" i="9"/>
  <c r="BY207" i="9"/>
  <c r="BZ206" i="9"/>
  <c r="BY206" i="9"/>
  <c r="BZ205" i="9"/>
  <c r="BY205" i="9"/>
  <c r="BZ204" i="9"/>
  <c r="BY204" i="9"/>
  <c r="BZ203" i="9"/>
  <c r="BY203" i="9"/>
  <c r="BZ202" i="9"/>
  <c r="BY202" i="9"/>
  <c r="BZ201" i="9"/>
  <c r="BY201" i="9"/>
  <c r="BZ200" i="9"/>
  <c r="BY200" i="9"/>
  <c r="BZ199" i="9"/>
  <c r="BY199" i="9"/>
  <c r="BZ198" i="9"/>
  <c r="BY198" i="9"/>
  <c r="BZ197" i="9"/>
  <c r="BY197" i="9"/>
  <c r="BZ196" i="9"/>
  <c r="BY196" i="9"/>
  <c r="BZ195" i="9"/>
  <c r="BY195" i="9"/>
  <c r="BZ194" i="9"/>
  <c r="BY194" i="9"/>
  <c r="BZ193" i="9"/>
  <c r="BY193" i="9"/>
  <c r="BZ192" i="9"/>
  <c r="BY192" i="9"/>
  <c r="BZ191" i="9"/>
  <c r="BY191" i="9"/>
  <c r="BZ190" i="9"/>
  <c r="BY190" i="9"/>
  <c r="BZ189" i="9"/>
  <c r="BY189" i="9"/>
  <c r="BZ188" i="9"/>
  <c r="BY188" i="9"/>
  <c r="BZ187" i="9"/>
  <c r="BY187" i="9"/>
  <c r="BZ186" i="9"/>
  <c r="BY186" i="9"/>
  <c r="BZ185" i="9"/>
  <c r="BY185" i="9"/>
  <c r="BZ184" i="9"/>
  <c r="BY184" i="9"/>
  <c r="BZ183" i="9"/>
  <c r="BY183" i="9"/>
  <c r="BZ182" i="9"/>
  <c r="BY182" i="9"/>
  <c r="BZ181" i="9"/>
  <c r="BY181" i="9"/>
  <c r="BZ180" i="9"/>
  <c r="BY180" i="9"/>
  <c r="BZ179" i="9"/>
  <c r="BY179" i="9"/>
  <c r="BZ178" i="9"/>
  <c r="BY178" i="9"/>
  <c r="BZ177" i="9"/>
  <c r="BY177" i="9"/>
  <c r="BZ176" i="9"/>
  <c r="BY176" i="9"/>
  <c r="BZ175" i="9"/>
  <c r="BY175" i="9"/>
  <c r="BZ174" i="9"/>
  <c r="BY174" i="9"/>
  <c r="BZ173" i="9"/>
  <c r="BY173" i="9"/>
  <c r="BZ172" i="9"/>
  <c r="BY172" i="9"/>
  <c r="BZ171" i="9"/>
  <c r="BY171" i="9"/>
  <c r="BZ170" i="9"/>
  <c r="BY170" i="9"/>
  <c r="BZ169" i="9"/>
  <c r="BY169" i="9"/>
  <c r="BZ168" i="9"/>
  <c r="BY168" i="9"/>
  <c r="BZ167" i="9"/>
  <c r="BY167" i="9"/>
  <c r="BZ166" i="9"/>
  <c r="BY166" i="9"/>
  <c r="BZ165" i="9"/>
  <c r="BY165" i="9"/>
  <c r="BZ164" i="9"/>
  <c r="BY164" i="9"/>
  <c r="BZ163" i="9"/>
  <c r="BY163" i="9"/>
  <c r="BZ162" i="9"/>
  <c r="BY162" i="9"/>
  <c r="BZ161" i="9"/>
  <c r="BY161" i="9"/>
  <c r="BZ160" i="9"/>
  <c r="BY160" i="9"/>
  <c r="BZ159" i="9"/>
  <c r="BY159" i="9"/>
  <c r="BZ158" i="9"/>
  <c r="BY158" i="9"/>
  <c r="BZ157" i="9"/>
  <c r="BY157" i="9"/>
  <c r="BZ156" i="9"/>
  <c r="BY156" i="9"/>
  <c r="BZ155" i="9"/>
  <c r="BY155" i="9"/>
  <c r="BZ154" i="9"/>
  <c r="BY154" i="9"/>
  <c r="BZ153" i="9"/>
  <c r="BY153" i="9"/>
  <c r="BZ152" i="9"/>
  <c r="BY152" i="9"/>
  <c r="BZ151" i="9"/>
  <c r="BY151" i="9"/>
  <c r="BZ150" i="9"/>
  <c r="BY150" i="9"/>
  <c r="BZ149" i="9"/>
  <c r="BY149" i="9"/>
  <c r="BZ148" i="9"/>
  <c r="BY148" i="9"/>
  <c r="BZ147" i="9"/>
  <c r="BY147" i="9"/>
  <c r="BZ146" i="9"/>
  <c r="BY146" i="9"/>
  <c r="BZ145" i="9"/>
  <c r="BY145" i="9"/>
  <c r="BZ144" i="9"/>
  <c r="BY144" i="9"/>
  <c r="BZ143" i="9"/>
  <c r="BY143" i="9"/>
  <c r="BZ142" i="9"/>
  <c r="BY142" i="9"/>
  <c r="BZ141" i="9"/>
  <c r="BY141" i="9"/>
  <c r="BZ140" i="9"/>
  <c r="BY140" i="9"/>
  <c r="BZ139" i="9"/>
  <c r="BY139" i="9"/>
  <c r="BZ138" i="9"/>
  <c r="BY138" i="9"/>
  <c r="BZ137" i="9"/>
  <c r="BY137" i="9"/>
  <c r="BZ136" i="9"/>
  <c r="BY136" i="9"/>
  <c r="BZ135" i="9"/>
  <c r="BY135" i="9"/>
  <c r="BZ134" i="9"/>
  <c r="BY134" i="9"/>
  <c r="BZ133" i="9"/>
  <c r="BY133" i="9"/>
  <c r="BZ132" i="9"/>
  <c r="BY132" i="9"/>
  <c r="BZ131" i="9"/>
  <c r="BY131" i="9"/>
  <c r="BZ130" i="9"/>
  <c r="BY130" i="9"/>
  <c r="BZ129" i="9"/>
  <c r="BY129" i="9"/>
  <c r="BZ128" i="9"/>
  <c r="BY128" i="9"/>
  <c r="BZ127" i="9"/>
  <c r="BY127" i="9"/>
  <c r="BZ126" i="9"/>
  <c r="BY126" i="9"/>
  <c r="BZ125" i="9"/>
  <c r="BY125" i="9"/>
  <c r="BZ124" i="9"/>
  <c r="BY124" i="9"/>
  <c r="BZ123" i="9"/>
  <c r="BY123" i="9"/>
  <c r="BZ122" i="9"/>
  <c r="BY122" i="9"/>
  <c r="BZ121" i="9"/>
  <c r="BY121" i="9"/>
  <c r="BZ120" i="9"/>
  <c r="BY120" i="9"/>
  <c r="BZ119" i="9"/>
  <c r="BY119" i="9"/>
  <c r="BZ118" i="9"/>
  <c r="BY118" i="9"/>
  <c r="BZ117" i="9"/>
  <c r="BY117" i="9"/>
  <c r="BZ116" i="9"/>
  <c r="BY116" i="9"/>
  <c r="BZ115" i="9"/>
  <c r="BY115" i="9"/>
  <c r="BZ114" i="9"/>
  <c r="BY114" i="9"/>
  <c r="BZ113" i="9"/>
  <c r="BY113" i="9"/>
  <c r="BZ112" i="9"/>
  <c r="BY112" i="9"/>
  <c r="BZ111" i="9"/>
  <c r="BY111" i="9"/>
  <c r="BZ110" i="9"/>
  <c r="BY110" i="9"/>
  <c r="BZ109" i="9"/>
  <c r="BY109" i="9"/>
  <c r="BZ108" i="9"/>
  <c r="BY108" i="9"/>
  <c r="BZ107" i="9"/>
  <c r="BY107" i="9"/>
  <c r="BZ106" i="9"/>
  <c r="BY106" i="9"/>
  <c r="BZ105" i="9"/>
  <c r="BY105" i="9"/>
  <c r="BZ104" i="9"/>
  <c r="BY104" i="9"/>
  <c r="BZ103" i="9"/>
  <c r="BY103" i="9"/>
  <c r="BZ102" i="9"/>
  <c r="BY102" i="9"/>
  <c r="BZ101" i="9"/>
  <c r="BY101" i="9"/>
  <c r="BZ100" i="9"/>
  <c r="BY100" i="9"/>
  <c r="BZ99" i="9"/>
  <c r="BY99" i="9"/>
  <c r="BZ98" i="9"/>
  <c r="BY98" i="9"/>
  <c r="BZ97" i="9"/>
  <c r="BY97" i="9"/>
  <c r="BZ96" i="9"/>
  <c r="BY96" i="9"/>
  <c r="BZ95" i="9"/>
  <c r="BY95" i="9"/>
  <c r="BZ94" i="9"/>
  <c r="BY94" i="9"/>
  <c r="BZ93" i="9"/>
  <c r="BY93" i="9"/>
  <c r="BZ92" i="9"/>
  <c r="BY92" i="9"/>
  <c r="BZ91" i="9"/>
  <c r="BY91" i="9"/>
  <c r="BZ90" i="9"/>
  <c r="BY90" i="9"/>
  <c r="BZ89" i="9"/>
  <c r="BY89" i="9"/>
  <c r="BZ88" i="9"/>
  <c r="BY88" i="9"/>
  <c r="BZ87" i="9"/>
  <c r="BY87" i="9"/>
  <c r="BZ86" i="9"/>
  <c r="BY86" i="9"/>
  <c r="BZ85" i="9"/>
  <c r="BY85" i="9"/>
  <c r="BZ84" i="9"/>
  <c r="BY84" i="9"/>
  <c r="BZ83" i="9"/>
  <c r="BY83" i="9"/>
  <c r="BZ82" i="9"/>
  <c r="BY82" i="9"/>
  <c r="BZ81" i="9"/>
  <c r="BY81" i="9"/>
  <c r="BZ80" i="9"/>
  <c r="BY80" i="9"/>
  <c r="BZ79" i="9"/>
  <c r="BY79" i="9"/>
  <c r="BZ78" i="9"/>
  <c r="BY78" i="9"/>
  <c r="BZ77" i="9"/>
  <c r="BY77" i="9"/>
  <c r="BZ76" i="9"/>
  <c r="BY76" i="9"/>
  <c r="BZ75" i="9"/>
  <c r="BY75" i="9"/>
  <c r="BZ74" i="9"/>
  <c r="BY74" i="9"/>
  <c r="BZ73" i="9"/>
  <c r="BY73" i="9"/>
  <c r="BZ72" i="9"/>
  <c r="BY72" i="9"/>
  <c r="BZ71" i="9"/>
  <c r="BY71" i="9"/>
  <c r="BZ70" i="9"/>
  <c r="BY70" i="9"/>
  <c r="BZ69" i="9"/>
  <c r="BY69" i="9"/>
  <c r="BZ68" i="9"/>
  <c r="BY68" i="9"/>
  <c r="BZ67" i="9"/>
  <c r="BY67" i="9"/>
  <c r="BZ66" i="9"/>
  <c r="BY66" i="9"/>
  <c r="BZ65" i="9"/>
  <c r="BY65" i="9"/>
  <c r="BZ64" i="9"/>
  <c r="BY64" i="9"/>
  <c r="BZ63" i="9"/>
  <c r="BY63" i="9"/>
  <c r="BZ62" i="9"/>
  <c r="BY62" i="9"/>
  <c r="BZ61" i="9"/>
  <c r="BY61" i="9"/>
  <c r="BZ60" i="9"/>
  <c r="BY60" i="9"/>
  <c r="BZ59" i="9"/>
  <c r="BY59" i="9"/>
  <c r="BZ58" i="9"/>
  <c r="BY58" i="9"/>
  <c r="BZ57" i="9"/>
  <c r="BY57" i="9"/>
  <c r="BZ56" i="9"/>
  <c r="BY56" i="9"/>
  <c r="BZ55" i="9"/>
  <c r="BY55" i="9"/>
  <c r="BZ54" i="9"/>
  <c r="BY54" i="9"/>
  <c r="BZ53" i="9"/>
  <c r="BY53" i="9"/>
  <c r="BZ52" i="9"/>
  <c r="BY52" i="9"/>
  <c r="BZ51" i="9"/>
  <c r="BY51" i="9"/>
  <c r="BZ50" i="9"/>
  <c r="BY50" i="9"/>
  <c r="BZ49" i="9"/>
  <c r="BY49" i="9"/>
  <c r="BZ48" i="9"/>
  <c r="BY48" i="9"/>
  <c r="BZ47" i="9"/>
  <c r="BY47" i="9"/>
  <c r="BZ46" i="9"/>
  <c r="BY46" i="9"/>
  <c r="BZ45" i="9"/>
  <c r="BY45" i="9"/>
  <c r="BZ44" i="9"/>
  <c r="BY44" i="9"/>
  <c r="BZ43" i="9"/>
  <c r="BY43" i="9"/>
  <c r="BZ42" i="9"/>
  <c r="BY42" i="9"/>
  <c r="BZ41" i="9"/>
  <c r="BY41" i="9"/>
  <c r="BZ40" i="9"/>
  <c r="BY40" i="9"/>
  <c r="BZ39" i="9"/>
  <c r="BY39" i="9"/>
  <c r="BZ38" i="9"/>
  <c r="BY38" i="9"/>
  <c r="BZ37" i="9"/>
  <c r="BY37" i="9"/>
  <c r="BZ36" i="9"/>
  <c r="BY36" i="9"/>
  <c r="BZ35" i="9"/>
  <c r="BY35" i="9"/>
  <c r="BZ34" i="9"/>
  <c r="BY34" i="9"/>
  <c r="BZ33" i="9"/>
  <c r="BY33" i="9"/>
  <c r="BZ32" i="9"/>
  <c r="BY32" i="9"/>
  <c r="BZ31" i="9"/>
  <c r="BY31" i="9"/>
  <c r="BZ30" i="9"/>
  <c r="BY30" i="9"/>
  <c r="BZ29" i="9"/>
  <c r="BY29" i="9"/>
  <c r="BZ28" i="9"/>
  <c r="BY28" i="9"/>
  <c r="BZ27" i="9"/>
  <c r="BY27" i="9"/>
  <c r="BZ26" i="9"/>
  <c r="BY26" i="9"/>
  <c r="BZ25" i="9"/>
  <c r="BY25" i="9"/>
  <c r="BZ24" i="9"/>
  <c r="BY24" i="9"/>
  <c r="BZ23" i="9"/>
  <c r="BY23" i="9"/>
  <c r="BZ22" i="9"/>
  <c r="BY22" i="9"/>
  <c r="BZ21" i="9"/>
  <c r="BY21" i="9"/>
  <c r="BZ20" i="9"/>
  <c r="BY20" i="9"/>
  <c r="BZ19" i="9"/>
  <c r="BY19" i="9"/>
  <c r="BZ18" i="9"/>
  <c r="BY18" i="9"/>
  <c r="BZ17" i="9"/>
  <c r="BY17" i="9"/>
  <c r="BZ16" i="9"/>
  <c r="BY16" i="9"/>
  <c r="BZ15" i="9"/>
  <c r="BY15" i="9"/>
  <c r="BZ14" i="9"/>
  <c r="BY14" i="9"/>
  <c r="BZ13" i="9"/>
  <c r="BY13" i="9"/>
  <c r="BZ12" i="9"/>
  <c r="BY12" i="9"/>
  <c r="BZ11" i="9"/>
  <c r="BY11" i="9"/>
  <c r="BZ10" i="9"/>
  <c r="BY10" i="9"/>
  <c r="BZ9" i="9"/>
  <c r="BY9" i="9"/>
  <c r="BZ8" i="9"/>
  <c r="BY8" i="9"/>
  <c r="BZ7" i="9"/>
  <c r="BY7" i="9"/>
  <c r="BZ6" i="9"/>
  <c r="BY6" i="9"/>
  <c r="BZ5" i="9"/>
  <c r="BY5" i="9"/>
  <c r="BZ4" i="9"/>
  <c r="BY4" i="9"/>
  <c r="BZ3" i="9"/>
  <c r="BY3" i="9"/>
  <c r="BZ2" i="9"/>
  <c r="BY2" i="9"/>
  <c r="BP3" i="9" l="1"/>
  <c r="BQ3" i="9"/>
  <c r="BR3" i="9"/>
  <c r="BS3" i="9"/>
  <c r="BT3" i="9"/>
  <c r="BU3" i="9"/>
  <c r="BP4" i="9"/>
  <c r="BQ4" i="9"/>
  <c r="BR4" i="9"/>
  <c r="BS4" i="9"/>
  <c r="BT4" i="9"/>
  <c r="BU4" i="9"/>
  <c r="BP5" i="9"/>
  <c r="BQ5" i="9"/>
  <c r="BR5" i="9"/>
  <c r="BS5" i="9"/>
  <c r="BT5" i="9"/>
  <c r="BU5" i="9"/>
  <c r="BP6" i="9"/>
  <c r="BQ6" i="9"/>
  <c r="BR6" i="9"/>
  <c r="BS6" i="9"/>
  <c r="BT6" i="9"/>
  <c r="BU6" i="9"/>
  <c r="BP7" i="9"/>
  <c r="BQ7" i="9"/>
  <c r="BR7" i="9"/>
  <c r="BS7" i="9"/>
  <c r="BT7" i="9"/>
  <c r="BU7" i="9"/>
  <c r="BP8" i="9"/>
  <c r="BQ8" i="9"/>
  <c r="BR8" i="9"/>
  <c r="BS8" i="9"/>
  <c r="BT8" i="9"/>
  <c r="BU8" i="9"/>
  <c r="BP9" i="9"/>
  <c r="BQ9" i="9"/>
  <c r="BR9" i="9"/>
  <c r="BS9" i="9"/>
  <c r="BT9" i="9"/>
  <c r="BU9" i="9"/>
  <c r="BP10" i="9"/>
  <c r="BQ10" i="9"/>
  <c r="BR10" i="9"/>
  <c r="BS10" i="9"/>
  <c r="BT10" i="9"/>
  <c r="BU10" i="9"/>
  <c r="BP11" i="9"/>
  <c r="BQ11" i="9"/>
  <c r="BR11" i="9"/>
  <c r="BS11" i="9"/>
  <c r="BT11" i="9"/>
  <c r="BU11" i="9"/>
  <c r="BP12" i="9"/>
  <c r="BQ12" i="9"/>
  <c r="BR12" i="9"/>
  <c r="BS12" i="9"/>
  <c r="BT12" i="9"/>
  <c r="BU12" i="9"/>
  <c r="BP13" i="9"/>
  <c r="BQ13" i="9"/>
  <c r="BR13" i="9"/>
  <c r="BS13" i="9"/>
  <c r="BT13" i="9"/>
  <c r="BU13" i="9"/>
  <c r="BP14" i="9"/>
  <c r="BQ14" i="9"/>
  <c r="BR14" i="9"/>
  <c r="BS14" i="9"/>
  <c r="BT14" i="9"/>
  <c r="BU14" i="9"/>
  <c r="BP15" i="9"/>
  <c r="BQ15" i="9"/>
  <c r="BR15" i="9"/>
  <c r="BS15" i="9"/>
  <c r="BT15" i="9"/>
  <c r="BU15" i="9"/>
  <c r="BP16" i="9"/>
  <c r="BQ16" i="9"/>
  <c r="BR16" i="9"/>
  <c r="BS16" i="9"/>
  <c r="BT16" i="9"/>
  <c r="BU16" i="9"/>
  <c r="BP17" i="9"/>
  <c r="BQ17" i="9"/>
  <c r="BR17" i="9"/>
  <c r="BS17" i="9"/>
  <c r="BT17" i="9"/>
  <c r="BU17" i="9"/>
  <c r="BP18" i="9"/>
  <c r="BQ18" i="9"/>
  <c r="BR18" i="9"/>
  <c r="BS18" i="9"/>
  <c r="BT18" i="9"/>
  <c r="BU18" i="9"/>
  <c r="BP19" i="9"/>
  <c r="BQ19" i="9"/>
  <c r="BR19" i="9"/>
  <c r="BS19" i="9"/>
  <c r="BT19" i="9"/>
  <c r="BU19" i="9"/>
  <c r="BP20" i="9"/>
  <c r="BQ20" i="9"/>
  <c r="BR20" i="9"/>
  <c r="BS20" i="9"/>
  <c r="BT20" i="9"/>
  <c r="BU20" i="9"/>
  <c r="BP21" i="9"/>
  <c r="BQ21" i="9"/>
  <c r="BR21" i="9"/>
  <c r="BS21" i="9"/>
  <c r="BT21" i="9"/>
  <c r="BU21" i="9"/>
  <c r="BP22" i="9"/>
  <c r="BQ22" i="9"/>
  <c r="BR22" i="9"/>
  <c r="BS22" i="9"/>
  <c r="BT22" i="9"/>
  <c r="BU22" i="9"/>
  <c r="BP23" i="9"/>
  <c r="BQ23" i="9"/>
  <c r="BR23" i="9"/>
  <c r="BS23" i="9"/>
  <c r="BT23" i="9"/>
  <c r="BU23" i="9"/>
  <c r="BP24" i="9"/>
  <c r="BQ24" i="9"/>
  <c r="BR24" i="9"/>
  <c r="BS24" i="9"/>
  <c r="BT24" i="9"/>
  <c r="BU24" i="9"/>
  <c r="BP25" i="9"/>
  <c r="BQ25" i="9"/>
  <c r="BR25" i="9"/>
  <c r="BS25" i="9"/>
  <c r="BT25" i="9"/>
  <c r="BU25" i="9"/>
  <c r="BP26" i="9"/>
  <c r="BQ26" i="9"/>
  <c r="BR26" i="9"/>
  <c r="BS26" i="9"/>
  <c r="BT26" i="9"/>
  <c r="BU26" i="9"/>
  <c r="BP27" i="9"/>
  <c r="BQ27" i="9"/>
  <c r="BR27" i="9"/>
  <c r="BS27" i="9"/>
  <c r="BT27" i="9"/>
  <c r="BU27" i="9"/>
  <c r="BP28" i="9"/>
  <c r="BQ28" i="9"/>
  <c r="BR28" i="9"/>
  <c r="BS28" i="9"/>
  <c r="BT28" i="9"/>
  <c r="BU28" i="9"/>
  <c r="BP29" i="9"/>
  <c r="BQ29" i="9"/>
  <c r="BR29" i="9"/>
  <c r="BS29" i="9"/>
  <c r="BT29" i="9"/>
  <c r="BU29" i="9"/>
  <c r="BP30" i="9"/>
  <c r="BQ30" i="9"/>
  <c r="BR30" i="9"/>
  <c r="BS30" i="9"/>
  <c r="BT30" i="9"/>
  <c r="BU30" i="9"/>
  <c r="BP31" i="9"/>
  <c r="BQ31" i="9"/>
  <c r="BR31" i="9"/>
  <c r="BS31" i="9"/>
  <c r="BT31" i="9"/>
  <c r="BU31" i="9"/>
  <c r="BP32" i="9"/>
  <c r="BQ32" i="9"/>
  <c r="BR32" i="9"/>
  <c r="BS32" i="9"/>
  <c r="BT32" i="9"/>
  <c r="BU32" i="9"/>
  <c r="BP33" i="9"/>
  <c r="BQ33" i="9"/>
  <c r="BR33" i="9"/>
  <c r="BS33" i="9"/>
  <c r="BT33" i="9"/>
  <c r="BU33" i="9"/>
  <c r="BP34" i="9"/>
  <c r="BQ34" i="9"/>
  <c r="BR34" i="9"/>
  <c r="BS34" i="9"/>
  <c r="BT34" i="9"/>
  <c r="BU34" i="9"/>
  <c r="BP35" i="9"/>
  <c r="BQ35" i="9"/>
  <c r="BR35" i="9"/>
  <c r="BS35" i="9"/>
  <c r="BT35" i="9"/>
  <c r="BU35" i="9"/>
  <c r="BP36" i="9"/>
  <c r="BQ36" i="9"/>
  <c r="BR36" i="9"/>
  <c r="BS36" i="9"/>
  <c r="BT36" i="9"/>
  <c r="BU36" i="9"/>
  <c r="BP37" i="9"/>
  <c r="BQ37" i="9"/>
  <c r="BR37" i="9"/>
  <c r="BS37" i="9"/>
  <c r="BT37" i="9"/>
  <c r="BU37" i="9"/>
  <c r="BP38" i="9"/>
  <c r="BQ38" i="9"/>
  <c r="BR38" i="9"/>
  <c r="BS38" i="9"/>
  <c r="BT38" i="9"/>
  <c r="BU38" i="9"/>
  <c r="BP39" i="9"/>
  <c r="BQ39" i="9"/>
  <c r="BR39" i="9"/>
  <c r="BS39" i="9"/>
  <c r="BT39" i="9"/>
  <c r="BU39" i="9"/>
  <c r="BP40" i="9"/>
  <c r="BQ40" i="9"/>
  <c r="BR40" i="9"/>
  <c r="BS40" i="9"/>
  <c r="BT40" i="9"/>
  <c r="BU40" i="9"/>
  <c r="BP41" i="9"/>
  <c r="BQ41" i="9"/>
  <c r="BR41" i="9"/>
  <c r="BS41" i="9"/>
  <c r="BT41" i="9"/>
  <c r="BU41" i="9"/>
  <c r="BP42" i="9"/>
  <c r="BQ42" i="9"/>
  <c r="BR42" i="9"/>
  <c r="BS42" i="9"/>
  <c r="BT42" i="9"/>
  <c r="BU42" i="9"/>
  <c r="BP43" i="9"/>
  <c r="BQ43" i="9"/>
  <c r="BR43" i="9"/>
  <c r="BS43" i="9"/>
  <c r="BT43" i="9"/>
  <c r="BU43" i="9"/>
  <c r="BP44" i="9"/>
  <c r="BQ44" i="9"/>
  <c r="BR44" i="9"/>
  <c r="BS44" i="9"/>
  <c r="BT44" i="9"/>
  <c r="BU44" i="9"/>
  <c r="BP45" i="9"/>
  <c r="BQ45" i="9"/>
  <c r="BR45" i="9"/>
  <c r="BS45" i="9"/>
  <c r="BT45" i="9"/>
  <c r="BU45" i="9"/>
  <c r="BP46" i="9"/>
  <c r="BQ46" i="9"/>
  <c r="BR46" i="9"/>
  <c r="BS46" i="9"/>
  <c r="BT46" i="9"/>
  <c r="BU46" i="9"/>
  <c r="BP47" i="9"/>
  <c r="BQ47" i="9"/>
  <c r="BR47" i="9"/>
  <c r="BS47" i="9"/>
  <c r="BT47" i="9"/>
  <c r="BU47" i="9"/>
  <c r="BP48" i="9"/>
  <c r="BQ48" i="9"/>
  <c r="BR48" i="9"/>
  <c r="BS48" i="9"/>
  <c r="BT48" i="9"/>
  <c r="BU48" i="9"/>
  <c r="BP49" i="9"/>
  <c r="BQ49" i="9"/>
  <c r="BR49" i="9"/>
  <c r="BS49" i="9"/>
  <c r="BT49" i="9"/>
  <c r="BU49" i="9"/>
  <c r="BP50" i="9"/>
  <c r="BQ50" i="9"/>
  <c r="BR50" i="9"/>
  <c r="BS50" i="9"/>
  <c r="BT50" i="9"/>
  <c r="BU50" i="9"/>
  <c r="BP51" i="9"/>
  <c r="BQ51" i="9"/>
  <c r="BR51" i="9"/>
  <c r="BS51" i="9"/>
  <c r="BT51" i="9"/>
  <c r="BU51" i="9"/>
  <c r="BP52" i="9"/>
  <c r="BQ52" i="9"/>
  <c r="BR52" i="9"/>
  <c r="BS52" i="9"/>
  <c r="BT52" i="9"/>
  <c r="BU52" i="9"/>
  <c r="BP53" i="9"/>
  <c r="BQ53" i="9"/>
  <c r="BR53" i="9"/>
  <c r="BS53" i="9"/>
  <c r="BT53" i="9"/>
  <c r="BU53" i="9"/>
  <c r="BP54" i="9"/>
  <c r="BQ54" i="9"/>
  <c r="BR54" i="9"/>
  <c r="BS54" i="9"/>
  <c r="BT54" i="9"/>
  <c r="BU54" i="9"/>
  <c r="BP55" i="9"/>
  <c r="BQ55" i="9"/>
  <c r="BR55" i="9"/>
  <c r="BS55" i="9"/>
  <c r="BT55" i="9"/>
  <c r="BU55" i="9"/>
  <c r="BP56" i="9"/>
  <c r="BQ56" i="9"/>
  <c r="BR56" i="9"/>
  <c r="BS56" i="9"/>
  <c r="BT56" i="9"/>
  <c r="BU56" i="9"/>
  <c r="BP57" i="9"/>
  <c r="BQ57" i="9"/>
  <c r="BR57" i="9"/>
  <c r="BS57" i="9"/>
  <c r="BT57" i="9"/>
  <c r="BU57" i="9"/>
  <c r="BP58" i="9"/>
  <c r="BQ58" i="9"/>
  <c r="BR58" i="9"/>
  <c r="BS58" i="9"/>
  <c r="BT58" i="9"/>
  <c r="BU58" i="9"/>
  <c r="BP59" i="9"/>
  <c r="BQ59" i="9"/>
  <c r="BR59" i="9"/>
  <c r="BS59" i="9"/>
  <c r="BT59" i="9"/>
  <c r="BU59" i="9"/>
  <c r="BP60" i="9"/>
  <c r="BQ60" i="9"/>
  <c r="BR60" i="9"/>
  <c r="BS60" i="9"/>
  <c r="BT60" i="9"/>
  <c r="BU60" i="9"/>
  <c r="BP61" i="9"/>
  <c r="BQ61" i="9"/>
  <c r="BR61" i="9"/>
  <c r="BS61" i="9"/>
  <c r="BT61" i="9"/>
  <c r="BU61" i="9"/>
  <c r="BP62" i="9"/>
  <c r="BQ62" i="9"/>
  <c r="BR62" i="9"/>
  <c r="BS62" i="9"/>
  <c r="BT62" i="9"/>
  <c r="BU62" i="9"/>
  <c r="BP63" i="9"/>
  <c r="BQ63" i="9"/>
  <c r="BR63" i="9"/>
  <c r="BS63" i="9"/>
  <c r="BT63" i="9"/>
  <c r="BU63" i="9"/>
  <c r="BP64" i="9"/>
  <c r="BQ64" i="9"/>
  <c r="BR64" i="9"/>
  <c r="BS64" i="9"/>
  <c r="BT64" i="9"/>
  <c r="BU64" i="9"/>
  <c r="BP65" i="9"/>
  <c r="BQ65" i="9"/>
  <c r="BR65" i="9"/>
  <c r="BS65" i="9"/>
  <c r="BT65" i="9"/>
  <c r="BU65" i="9"/>
  <c r="BP66" i="9"/>
  <c r="BQ66" i="9"/>
  <c r="BR66" i="9"/>
  <c r="BS66" i="9"/>
  <c r="BT66" i="9"/>
  <c r="BU66" i="9"/>
  <c r="BP67" i="9"/>
  <c r="BQ67" i="9"/>
  <c r="BR67" i="9"/>
  <c r="BS67" i="9"/>
  <c r="BT67" i="9"/>
  <c r="BU67" i="9"/>
  <c r="BP68" i="9"/>
  <c r="BQ68" i="9"/>
  <c r="BR68" i="9"/>
  <c r="BS68" i="9"/>
  <c r="BT68" i="9"/>
  <c r="BU68" i="9"/>
  <c r="BP69" i="9"/>
  <c r="BQ69" i="9"/>
  <c r="BR69" i="9"/>
  <c r="BS69" i="9"/>
  <c r="BT69" i="9"/>
  <c r="BU69" i="9"/>
  <c r="BP70" i="9"/>
  <c r="BQ70" i="9"/>
  <c r="BR70" i="9"/>
  <c r="BS70" i="9"/>
  <c r="BT70" i="9"/>
  <c r="BU70" i="9"/>
  <c r="BP71" i="9"/>
  <c r="BQ71" i="9"/>
  <c r="BR71" i="9"/>
  <c r="BS71" i="9"/>
  <c r="BT71" i="9"/>
  <c r="BU71" i="9"/>
  <c r="BP72" i="9"/>
  <c r="BQ72" i="9"/>
  <c r="BR72" i="9"/>
  <c r="BS72" i="9"/>
  <c r="BT72" i="9"/>
  <c r="BU72" i="9"/>
  <c r="BP73" i="9"/>
  <c r="BQ73" i="9"/>
  <c r="BR73" i="9"/>
  <c r="BS73" i="9"/>
  <c r="BT73" i="9"/>
  <c r="BU73" i="9"/>
  <c r="BP74" i="9"/>
  <c r="BQ74" i="9"/>
  <c r="BR74" i="9"/>
  <c r="BS74" i="9"/>
  <c r="BT74" i="9"/>
  <c r="BU74" i="9"/>
  <c r="BP75" i="9"/>
  <c r="BQ75" i="9"/>
  <c r="BR75" i="9"/>
  <c r="BS75" i="9"/>
  <c r="BT75" i="9"/>
  <c r="BU75" i="9"/>
  <c r="BP76" i="9"/>
  <c r="BQ76" i="9"/>
  <c r="BR76" i="9"/>
  <c r="BS76" i="9"/>
  <c r="BT76" i="9"/>
  <c r="BU76" i="9"/>
  <c r="BP77" i="9"/>
  <c r="BQ77" i="9"/>
  <c r="BR77" i="9"/>
  <c r="BS77" i="9"/>
  <c r="BT77" i="9"/>
  <c r="BU77" i="9"/>
  <c r="BP78" i="9"/>
  <c r="BQ78" i="9"/>
  <c r="BR78" i="9"/>
  <c r="BS78" i="9"/>
  <c r="BT78" i="9"/>
  <c r="BU78" i="9"/>
  <c r="BP79" i="9"/>
  <c r="BQ79" i="9"/>
  <c r="BR79" i="9"/>
  <c r="BS79" i="9"/>
  <c r="BT79" i="9"/>
  <c r="BU79" i="9"/>
  <c r="BP80" i="9"/>
  <c r="BQ80" i="9"/>
  <c r="BR80" i="9"/>
  <c r="BS80" i="9"/>
  <c r="BT80" i="9"/>
  <c r="BU80" i="9"/>
  <c r="BP81" i="9"/>
  <c r="BQ81" i="9"/>
  <c r="BR81" i="9"/>
  <c r="BS81" i="9"/>
  <c r="BT81" i="9"/>
  <c r="BU81" i="9"/>
  <c r="BP82" i="9"/>
  <c r="BQ82" i="9"/>
  <c r="BR82" i="9"/>
  <c r="BS82" i="9"/>
  <c r="BT82" i="9"/>
  <c r="BU82" i="9"/>
  <c r="BP83" i="9"/>
  <c r="BQ83" i="9"/>
  <c r="BR83" i="9"/>
  <c r="BS83" i="9"/>
  <c r="BT83" i="9"/>
  <c r="BU83" i="9"/>
  <c r="BP84" i="9"/>
  <c r="BQ84" i="9"/>
  <c r="BR84" i="9"/>
  <c r="BS84" i="9"/>
  <c r="BT84" i="9"/>
  <c r="BU84" i="9"/>
  <c r="BP85" i="9"/>
  <c r="BQ85" i="9"/>
  <c r="BR85" i="9"/>
  <c r="BS85" i="9"/>
  <c r="BT85" i="9"/>
  <c r="BU85" i="9"/>
  <c r="BP86" i="9"/>
  <c r="BQ86" i="9"/>
  <c r="BR86" i="9"/>
  <c r="BS86" i="9"/>
  <c r="BT86" i="9"/>
  <c r="BU86" i="9"/>
  <c r="BP87" i="9"/>
  <c r="BQ87" i="9"/>
  <c r="BR87" i="9"/>
  <c r="BS87" i="9"/>
  <c r="BT87" i="9"/>
  <c r="BU87" i="9"/>
  <c r="BP88" i="9"/>
  <c r="BQ88" i="9"/>
  <c r="BR88" i="9"/>
  <c r="BS88" i="9"/>
  <c r="BT88" i="9"/>
  <c r="BU88" i="9"/>
  <c r="BP89" i="9"/>
  <c r="BQ89" i="9"/>
  <c r="BR89" i="9"/>
  <c r="BS89" i="9"/>
  <c r="BT89" i="9"/>
  <c r="BU89" i="9"/>
  <c r="BP90" i="9"/>
  <c r="BQ90" i="9"/>
  <c r="BR90" i="9"/>
  <c r="BS90" i="9"/>
  <c r="BT90" i="9"/>
  <c r="BU90" i="9"/>
  <c r="BP91" i="9"/>
  <c r="BQ91" i="9"/>
  <c r="BR91" i="9"/>
  <c r="BS91" i="9"/>
  <c r="BT91" i="9"/>
  <c r="BU91" i="9"/>
  <c r="BP92" i="9"/>
  <c r="BQ92" i="9"/>
  <c r="BR92" i="9"/>
  <c r="BS92" i="9"/>
  <c r="BT92" i="9"/>
  <c r="BU92" i="9"/>
  <c r="BP93" i="9"/>
  <c r="BQ93" i="9"/>
  <c r="BR93" i="9"/>
  <c r="BS93" i="9"/>
  <c r="BT93" i="9"/>
  <c r="BU93" i="9"/>
  <c r="BP94" i="9"/>
  <c r="BQ94" i="9"/>
  <c r="BR94" i="9"/>
  <c r="BS94" i="9"/>
  <c r="BT94" i="9"/>
  <c r="BU94" i="9"/>
  <c r="BP95" i="9"/>
  <c r="BQ95" i="9"/>
  <c r="BR95" i="9"/>
  <c r="BS95" i="9"/>
  <c r="BT95" i="9"/>
  <c r="BU95" i="9"/>
  <c r="BP96" i="9"/>
  <c r="BQ96" i="9"/>
  <c r="BR96" i="9"/>
  <c r="BS96" i="9"/>
  <c r="BT96" i="9"/>
  <c r="BU96" i="9"/>
  <c r="BP97" i="9"/>
  <c r="BQ97" i="9"/>
  <c r="BR97" i="9"/>
  <c r="BS97" i="9"/>
  <c r="BT97" i="9"/>
  <c r="BU97" i="9"/>
  <c r="BP98" i="9"/>
  <c r="BQ98" i="9"/>
  <c r="BR98" i="9"/>
  <c r="BS98" i="9"/>
  <c r="BT98" i="9"/>
  <c r="BU98" i="9"/>
  <c r="BP99" i="9"/>
  <c r="BQ99" i="9"/>
  <c r="BR99" i="9"/>
  <c r="BS99" i="9"/>
  <c r="BT99" i="9"/>
  <c r="BU99" i="9"/>
  <c r="BP100" i="9"/>
  <c r="BQ100" i="9"/>
  <c r="BR100" i="9"/>
  <c r="BS100" i="9"/>
  <c r="BT100" i="9"/>
  <c r="BU100" i="9"/>
  <c r="BP101" i="9"/>
  <c r="BQ101" i="9"/>
  <c r="BR101" i="9"/>
  <c r="BS101" i="9"/>
  <c r="BT101" i="9"/>
  <c r="BU101" i="9"/>
  <c r="BP102" i="9"/>
  <c r="BQ102" i="9"/>
  <c r="BR102" i="9"/>
  <c r="BS102" i="9"/>
  <c r="BT102" i="9"/>
  <c r="BU102" i="9"/>
  <c r="BP103" i="9"/>
  <c r="BQ103" i="9"/>
  <c r="BR103" i="9"/>
  <c r="BS103" i="9"/>
  <c r="BT103" i="9"/>
  <c r="BU103" i="9"/>
  <c r="BP104" i="9"/>
  <c r="BQ104" i="9"/>
  <c r="BR104" i="9"/>
  <c r="BS104" i="9"/>
  <c r="BT104" i="9"/>
  <c r="BU104" i="9"/>
  <c r="BP105" i="9"/>
  <c r="BQ105" i="9"/>
  <c r="BR105" i="9"/>
  <c r="BS105" i="9"/>
  <c r="BT105" i="9"/>
  <c r="BU105" i="9"/>
  <c r="BP106" i="9"/>
  <c r="BQ106" i="9"/>
  <c r="BR106" i="9"/>
  <c r="BS106" i="9"/>
  <c r="BT106" i="9"/>
  <c r="BU106" i="9"/>
  <c r="BP107" i="9"/>
  <c r="BQ107" i="9"/>
  <c r="BR107" i="9"/>
  <c r="BS107" i="9"/>
  <c r="BT107" i="9"/>
  <c r="BU107" i="9"/>
  <c r="BP108" i="9"/>
  <c r="BQ108" i="9"/>
  <c r="BR108" i="9"/>
  <c r="BS108" i="9"/>
  <c r="BT108" i="9"/>
  <c r="BU108" i="9"/>
  <c r="BP109" i="9"/>
  <c r="BQ109" i="9"/>
  <c r="BR109" i="9"/>
  <c r="BS109" i="9"/>
  <c r="BT109" i="9"/>
  <c r="BU109" i="9"/>
  <c r="BP110" i="9"/>
  <c r="BQ110" i="9"/>
  <c r="BR110" i="9"/>
  <c r="BS110" i="9"/>
  <c r="BT110" i="9"/>
  <c r="BU110" i="9"/>
  <c r="BP111" i="9"/>
  <c r="BQ111" i="9"/>
  <c r="BR111" i="9"/>
  <c r="BS111" i="9"/>
  <c r="BT111" i="9"/>
  <c r="BU111" i="9"/>
  <c r="BP112" i="9"/>
  <c r="BQ112" i="9"/>
  <c r="BR112" i="9"/>
  <c r="BS112" i="9"/>
  <c r="BT112" i="9"/>
  <c r="BU112" i="9"/>
  <c r="BP113" i="9"/>
  <c r="BQ113" i="9"/>
  <c r="BR113" i="9"/>
  <c r="BS113" i="9"/>
  <c r="BT113" i="9"/>
  <c r="BU113" i="9"/>
  <c r="BP114" i="9"/>
  <c r="BQ114" i="9"/>
  <c r="BR114" i="9"/>
  <c r="BS114" i="9"/>
  <c r="BT114" i="9"/>
  <c r="BU114" i="9"/>
  <c r="BP115" i="9"/>
  <c r="BQ115" i="9"/>
  <c r="BR115" i="9"/>
  <c r="BS115" i="9"/>
  <c r="BT115" i="9"/>
  <c r="BU115" i="9"/>
  <c r="BP116" i="9"/>
  <c r="BQ116" i="9"/>
  <c r="BR116" i="9"/>
  <c r="BS116" i="9"/>
  <c r="BT116" i="9"/>
  <c r="BU116" i="9"/>
  <c r="BP117" i="9"/>
  <c r="BQ117" i="9"/>
  <c r="BR117" i="9"/>
  <c r="BS117" i="9"/>
  <c r="BT117" i="9"/>
  <c r="BU117" i="9"/>
  <c r="BP118" i="9"/>
  <c r="BQ118" i="9"/>
  <c r="BR118" i="9"/>
  <c r="BS118" i="9"/>
  <c r="BT118" i="9"/>
  <c r="BU118" i="9"/>
  <c r="BP119" i="9"/>
  <c r="BQ119" i="9"/>
  <c r="BR119" i="9"/>
  <c r="BS119" i="9"/>
  <c r="BT119" i="9"/>
  <c r="BU119" i="9"/>
  <c r="BP120" i="9"/>
  <c r="BQ120" i="9"/>
  <c r="BR120" i="9"/>
  <c r="BS120" i="9"/>
  <c r="BT120" i="9"/>
  <c r="BU120" i="9"/>
  <c r="BP121" i="9"/>
  <c r="BQ121" i="9"/>
  <c r="BR121" i="9"/>
  <c r="BS121" i="9"/>
  <c r="BT121" i="9"/>
  <c r="BU121" i="9"/>
  <c r="BP122" i="9"/>
  <c r="BQ122" i="9"/>
  <c r="BR122" i="9"/>
  <c r="BS122" i="9"/>
  <c r="BT122" i="9"/>
  <c r="BU122" i="9"/>
  <c r="BP123" i="9"/>
  <c r="BQ123" i="9"/>
  <c r="BR123" i="9"/>
  <c r="BS123" i="9"/>
  <c r="BT123" i="9"/>
  <c r="BU123" i="9"/>
  <c r="BP124" i="9"/>
  <c r="BQ124" i="9"/>
  <c r="BR124" i="9"/>
  <c r="BS124" i="9"/>
  <c r="BT124" i="9"/>
  <c r="BU124" i="9"/>
  <c r="BP125" i="9"/>
  <c r="BQ125" i="9"/>
  <c r="BR125" i="9"/>
  <c r="BS125" i="9"/>
  <c r="BT125" i="9"/>
  <c r="BU125" i="9"/>
  <c r="BP126" i="9"/>
  <c r="BQ126" i="9"/>
  <c r="BR126" i="9"/>
  <c r="BS126" i="9"/>
  <c r="BT126" i="9"/>
  <c r="BU126" i="9"/>
  <c r="BP127" i="9"/>
  <c r="BQ127" i="9"/>
  <c r="BR127" i="9"/>
  <c r="BS127" i="9"/>
  <c r="BT127" i="9"/>
  <c r="BU127" i="9"/>
  <c r="BP128" i="9"/>
  <c r="BQ128" i="9"/>
  <c r="BR128" i="9"/>
  <c r="BS128" i="9"/>
  <c r="BT128" i="9"/>
  <c r="BU128" i="9"/>
  <c r="BP129" i="9"/>
  <c r="BQ129" i="9"/>
  <c r="BR129" i="9"/>
  <c r="BS129" i="9"/>
  <c r="BT129" i="9"/>
  <c r="BU129" i="9"/>
  <c r="BP130" i="9"/>
  <c r="BQ130" i="9"/>
  <c r="BR130" i="9"/>
  <c r="BS130" i="9"/>
  <c r="BT130" i="9"/>
  <c r="BU130" i="9"/>
  <c r="BP131" i="9"/>
  <c r="BQ131" i="9"/>
  <c r="BR131" i="9"/>
  <c r="BS131" i="9"/>
  <c r="BT131" i="9"/>
  <c r="BU131" i="9"/>
  <c r="BP132" i="9"/>
  <c r="BQ132" i="9"/>
  <c r="BR132" i="9"/>
  <c r="BS132" i="9"/>
  <c r="BT132" i="9"/>
  <c r="BU132" i="9"/>
  <c r="BP133" i="9"/>
  <c r="BQ133" i="9"/>
  <c r="BR133" i="9"/>
  <c r="BS133" i="9"/>
  <c r="BT133" i="9"/>
  <c r="BU133" i="9"/>
  <c r="BP134" i="9"/>
  <c r="BQ134" i="9"/>
  <c r="BR134" i="9"/>
  <c r="BS134" i="9"/>
  <c r="BT134" i="9"/>
  <c r="BU134" i="9"/>
  <c r="BP135" i="9"/>
  <c r="BQ135" i="9"/>
  <c r="BR135" i="9"/>
  <c r="BS135" i="9"/>
  <c r="BT135" i="9"/>
  <c r="BU135" i="9"/>
  <c r="BP136" i="9"/>
  <c r="BQ136" i="9"/>
  <c r="BR136" i="9"/>
  <c r="BS136" i="9"/>
  <c r="BT136" i="9"/>
  <c r="BU136" i="9"/>
  <c r="BP137" i="9"/>
  <c r="BQ137" i="9"/>
  <c r="BR137" i="9"/>
  <c r="BS137" i="9"/>
  <c r="BT137" i="9"/>
  <c r="BU137" i="9"/>
  <c r="BP138" i="9"/>
  <c r="BQ138" i="9"/>
  <c r="BR138" i="9"/>
  <c r="BS138" i="9"/>
  <c r="BT138" i="9"/>
  <c r="BU138" i="9"/>
  <c r="BP139" i="9"/>
  <c r="BQ139" i="9"/>
  <c r="BR139" i="9"/>
  <c r="BS139" i="9"/>
  <c r="BT139" i="9"/>
  <c r="BU139" i="9"/>
  <c r="BP140" i="9"/>
  <c r="BQ140" i="9"/>
  <c r="BR140" i="9"/>
  <c r="BS140" i="9"/>
  <c r="BT140" i="9"/>
  <c r="BU140" i="9"/>
  <c r="BP141" i="9"/>
  <c r="BQ141" i="9"/>
  <c r="BR141" i="9"/>
  <c r="BS141" i="9"/>
  <c r="BT141" i="9"/>
  <c r="BU141" i="9"/>
  <c r="BP142" i="9"/>
  <c r="BQ142" i="9"/>
  <c r="BR142" i="9"/>
  <c r="BS142" i="9"/>
  <c r="BT142" i="9"/>
  <c r="BU142" i="9"/>
  <c r="BP143" i="9"/>
  <c r="BQ143" i="9"/>
  <c r="BR143" i="9"/>
  <c r="BS143" i="9"/>
  <c r="BT143" i="9"/>
  <c r="BU143" i="9"/>
  <c r="BP144" i="9"/>
  <c r="BQ144" i="9"/>
  <c r="BR144" i="9"/>
  <c r="BS144" i="9"/>
  <c r="BT144" i="9"/>
  <c r="BU144" i="9"/>
  <c r="BP145" i="9"/>
  <c r="BQ145" i="9"/>
  <c r="BR145" i="9"/>
  <c r="BS145" i="9"/>
  <c r="BT145" i="9"/>
  <c r="BU145" i="9"/>
  <c r="BP146" i="9"/>
  <c r="BQ146" i="9"/>
  <c r="BR146" i="9"/>
  <c r="BS146" i="9"/>
  <c r="BT146" i="9"/>
  <c r="BU146" i="9"/>
  <c r="BP147" i="9"/>
  <c r="BQ147" i="9"/>
  <c r="BR147" i="9"/>
  <c r="BS147" i="9"/>
  <c r="BT147" i="9"/>
  <c r="BU147" i="9"/>
  <c r="BP148" i="9"/>
  <c r="BQ148" i="9"/>
  <c r="BR148" i="9"/>
  <c r="BS148" i="9"/>
  <c r="BT148" i="9"/>
  <c r="BU148" i="9"/>
  <c r="BP149" i="9"/>
  <c r="BQ149" i="9"/>
  <c r="BR149" i="9"/>
  <c r="BS149" i="9"/>
  <c r="BT149" i="9"/>
  <c r="BU149" i="9"/>
  <c r="BP150" i="9"/>
  <c r="BQ150" i="9"/>
  <c r="BR150" i="9"/>
  <c r="BS150" i="9"/>
  <c r="BT150" i="9"/>
  <c r="BU150" i="9"/>
  <c r="BP151" i="9"/>
  <c r="BQ151" i="9"/>
  <c r="BR151" i="9"/>
  <c r="BS151" i="9"/>
  <c r="BT151" i="9"/>
  <c r="BU151" i="9"/>
  <c r="BP152" i="9"/>
  <c r="BQ152" i="9"/>
  <c r="BR152" i="9"/>
  <c r="BS152" i="9"/>
  <c r="BT152" i="9"/>
  <c r="BU152" i="9"/>
  <c r="BP153" i="9"/>
  <c r="BQ153" i="9"/>
  <c r="BR153" i="9"/>
  <c r="BS153" i="9"/>
  <c r="BT153" i="9"/>
  <c r="BU153" i="9"/>
  <c r="BP154" i="9"/>
  <c r="BQ154" i="9"/>
  <c r="BR154" i="9"/>
  <c r="BS154" i="9"/>
  <c r="BT154" i="9"/>
  <c r="BU154" i="9"/>
  <c r="BP155" i="9"/>
  <c r="BQ155" i="9"/>
  <c r="BR155" i="9"/>
  <c r="BS155" i="9"/>
  <c r="BT155" i="9"/>
  <c r="BU155" i="9"/>
  <c r="BP156" i="9"/>
  <c r="BQ156" i="9"/>
  <c r="BR156" i="9"/>
  <c r="BS156" i="9"/>
  <c r="BT156" i="9"/>
  <c r="BU156" i="9"/>
  <c r="BP157" i="9"/>
  <c r="BQ157" i="9"/>
  <c r="BR157" i="9"/>
  <c r="BS157" i="9"/>
  <c r="BT157" i="9"/>
  <c r="BU157" i="9"/>
  <c r="BP158" i="9"/>
  <c r="BQ158" i="9"/>
  <c r="BR158" i="9"/>
  <c r="BS158" i="9"/>
  <c r="BT158" i="9"/>
  <c r="BU158" i="9"/>
  <c r="BP159" i="9"/>
  <c r="BQ159" i="9"/>
  <c r="BR159" i="9"/>
  <c r="BS159" i="9"/>
  <c r="BT159" i="9"/>
  <c r="BU159" i="9"/>
  <c r="BP160" i="9"/>
  <c r="BQ160" i="9"/>
  <c r="BR160" i="9"/>
  <c r="BS160" i="9"/>
  <c r="BT160" i="9"/>
  <c r="BU160" i="9"/>
  <c r="BP161" i="9"/>
  <c r="BQ161" i="9"/>
  <c r="BR161" i="9"/>
  <c r="BS161" i="9"/>
  <c r="BT161" i="9"/>
  <c r="BU161" i="9"/>
  <c r="BP162" i="9"/>
  <c r="BQ162" i="9"/>
  <c r="BR162" i="9"/>
  <c r="BS162" i="9"/>
  <c r="BT162" i="9"/>
  <c r="BU162" i="9"/>
  <c r="BP163" i="9"/>
  <c r="BQ163" i="9"/>
  <c r="BR163" i="9"/>
  <c r="BS163" i="9"/>
  <c r="BT163" i="9"/>
  <c r="BU163" i="9"/>
  <c r="BP164" i="9"/>
  <c r="BQ164" i="9"/>
  <c r="BR164" i="9"/>
  <c r="BS164" i="9"/>
  <c r="BT164" i="9"/>
  <c r="BU164" i="9"/>
  <c r="BP165" i="9"/>
  <c r="BQ165" i="9"/>
  <c r="BR165" i="9"/>
  <c r="BS165" i="9"/>
  <c r="BT165" i="9"/>
  <c r="BU165" i="9"/>
  <c r="BP166" i="9"/>
  <c r="BQ166" i="9"/>
  <c r="BR166" i="9"/>
  <c r="BS166" i="9"/>
  <c r="BT166" i="9"/>
  <c r="BU166" i="9"/>
  <c r="BP167" i="9"/>
  <c r="BQ167" i="9"/>
  <c r="BR167" i="9"/>
  <c r="BS167" i="9"/>
  <c r="BT167" i="9"/>
  <c r="BU167" i="9"/>
  <c r="BP168" i="9"/>
  <c r="BQ168" i="9"/>
  <c r="BR168" i="9"/>
  <c r="BS168" i="9"/>
  <c r="BT168" i="9"/>
  <c r="BU168" i="9"/>
  <c r="BP169" i="9"/>
  <c r="BQ169" i="9"/>
  <c r="BR169" i="9"/>
  <c r="BS169" i="9"/>
  <c r="BT169" i="9"/>
  <c r="BU169" i="9"/>
  <c r="BP170" i="9"/>
  <c r="BQ170" i="9"/>
  <c r="BR170" i="9"/>
  <c r="BS170" i="9"/>
  <c r="BT170" i="9"/>
  <c r="BU170" i="9"/>
  <c r="BP171" i="9"/>
  <c r="BQ171" i="9"/>
  <c r="BR171" i="9"/>
  <c r="BS171" i="9"/>
  <c r="BT171" i="9"/>
  <c r="BU171" i="9"/>
  <c r="BP172" i="9"/>
  <c r="BQ172" i="9"/>
  <c r="BR172" i="9"/>
  <c r="BS172" i="9"/>
  <c r="BT172" i="9"/>
  <c r="BU172" i="9"/>
  <c r="BP173" i="9"/>
  <c r="BQ173" i="9"/>
  <c r="BR173" i="9"/>
  <c r="BS173" i="9"/>
  <c r="BT173" i="9"/>
  <c r="BU173" i="9"/>
  <c r="BP174" i="9"/>
  <c r="BQ174" i="9"/>
  <c r="BR174" i="9"/>
  <c r="BS174" i="9"/>
  <c r="BT174" i="9"/>
  <c r="BU174" i="9"/>
  <c r="BP175" i="9"/>
  <c r="BQ175" i="9"/>
  <c r="BR175" i="9"/>
  <c r="BS175" i="9"/>
  <c r="BT175" i="9"/>
  <c r="BU175" i="9"/>
  <c r="BP176" i="9"/>
  <c r="BQ176" i="9"/>
  <c r="BR176" i="9"/>
  <c r="BS176" i="9"/>
  <c r="BT176" i="9"/>
  <c r="BU176" i="9"/>
  <c r="BP177" i="9"/>
  <c r="BQ177" i="9"/>
  <c r="BR177" i="9"/>
  <c r="BS177" i="9"/>
  <c r="BT177" i="9"/>
  <c r="BU177" i="9"/>
  <c r="BP178" i="9"/>
  <c r="BQ178" i="9"/>
  <c r="BR178" i="9"/>
  <c r="BS178" i="9"/>
  <c r="BT178" i="9"/>
  <c r="BU178" i="9"/>
  <c r="BP179" i="9"/>
  <c r="BQ179" i="9"/>
  <c r="BR179" i="9"/>
  <c r="BS179" i="9"/>
  <c r="BT179" i="9"/>
  <c r="BU179" i="9"/>
  <c r="BP180" i="9"/>
  <c r="BQ180" i="9"/>
  <c r="BR180" i="9"/>
  <c r="BS180" i="9"/>
  <c r="BT180" i="9"/>
  <c r="BU180" i="9"/>
  <c r="BP181" i="9"/>
  <c r="BQ181" i="9"/>
  <c r="BR181" i="9"/>
  <c r="BS181" i="9"/>
  <c r="BT181" i="9"/>
  <c r="BU181" i="9"/>
  <c r="BP182" i="9"/>
  <c r="BQ182" i="9"/>
  <c r="BR182" i="9"/>
  <c r="BS182" i="9"/>
  <c r="BT182" i="9"/>
  <c r="BU182" i="9"/>
  <c r="BP183" i="9"/>
  <c r="BQ183" i="9"/>
  <c r="BR183" i="9"/>
  <c r="BS183" i="9"/>
  <c r="BT183" i="9"/>
  <c r="BU183" i="9"/>
  <c r="BP184" i="9"/>
  <c r="BQ184" i="9"/>
  <c r="BR184" i="9"/>
  <c r="BS184" i="9"/>
  <c r="BT184" i="9"/>
  <c r="BU184" i="9"/>
  <c r="BP185" i="9"/>
  <c r="BQ185" i="9"/>
  <c r="BR185" i="9"/>
  <c r="BS185" i="9"/>
  <c r="BT185" i="9"/>
  <c r="BU185" i="9"/>
  <c r="BP186" i="9"/>
  <c r="BQ186" i="9"/>
  <c r="BR186" i="9"/>
  <c r="BS186" i="9"/>
  <c r="BT186" i="9"/>
  <c r="BU186" i="9"/>
  <c r="BP187" i="9"/>
  <c r="BQ187" i="9"/>
  <c r="BR187" i="9"/>
  <c r="BS187" i="9"/>
  <c r="BT187" i="9"/>
  <c r="BU187" i="9"/>
  <c r="BP188" i="9"/>
  <c r="BQ188" i="9"/>
  <c r="BR188" i="9"/>
  <c r="BS188" i="9"/>
  <c r="BT188" i="9"/>
  <c r="BU188" i="9"/>
  <c r="BP189" i="9"/>
  <c r="BQ189" i="9"/>
  <c r="BR189" i="9"/>
  <c r="BS189" i="9"/>
  <c r="BT189" i="9"/>
  <c r="BU189" i="9"/>
  <c r="BP190" i="9"/>
  <c r="BQ190" i="9"/>
  <c r="BR190" i="9"/>
  <c r="BS190" i="9"/>
  <c r="BT190" i="9"/>
  <c r="BU190" i="9"/>
  <c r="BP191" i="9"/>
  <c r="BQ191" i="9"/>
  <c r="BR191" i="9"/>
  <c r="BS191" i="9"/>
  <c r="BT191" i="9"/>
  <c r="BU191" i="9"/>
  <c r="BP192" i="9"/>
  <c r="BQ192" i="9"/>
  <c r="BR192" i="9"/>
  <c r="BS192" i="9"/>
  <c r="BT192" i="9"/>
  <c r="BU192" i="9"/>
  <c r="BP193" i="9"/>
  <c r="BQ193" i="9"/>
  <c r="BR193" i="9"/>
  <c r="BS193" i="9"/>
  <c r="BT193" i="9"/>
  <c r="BU193" i="9"/>
  <c r="BP194" i="9"/>
  <c r="BQ194" i="9"/>
  <c r="BR194" i="9"/>
  <c r="BS194" i="9"/>
  <c r="BT194" i="9"/>
  <c r="BU194" i="9"/>
  <c r="BP195" i="9"/>
  <c r="BQ195" i="9"/>
  <c r="BR195" i="9"/>
  <c r="BS195" i="9"/>
  <c r="BT195" i="9"/>
  <c r="BU195" i="9"/>
  <c r="BP196" i="9"/>
  <c r="BQ196" i="9"/>
  <c r="BR196" i="9"/>
  <c r="BS196" i="9"/>
  <c r="BT196" i="9"/>
  <c r="BU196" i="9"/>
  <c r="BP197" i="9"/>
  <c r="BQ197" i="9"/>
  <c r="BR197" i="9"/>
  <c r="BS197" i="9"/>
  <c r="BT197" i="9"/>
  <c r="BU197" i="9"/>
  <c r="BP198" i="9"/>
  <c r="BQ198" i="9"/>
  <c r="BR198" i="9"/>
  <c r="BS198" i="9"/>
  <c r="BT198" i="9"/>
  <c r="BU198" i="9"/>
  <c r="BP199" i="9"/>
  <c r="BQ199" i="9"/>
  <c r="BR199" i="9"/>
  <c r="BS199" i="9"/>
  <c r="BT199" i="9"/>
  <c r="BU199" i="9"/>
  <c r="BP200" i="9"/>
  <c r="BQ200" i="9"/>
  <c r="BR200" i="9"/>
  <c r="BS200" i="9"/>
  <c r="BT200" i="9"/>
  <c r="BU200" i="9"/>
  <c r="BP201" i="9"/>
  <c r="BQ201" i="9"/>
  <c r="BR201" i="9"/>
  <c r="BS201" i="9"/>
  <c r="BT201" i="9"/>
  <c r="BU201" i="9"/>
  <c r="BP202" i="9"/>
  <c r="BQ202" i="9"/>
  <c r="BR202" i="9"/>
  <c r="BS202" i="9"/>
  <c r="BT202" i="9"/>
  <c r="BU202" i="9"/>
  <c r="BP203" i="9"/>
  <c r="BQ203" i="9"/>
  <c r="BR203" i="9"/>
  <c r="BS203" i="9"/>
  <c r="BT203" i="9"/>
  <c r="BU203" i="9"/>
  <c r="BP204" i="9"/>
  <c r="BQ204" i="9"/>
  <c r="BR204" i="9"/>
  <c r="BS204" i="9"/>
  <c r="BT204" i="9"/>
  <c r="BU204" i="9"/>
  <c r="BP205" i="9"/>
  <c r="BQ205" i="9"/>
  <c r="BR205" i="9"/>
  <c r="BS205" i="9"/>
  <c r="BT205" i="9"/>
  <c r="BU205" i="9"/>
  <c r="BP206" i="9"/>
  <c r="BQ206" i="9"/>
  <c r="BR206" i="9"/>
  <c r="BS206" i="9"/>
  <c r="BT206" i="9"/>
  <c r="BU206" i="9"/>
  <c r="BP207" i="9"/>
  <c r="BQ207" i="9"/>
  <c r="BR207" i="9"/>
  <c r="BS207" i="9"/>
  <c r="BT207" i="9"/>
  <c r="BU207" i="9"/>
  <c r="BP208" i="9"/>
  <c r="BQ208" i="9"/>
  <c r="BR208" i="9"/>
  <c r="BS208" i="9"/>
  <c r="BT208" i="9"/>
  <c r="BU208" i="9"/>
  <c r="BP209" i="9"/>
  <c r="BQ209" i="9"/>
  <c r="BR209" i="9"/>
  <c r="BS209" i="9"/>
  <c r="BT209" i="9"/>
  <c r="BU209" i="9"/>
  <c r="BP210" i="9"/>
  <c r="BQ210" i="9"/>
  <c r="BR210" i="9"/>
  <c r="BS210" i="9"/>
  <c r="BT210" i="9"/>
  <c r="BU210" i="9"/>
  <c r="BP211" i="9"/>
  <c r="BQ211" i="9"/>
  <c r="BR211" i="9"/>
  <c r="BS211" i="9"/>
  <c r="BT211" i="9"/>
  <c r="BU211" i="9"/>
  <c r="BP212" i="9"/>
  <c r="BQ212" i="9"/>
  <c r="BR212" i="9"/>
  <c r="BS212" i="9"/>
  <c r="BT212" i="9"/>
  <c r="BU212" i="9"/>
  <c r="BP213" i="9"/>
  <c r="BQ213" i="9"/>
  <c r="BR213" i="9"/>
  <c r="BS213" i="9"/>
  <c r="BT213" i="9"/>
  <c r="BU213" i="9"/>
  <c r="BP214" i="9"/>
  <c r="BQ214" i="9"/>
  <c r="BR214" i="9"/>
  <c r="BS214" i="9"/>
  <c r="BT214" i="9"/>
  <c r="BU214" i="9"/>
  <c r="BP215" i="9"/>
  <c r="BQ215" i="9"/>
  <c r="BR215" i="9"/>
  <c r="BS215" i="9"/>
  <c r="BT215" i="9"/>
  <c r="BU215" i="9"/>
  <c r="BP216" i="9"/>
  <c r="BQ216" i="9"/>
  <c r="BR216" i="9"/>
  <c r="BS216" i="9"/>
  <c r="BT216" i="9"/>
  <c r="BU216" i="9"/>
  <c r="BP217" i="9"/>
  <c r="BQ217" i="9"/>
  <c r="BR217" i="9"/>
  <c r="BS217" i="9"/>
  <c r="BT217" i="9"/>
  <c r="BU217" i="9"/>
  <c r="BP218" i="9"/>
  <c r="BQ218" i="9"/>
  <c r="BR218" i="9"/>
  <c r="BS218" i="9"/>
  <c r="BT218" i="9"/>
  <c r="BU218" i="9"/>
  <c r="BP219" i="9"/>
  <c r="BQ219" i="9"/>
  <c r="BR219" i="9"/>
  <c r="BS219" i="9"/>
  <c r="BT219" i="9"/>
  <c r="BU219" i="9"/>
  <c r="BP220" i="9"/>
  <c r="BQ220" i="9"/>
  <c r="BR220" i="9"/>
  <c r="BS220" i="9"/>
  <c r="BT220" i="9"/>
  <c r="BU220" i="9"/>
  <c r="BP221" i="9"/>
  <c r="BQ221" i="9"/>
  <c r="BR221" i="9"/>
  <c r="BS221" i="9"/>
  <c r="BT221" i="9"/>
  <c r="BU221" i="9"/>
  <c r="BP222" i="9"/>
  <c r="BQ222" i="9"/>
  <c r="BR222" i="9"/>
  <c r="BS222" i="9"/>
  <c r="BT222" i="9"/>
  <c r="BU222" i="9"/>
  <c r="BP223" i="9"/>
  <c r="BQ223" i="9"/>
  <c r="BR223" i="9"/>
  <c r="BS223" i="9"/>
  <c r="BT223" i="9"/>
  <c r="BU223" i="9"/>
  <c r="BP224" i="9"/>
  <c r="BQ224" i="9"/>
  <c r="BR224" i="9"/>
  <c r="BS224" i="9"/>
  <c r="BT224" i="9"/>
  <c r="BU224" i="9"/>
  <c r="BP225" i="9"/>
  <c r="BQ225" i="9"/>
  <c r="BR225" i="9"/>
  <c r="BS225" i="9"/>
  <c r="BT225" i="9"/>
  <c r="BU225" i="9"/>
  <c r="BP226" i="9"/>
  <c r="BQ226" i="9"/>
  <c r="BR226" i="9"/>
  <c r="BS226" i="9"/>
  <c r="BT226" i="9"/>
  <c r="BU226" i="9"/>
  <c r="BP227" i="9"/>
  <c r="BQ227" i="9"/>
  <c r="BR227" i="9"/>
  <c r="BS227" i="9"/>
  <c r="BT227" i="9"/>
  <c r="BU227" i="9"/>
  <c r="BP228" i="9"/>
  <c r="BQ228" i="9"/>
  <c r="BR228" i="9"/>
  <c r="BS228" i="9"/>
  <c r="BT228" i="9"/>
  <c r="BU228" i="9"/>
  <c r="BP229" i="9"/>
  <c r="BQ229" i="9"/>
  <c r="BR229" i="9"/>
  <c r="BS229" i="9"/>
  <c r="BT229" i="9"/>
  <c r="BU229" i="9"/>
  <c r="BP230" i="9"/>
  <c r="BQ230" i="9"/>
  <c r="BR230" i="9"/>
  <c r="BS230" i="9"/>
  <c r="BT230" i="9"/>
  <c r="BU230" i="9"/>
  <c r="BP231" i="9"/>
  <c r="BQ231" i="9"/>
  <c r="BR231" i="9"/>
  <c r="BS231" i="9"/>
  <c r="BT231" i="9"/>
  <c r="BU231" i="9"/>
  <c r="BP232" i="9"/>
  <c r="BQ232" i="9"/>
  <c r="BR232" i="9"/>
  <c r="BS232" i="9"/>
  <c r="BT232" i="9"/>
  <c r="BU232" i="9"/>
  <c r="BP233" i="9"/>
  <c r="BQ233" i="9"/>
  <c r="BR233" i="9"/>
  <c r="BS233" i="9"/>
  <c r="BT233" i="9"/>
  <c r="BU233" i="9"/>
  <c r="BP234" i="9"/>
  <c r="BQ234" i="9"/>
  <c r="BR234" i="9"/>
  <c r="BS234" i="9"/>
  <c r="BT234" i="9"/>
  <c r="BU234" i="9"/>
  <c r="BP235" i="9"/>
  <c r="BQ235" i="9"/>
  <c r="BR235" i="9"/>
  <c r="BS235" i="9"/>
  <c r="BT235" i="9"/>
  <c r="BU235" i="9"/>
  <c r="BP236" i="9"/>
  <c r="BQ236" i="9"/>
  <c r="BR236" i="9"/>
  <c r="BS236" i="9"/>
  <c r="BT236" i="9"/>
  <c r="BU236" i="9"/>
  <c r="BP237" i="9"/>
  <c r="BQ237" i="9"/>
  <c r="BR237" i="9"/>
  <c r="BS237" i="9"/>
  <c r="BT237" i="9"/>
  <c r="BU237" i="9"/>
  <c r="BP238" i="9"/>
  <c r="BQ238" i="9"/>
  <c r="BR238" i="9"/>
  <c r="BS238" i="9"/>
  <c r="BT238" i="9"/>
  <c r="BU238" i="9"/>
  <c r="BP239" i="9"/>
  <c r="BQ239" i="9"/>
  <c r="BR239" i="9"/>
  <c r="BS239" i="9"/>
  <c r="BT239" i="9"/>
  <c r="BU239" i="9"/>
  <c r="BU2" i="9"/>
  <c r="BT2" i="9"/>
  <c r="BS2" i="9"/>
  <c r="BR2" i="9"/>
  <c r="BQ2" i="9"/>
  <c r="BP2" i="9"/>
  <c r="AY289" i="9" l="1"/>
  <c r="AY288" i="9"/>
  <c r="AY287" i="9"/>
  <c r="AY286" i="9"/>
  <c r="AY285" i="9"/>
  <c r="AY284" i="9"/>
  <c r="AY283" i="9"/>
  <c r="AY282" i="9"/>
  <c r="AY281" i="9"/>
  <c r="AY280" i="9"/>
  <c r="AY279" i="9"/>
  <c r="AY278" i="9"/>
  <c r="AY277" i="9"/>
  <c r="AY276" i="9"/>
  <c r="AY275" i="9"/>
  <c r="AY274" i="9"/>
  <c r="AY273" i="9"/>
  <c r="AY272" i="9"/>
  <c r="AY271" i="9"/>
  <c r="AY270" i="9"/>
  <c r="AY269" i="9"/>
  <c r="AY268" i="9"/>
  <c r="AY267" i="9"/>
  <c r="AY266" i="9"/>
  <c r="AY265" i="9"/>
  <c r="AY264" i="9"/>
  <c r="AY263" i="9"/>
  <c r="AY262" i="9"/>
  <c r="AY261" i="9"/>
  <c r="AY260" i="9"/>
  <c r="AY259" i="9"/>
  <c r="AY258" i="9"/>
  <c r="AY257" i="9"/>
  <c r="AY256" i="9"/>
  <c r="AY255" i="9"/>
  <c r="AY254" i="9"/>
  <c r="AY253" i="9"/>
  <c r="AY252" i="9"/>
  <c r="AY251" i="9"/>
  <c r="AY250" i="9"/>
  <c r="AY249" i="9"/>
  <c r="AY248" i="9"/>
  <c r="AY247" i="9"/>
  <c r="AY246" i="9"/>
  <c r="AY245" i="9"/>
  <c r="AY244" i="9"/>
  <c r="AY243" i="9"/>
  <c r="AY242" i="9"/>
  <c r="AY241" i="9"/>
  <c r="AY240" i="9"/>
  <c r="AY239" i="9"/>
  <c r="AY238" i="9"/>
  <c r="AY237" i="9"/>
  <c r="AY236" i="9"/>
  <c r="AY235" i="9"/>
  <c r="AY234" i="9"/>
  <c r="AY233" i="9"/>
  <c r="AY232" i="9"/>
  <c r="AY231" i="9"/>
  <c r="AY230" i="9"/>
  <c r="AY229" i="9"/>
  <c r="AY228" i="9"/>
  <c r="AY227" i="9"/>
  <c r="AY226" i="9"/>
  <c r="AY225" i="9"/>
  <c r="AY224" i="9"/>
  <c r="AY223" i="9"/>
  <c r="AY222" i="9"/>
  <c r="AY221" i="9"/>
  <c r="AY220" i="9"/>
  <c r="AY219" i="9"/>
  <c r="AY218" i="9"/>
  <c r="AY217" i="9"/>
  <c r="AY216" i="9"/>
  <c r="AY215" i="9"/>
  <c r="AY214" i="9"/>
  <c r="AY213" i="9"/>
  <c r="AY212" i="9"/>
  <c r="AY211" i="9"/>
  <c r="AY210" i="9"/>
  <c r="AY209" i="9"/>
  <c r="AY208" i="9"/>
  <c r="AY207" i="9"/>
  <c r="AY206" i="9"/>
  <c r="AY205" i="9"/>
  <c r="AY204" i="9"/>
  <c r="AY203" i="9"/>
  <c r="AY202" i="9"/>
  <c r="AY201" i="9"/>
  <c r="AY200" i="9"/>
  <c r="AY199" i="9"/>
  <c r="AY198" i="9"/>
  <c r="AY197" i="9"/>
  <c r="AY196" i="9"/>
  <c r="AY195" i="9"/>
  <c r="AY194" i="9"/>
  <c r="AY193" i="9"/>
  <c r="AY192" i="9"/>
  <c r="AY191" i="9"/>
  <c r="AY190" i="9"/>
  <c r="AY189" i="9"/>
  <c r="AY188" i="9"/>
  <c r="AY187" i="9"/>
  <c r="AY186" i="9"/>
  <c r="AY185" i="9"/>
  <c r="AY184" i="9"/>
  <c r="AY183" i="9"/>
  <c r="AY182" i="9"/>
  <c r="AY181" i="9"/>
  <c r="AY180" i="9"/>
  <c r="AY179" i="9"/>
  <c r="AY178" i="9"/>
  <c r="AY177" i="9"/>
  <c r="AY176" i="9"/>
  <c r="AY175" i="9"/>
  <c r="AY174" i="9"/>
  <c r="AY173" i="9"/>
  <c r="AY172" i="9"/>
  <c r="AY171" i="9"/>
  <c r="AY170" i="9"/>
  <c r="AY169" i="9"/>
  <c r="AY168" i="9"/>
  <c r="AY167" i="9"/>
  <c r="AY166" i="9"/>
  <c r="AY165" i="9"/>
  <c r="AY164" i="9"/>
  <c r="AY163" i="9"/>
  <c r="AY162" i="9"/>
  <c r="AY161" i="9"/>
  <c r="AY160" i="9"/>
  <c r="AY159" i="9"/>
  <c r="AY158" i="9"/>
  <c r="AY157" i="9"/>
  <c r="AY156" i="9"/>
  <c r="AY155" i="9"/>
  <c r="AY154" i="9"/>
  <c r="AY3" i="9"/>
  <c r="AY2" i="9"/>
  <c r="BL2" i="9" l="1"/>
  <c r="BL3" i="9"/>
  <c r="BL4" i="9"/>
  <c r="BL5" i="9"/>
  <c r="BL6" i="9"/>
  <c r="BL7" i="9"/>
  <c r="BL8" i="9"/>
  <c r="BL9" i="9"/>
  <c r="BL10" i="9"/>
  <c r="BL11" i="9"/>
  <c r="BL12" i="9"/>
  <c r="BL13" i="9"/>
  <c r="BL14" i="9"/>
  <c r="BL15" i="9"/>
  <c r="BL16" i="9"/>
  <c r="BL17" i="9"/>
  <c r="BL18" i="9"/>
  <c r="BL19" i="9"/>
  <c r="BL20" i="9"/>
  <c r="BL21" i="9"/>
  <c r="BL22" i="9"/>
  <c r="BL23" i="9"/>
  <c r="BL24" i="9"/>
  <c r="BL25" i="9"/>
  <c r="BL26" i="9"/>
  <c r="BL27" i="9"/>
  <c r="BL28" i="9"/>
  <c r="BL29" i="9"/>
  <c r="BL30" i="9"/>
  <c r="BL31" i="9"/>
  <c r="BL32" i="9"/>
  <c r="BL33" i="9"/>
  <c r="BL34" i="9"/>
  <c r="BL35" i="9"/>
  <c r="BL36" i="9"/>
  <c r="BL37" i="9"/>
  <c r="BL38" i="9"/>
  <c r="BL39" i="9"/>
  <c r="BL40" i="9"/>
  <c r="BL41" i="9"/>
  <c r="BL42" i="9"/>
  <c r="BL43" i="9"/>
  <c r="BL44" i="9"/>
  <c r="BL45" i="9"/>
  <c r="BL46" i="9"/>
  <c r="BL47" i="9"/>
  <c r="BL48" i="9"/>
  <c r="BL49" i="9"/>
  <c r="BL50" i="9"/>
  <c r="BL51" i="9"/>
  <c r="BL52" i="9"/>
  <c r="BL53" i="9"/>
  <c r="BL54" i="9"/>
  <c r="BL55" i="9"/>
  <c r="BL56" i="9"/>
  <c r="BL57" i="9"/>
  <c r="BL58" i="9"/>
  <c r="BL59" i="9"/>
  <c r="BL60" i="9"/>
  <c r="BL61" i="9"/>
  <c r="BL62" i="9"/>
  <c r="BL63" i="9"/>
  <c r="BL64" i="9"/>
  <c r="BL65" i="9"/>
  <c r="BL66" i="9"/>
  <c r="BL67" i="9"/>
  <c r="BL68" i="9"/>
  <c r="BL69" i="9"/>
  <c r="BL70" i="9"/>
  <c r="BL71" i="9"/>
  <c r="BL72" i="9"/>
  <c r="BL73" i="9"/>
  <c r="BL74" i="9"/>
  <c r="BL75" i="9"/>
  <c r="BL76" i="9"/>
  <c r="BL77" i="9"/>
  <c r="BL78" i="9"/>
  <c r="BL79" i="9"/>
  <c r="BL80" i="9"/>
  <c r="BL81" i="9"/>
  <c r="BL82" i="9"/>
  <c r="BL83" i="9"/>
  <c r="BL84" i="9"/>
  <c r="BL85" i="9"/>
  <c r="BL86" i="9"/>
  <c r="BL87" i="9"/>
  <c r="BL88" i="9"/>
  <c r="BL89" i="9"/>
  <c r="BL90" i="9"/>
  <c r="BL91" i="9"/>
  <c r="BL92" i="9"/>
  <c r="BL93" i="9"/>
  <c r="BL94" i="9"/>
  <c r="BL95" i="9"/>
  <c r="BL96" i="9"/>
  <c r="BL97" i="9"/>
  <c r="BL98" i="9"/>
  <c r="BL99" i="9"/>
  <c r="BL100" i="9"/>
  <c r="BL101" i="9"/>
  <c r="BL102" i="9"/>
  <c r="BL103" i="9"/>
  <c r="BL104" i="9"/>
  <c r="BL105" i="9"/>
  <c r="BL106" i="9"/>
  <c r="BL107" i="9"/>
  <c r="BL108" i="9"/>
  <c r="BL109" i="9"/>
  <c r="BL110" i="9"/>
  <c r="BL111" i="9"/>
  <c r="BL112" i="9"/>
  <c r="BL113" i="9"/>
  <c r="BL114" i="9"/>
  <c r="BL115" i="9"/>
  <c r="BL116" i="9"/>
  <c r="BL117" i="9"/>
  <c r="BL118" i="9"/>
  <c r="BL119" i="9"/>
  <c r="BL120" i="9"/>
  <c r="BL121" i="9"/>
  <c r="BL122" i="9"/>
  <c r="BL123" i="9"/>
  <c r="BL124" i="9"/>
  <c r="BL125" i="9"/>
  <c r="BL126" i="9"/>
  <c r="BL127" i="9"/>
  <c r="BL128" i="9"/>
  <c r="BL129" i="9"/>
  <c r="BL130" i="9"/>
  <c r="BL131" i="9"/>
  <c r="BL132" i="9"/>
  <c r="BL133" i="9"/>
  <c r="BL134" i="9"/>
  <c r="BL135" i="9"/>
  <c r="BL136" i="9"/>
  <c r="BL137" i="9"/>
  <c r="BL138" i="9"/>
  <c r="BL139" i="9"/>
  <c r="BL140" i="9"/>
  <c r="BL141" i="9"/>
  <c r="BL142" i="9"/>
  <c r="BL143" i="9"/>
  <c r="BL144" i="9"/>
  <c r="BL145" i="9"/>
  <c r="BL146" i="9"/>
  <c r="BL147" i="9"/>
  <c r="BL148" i="9"/>
  <c r="BL149" i="9"/>
  <c r="BL150" i="9"/>
  <c r="BL151" i="9"/>
  <c r="BL152" i="9"/>
  <c r="BL153" i="9"/>
  <c r="BL154" i="9"/>
  <c r="BL155" i="9"/>
  <c r="BL156" i="9"/>
  <c r="BL157" i="9"/>
  <c r="BL158" i="9"/>
  <c r="BL159" i="9"/>
  <c r="BL160" i="9"/>
  <c r="BL161" i="9"/>
  <c r="BL162" i="9"/>
  <c r="BL163" i="9"/>
  <c r="BL164" i="9"/>
  <c r="BL165" i="9"/>
  <c r="BL166" i="9"/>
  <c r="BL167" i="9"/>
  <c r="BL168" i="9"/>
  <c r="BL169" i="9"/>
  <c r="BL170" i="9"/>
  <c r="BL171" i="9"/>
  <c r="BL172" i="9"/>
  <c r="BL173" i="9"/>
  <c r="BL174" i="9"/>
  <c r="BL175" i="9"/>
  <c r="BL176" i="9"/>
  <c r="BL177" i="9"/>
  <c r="BL178" i="9"/>
  <c r="BL179" i="9"/>
  <c r="BL180" i="9"/>
  <c r="BL181" i="9"/>
  <c r="BL182" i="9"/>
  <c r="BL183" i="9"/>
  <c r="BL184" i="9"/>
  <c r="BL185" i="9"/>
  <c r="BL186" i="9"/>
  <c r="BL187" i="9"/>
  <c r="BL188" i="9"/>
  <c r="BL189" i="9"/>
  <c r="BL190" i="9"/>
  <c r="BL191" i="9"/>
  <c r="BL192" i="9"/>
  <c r="BL193" i="9"/>
  <c r="BL194" i="9"/>
  <c r="BL195" i="9"/>
  <c r="BL196" i="9"/>
  <c r="BL197" i="9"/>
  <c r="BL198" i="9"/>
  <c r="BL199" i="9"/>
  <c r="BL200" i="9"/>
  <c r="BL201" i="9"/>
  <c r="BL202" i="9"/>
  <c r="BL203" i="9"/>
  <c r="BL204" i="9"/>
  <c r="BL205" i="9"/>
  <c r="BL206" i="9"/>
  <c r="BL207" i="9"/>
  <c r="BL208" i="9"/>
  <c r="BL209" i="9"/>
  <c r="BL210" i="9"/>
  <c r="BL211" i="9"/>
  <c r="BL212" i="9"/>
  <c r="BL213" i="9"/>
  <c r="BL214" i="9"/>
  <c r="BL215" i="9"/>
  <c r="BL216" i="9"/>
  <c r="BL217" i="9"/>
  <c r="BL218" i="9"/>
  <c r="BL219" i="9"/>
  <c r="BL220" i="9"/>
  <c r="BL221" i="9"/>
  <c r="BL222" i="9"/>
  <c r="BL223" i="9"/>
  <c r="BL224" i="9"/>
  <c r="BL225" i="9"/>
  <c r="BL226" i="9"/>
  <c r="BL227" i="9"/>
  <c r="BL228" i="9"/>
  <c r="BL229" i="9"/>
  <c r="BL230" i="9"/>
  <c r="BL231" i="9"/>
  <c r="BL232" i="9"/>
  <c r="BL233" i="9"/>
  <c r="BL234" i="9"/>
  <c r="BL235" i="9"/>
  <c r="BL236" i="9"/>
  <c r="BL237" i="9"/>
  <c r="BL238" i="9"/>
  <c r="BL239" i="9"/>
  <c r="BL240" i="9"/>
  <c r="BL241" i="9"/>
  <c r="BL242" i="9"/>
  <c r="BL243" i="9"/>
  <c r="BL244" i="9"/>
  <c r="BL245" i="9"/>
  <c r="BL246" i="9"/>
  <c r="BL247" i="9"/>
  <c r="BL248" i="9"/>
  <c r="BL249" i="9"/>
  <c r="BL250" i="9"/>
  <c r="BL251" i="9"/>
  <c r="BL252" i="9"/>
  <c r="BL253" i="9"/>
  <c r="BL254" i="9"/>
  <c r="BL255" i="9"/>
  <c r="BL256" i="9"/>
  <c r="BL257" i="9"/>
  <c r="BL258" i="9"/>
  <c r="BL259" i="9"/>
  <c r="BL260" i="9"/>
  <c r="BL261" i="9"/>
  <c r="BL262" i="9"/>
  <c r="BL263" i="9"/>
  <c r="BL264" i="9"/>
  <c r="BL265" i="9"/>
  <c r="BL266" i="9"/>
  <c r="BL267" i="9"/>
  <c r="BL268" i="9"/>
  <c r="BL269" i="9"/>
  <c r="BL270" i="9"/>
  <c r="BL271" i="9"/>
  <c r="BL272" i="9"/>
  <c r="BL273" i="9"/>
  <c r="BL274" i="9"/>
  <c r="BL275" i="9"/>
  <c r="BL276" i="9"/>
  <c r="BL277" i="9"/>
  <c r="BL278" i="9"/>
  <c r="BL279" i="9"/>
  <c r="BL280" i="9"/>
  <c r="BL281" i="9"/>
  <c r="BL282" i="9"/>
  <c r="BL283" i="9"/>
  <c r="BL284" i="9"/>
  <c r="BL285" i="9"/>
  <c r="BL286" i="9"/>
  <c r="BL287" i="9"/>
  <c r="BL288" i="9"/>
  <c r="BL289" i="9"/>
  <c r="BK154" i="9" l="1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185" i="9"/>
  <c r="BK186" i="9"/>
  <c r="BK187" i="9"/>
  <c r="BK188" i="9"/>
  <c r="BK189" i="9"/>
  <c r="BK190" i="9"/>
  <c r="BK191" i="9"/>
  <c r="BK192" i="9"/>
  <c r="BK193" i="9"/>
  <c r="BK194" i="9"/>
  <c r="BK195" i="9"/>
  <c r="BK196" i="9"/>
  <c r="BK197" i="9"/>
  <c r="BK198" i="9"/>
  <c r="BK199" i="9"/>
  <c r="BK200" i="9"/>
  <c r="BK201" i="9"/>
  <c r="BK202" i="9"/>
  <c r="BK203" i="9"/>
  <c r="BK204" i="9"/>
  <c r="BK205" i="9"/>
  <c r="BK206" i="9"/>
  <c r="BK207" i="9"/>
  <c r="BK208" i="9"/>
  <c r="BK209" i="9"/>
  <c r="BK210" i="9"/>
  <c r="BK211" i="9"/>
  <c r="BK212" i="9"/>
  <c r="BK213" i="9"/>
  <c r="BK214" i="9"/>
  <c r="BK215" i="9"/>
  <c r="BK216" i="9"/>
  <c r="BK217" i="9"/>
  <c r="BK218" i="9"/>
  <c r="BK219" i="9"/>
  <c r="BK220" i="9"/>
  <c r="BK221" i="9"/>
  <c r="BK222" i="9"/>
  <c r="BK223" i="9"/>
  <c r="BK22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I4" i="9"/>
  <c r="BI5" i="9"/>
  <c r="BI6" i="9"/>
  <c r="BI7" i="9"/>
  <c r="BI8" i="9"/>
  <c r="BI9" i="9"/>
  <c r="BI10" i="9"/>
  <c r="BI11" i="9"/>
  <c r="BI12" i="9"/>
  <c r="BI13" i="9"/>
  <c r="BI14" i="9"/>
  <c r="BI15" i="9"/>
  <c r="BI16" i="9"/>
  <c r="BI17" i="9"/>
  <c r="BI18" i="9"/>
  <c r="BI19" i="9"/>
  <c r="BI20" i="9"/>
  <c r="BI21" i="9"/>
  <c r="BI22" i="9"/>
  <c r="BI23" i="9"/>
  <c r="BI24" i="9"/>
  <c r="BI25" i="9"/>
  <c r="BI26" i="9"/>
  <c r="BI27" i="9"/>
  <c r="BI28" i="9"/>
  <c r="BI29" i="9"/>
  <c r="BI30" i="9"/>
  <c r="BI31" i="9"/>
  <c r="BI32" i="9"/>
  <c r="BI33" i="9"/>
  <c r="BI34" i="9"/>
  <c r="BI35" i="9"/>
  <c r="BI36" i="9"/>
  <c r="BI37" i="9"/>
  <c r="BI38" i="9"/>
  <c r="BI39" i="9"/>
  <c r="BI40" i="9"/>
  <c r="BI41" i="9"/>
  <c r="BI42" i="9"/>
  <c r="BI43" i="9"/>
  <c r="BI44" i="9"/>
  <c r="BI45" i="9"/>
  <c r="BI46" i="9"/>
  <c r="BI47" i="9"/>
  <c r="BI48" i="9"/>
  <c r="BI49" i="9"/>
  <c r="BI50" i="9"/>
  <c r="BI51" i="9"/>
  <c r="BI52" i="9"/>
  <c r="BI53" i="9"/>
  <c r="BI54" i="9"/>
  <c r="BI55" i="9"/>
  <c r="BI56" i="9"/>
  <c r="BI57" i="9"/>
  <c r="BI58" i="9"/>
  <c r="BI59" i="9"/>
  <c r="BI60" i="9"/>
  <c r="BI61" i="9"/>
  <c r="BI62" i="9"/>
  <c r="BI63" i="9"/>
  <c r="BI64" i="9"/>
  <c r="BI65" i="9"/>
  <c r="BI66" i="9"/>
  <c r="BI67" i="9"/>
  <c r="BI68" i="9"/>
  <c r="BI69" i="9"/>
  <c r="BI70" i="9"/>
  <c r="BI71" i="9"/>
  <c r="BI72" i="9"/>
  <c r="BI73" i="9"/>
  <c r="BI74" i="9"/>
  <c r="BI75" i="9"/>
  <c r="BI76" i="9"/>
  <c r="BI77" i="9"/>
  <c r="BI78" i="9"/>
  <c r="BI79" i="9"/>
  <c r="BI80" i="9"/>
  <c r="BI81" i="9"/>
  <c r="BI82" i="9"/>
  <c r="BI83" i="9"/>
  <c r="BI84" i="9"/>
  <c r="BI85" i="9"/>
  <c r="BI86" i="9"/>
  <c r="BI87" i="9"/>
  <c r="BI88" i="9"/>
  <c r="BI89" i="9"/>
  <c r="BI90" i="9"/>
  <c r="BI91" i="9"/>
  <c r="BI92" i="9"/>
  <c r="BI93" i="9"/>
  <c r="BI94" i="9"/>
  <c r="BI95" i="9"/>
  <c r="BI96" i="9"/>
  <c r="BI97" i="9"/>
  <c r="BI98" i="9"/>
  <c r="BI99" i="9"/>
  <c r="BI100" i="9"/>
  <c r="BI101" i="9"/>
  <c r="BI102" i="9"/>
  <c r="BI103" i="9"/>
  <c r="BI104" i="9"/>
  <c r="BI105" i="9"/>
  <c r="BI106" i="9"/>
  <c r="BI107" i="9"/>
  <c r="BI108" i="9"/>
  <c r="BI109" i="9"/>
  <c r="BI110" i="9"/>
  <c r="BI111" i="9"/>
  <c r="BI112" i="9"/>
  <c r="BI113" i="9"/>
  <c r="BI114" i="9"/>
  <c r="BI115" i="9"/>
  <c r="BI116" i="9"/>
  <c r="BI117" i="9"/>
  <c r="BI118" i="9"/>
  <c r="BI119" i="9"/>
  <c r="BI120" i="9"/>
  <c r="BI121" i="9"/>
  <c r="BI122" i="9"/>
  <c r="BI123" i="9"/>
  <c r="BI124" i="9"/>
  <c r="BI125" i="9"/>
  <c r="BI126" i="9"/>
  <c r="BI127" i="9"/>
  <c r="BI128" i="9"/>
  <c r="BI129" i="9"/>
  <c r="BI130" i="9"/>
  <c r="BI131" i="9"/>
  <c r="BI132" i="9"/>
  <c r="BI133" i="9"/>
  <c r="BI134" i="9"/>
  <c r="BI135" i="9"/>
  <c r="BI136" i="9"/>
  <c r="BI137" i="9"/>
  <c r="BI138" i="9"/>
  <c r="BI139" i="9"/>
  <c r="BI140" i="9"/>
  <c r="BI141" i="9"/>
  <c r="BI142" i="9"/>
  <c r="BI143" i="9"/>
  <c r="BI144" i="9"/>
  <c r="BI145" i="9"/>
  <c r="BI146" i="9"/>
  <c r="BI147" i="9"/>
  <c r="BI148" i="9"/>
  <c r="BI149" i="9"/>
  <c r="BI150" i="9"/>
  <c r="BI151" i="9"/>
  <c r="BI152" i="9"/>
  <c r="BI153" i="9"/>
  <c r="BI154" i="9"/>
  <c r="BI155" i="9"/>
  <c r="BI156" i="9"/>
  <c r="BI157" i="9"/>
  <c r="BI158" i="9"/>
  <c r="BI159" i="9"/>
  <c r="BI160" i="9"/>
  <c r="BI161" i="9"/>
  <c r="BI162" i="9"/>
  <c r="BI163" i="9"/>
  <c r="BI164" i="9"/>
  <c r="BI165" i="9"/>
  <c r="BI166" i="9"/>
  <c r="BI167" i="9"/>
  <c r="BI168" i="9"/>
  <c r="BI169" i="9"/>
  <c r="BI170" i="9"/>
  <c r="BI171" i="9"/>
  <c r="BI172" i="9"/>
  <c r="BI173" i="9"/>
  <c r="BI174" i="9"/>
  <c r="BI175" i="9"/>
  <c r="BI176" i="9"/>
  <c r="BI177" i="9"/>
  <c r="BI178" i="9"/>
  <c r="BI179" i="9"/>
  <c r="BI180" i="9"/>
  <c r="BI181" i="9"/>
  <c r="BI182" i="9"/>
  <c r="BI183" i="9"/>
  <c r="BI184" i="9"/>
  <c r="BI185" i="9"/>
  <c r="BI186" i="9"/>
  <c r="BI187" i="9"/>
  <c r="BI188" i="9"/>
  <c r="BI189" i="9"/>
  <c r="BI190" i="9"/>
  <c r="BI191" i="9"/>
  <c r="BI192" i="9"/>
  <c r="BI193" i="9"/>
  <c r="BI194" i="9"/>
  <c r="BI195" i="9"/>
  <c r="BI196" i="9"/>
  <c r="BI197" i="9"/>
  <c r="BI198" i="9"/>
  <c r="BI199" i="9"/>
  <c r="BI200" i="9"/>
  <c r="BI201" i="9"/>
  <c r="BI202" i="9"/>
  <c r="BI203" i="9"/>
  <c r="BI204" i="9"/>
  <c r="BI205" i="9"/>
  <c r="BI206" i="9"/>
  <c r="BI207" i="9"/>
  <c r="BI208" i="9"/>
  <c r="BI209" i="9"/>
  <c r="BI210" i="9"/>
  <c r="BI211" i="9"/>
  <c r="BI212" i="9"/>
  <c r="BI213" i="9"/>
  <c r="BI214" i="9"/>
  <c r="BI215" i="9"/>
  <c r="BI216" i="9"/>
  <c r="BI217" i="9"/>
  <c r="BI218" i="9"/>
  <c r="BI219" i="9"/>
  <c r="BI220" i="9"/>
  <c r="BI221" i="9"/>
  <c r="BI222" i="9"/>
  <c r="BI223" i="9"/>
  <c r="BI224" i="9"/>
  <c r="BI225" i="9"/>
  <c r="BI226" i="9"/>
  <c r="BI227" i="9"/>
  <c r="BI228" i="9"/>
  <c r="BI229" i="9"/>
  <c r="BI230" i="9"/>
  <c r="BI231" i="9"/>
  <c r="BI232" i="9"/>
  <c r="BI233" i="9"/>
  <c r="BI234" i="9"/>
  <c r="BI235" i="9"/>
  <c r="BI236" i="9"/>
  <c r="BI237" i="9"/>
  <c r="BI238" i="9"/>
  <c r="BI239" i="9"/>
  <c r="BK3" i="9"/>
  <c r="BI3" i="9"/>
  <c r="Q3" i="11" l="1"/>
  <c r="Q2" i="11"/>
  <c r="BJ3" i="9" l="1"/>
  <c r="BJ4" i="9"/>
  <c r="BJ5" i="9"/>
  <c r="BJ6" i="9"/>
  <c r="BJ7" i="9"/>
  <c r="BJ8" i="9"/>
  <c r="BJ9" i="9"/>
  <c r="BJ10" i="9"/>
  <c r="BJ11" i="9"/>
  <c r="BJ12" i="9"/>
  <c r="BJ13" i="9"/>
  <c r="BJ14" i="9"/>
  <c r="BJ15" i="9"/>
  <c r="BJ16" i="9"/>
  <c r="BJ17" i="9"/>
  <c r="BJ18" i="9"/>
  <c r="BJ19" i="9"/>
  <c r="BJ20" i="9"/>
  <c r="BJ21" i="9"/>
  <c r="BJ22" i="9"/>
  <c r="BJ23" i="9"/>
  <c r="BJ2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185" i="9"/>
  <c r="BJ186" i="9"/>
  <c r="BJ187" i="9"/>
  <c r="BJ188" i="9"/>
  <c r="BJ189" i="9"/>
  <c r="BJ190" i="9"/>
  <c r="BJ191" i="9"/>
  <c r="BJ192" i="9"/>
  <c r="BJ193" i="9"/>
  <c r="BJ194" i="9"/>
  <c r="BJ195" i="9"/>
  <c r="BJ196" i="9"/>
  <c r="BJ197" i="9"/>
  <c r="BJ198" i="9"/>
  <c r="BJ199" i="9"/>
  <c r="BJ200" i="9"/>
  <c r="BJ201" i="9"/>
  <c r="BJ202" i="9"/>
  <c r="BJ203" i="9"/>
  <c r="BJ20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" i="9"/>
  <c r="P15" i="15" l="1"/>
  <c r="N15" i="15"/>
  <c r="Q15" i="15" s="1"/>
  <c r="P24" i="15"/>
  <c r="N24" i="15"/>
  <c r="Q24" i="15" s="1"/>
  <c r="P23" i="15"/>
  <c r="N23" i="15"/>
  <c r="Q23" i="15" s="1"/>
  <c r="P22" i="15"/>
  <c r="N22" i="15"/>
  <c r="Q22" i="15" s="1"/>
  <c r="P21" i="15"/>
  <c r="N21" i="15"/>
  <c r="Q21" i="15" s="1"/>
  <c r="P20" i="15"/>
  <c r="N20" i="15"/>
  <c r="Q20" i="15" s="1"/>
  <c r="P19" i="15"/>
  <c r="N19" i="15"/>
  <c r="Q19" i="15" s="1"/>
  <c r="P18" i="15"/>
  <c r="N18" i="15"/>
  <c r="Q18" i="15" s="1"/>
  <c r="P17" i="15"/>
  <c r="N17" i="15"/>
  <c r="Q17" i="15" s="1"/>
  <c r="P16" i="15"/>
  <c r="N16" i="15"/>
  <c r="Q16" i="15" s="1"/>
  <c r="E24" i="15"/>
  <c r="C24" i="15"/>
  <c r="D24" i="15" s="1"/>
  <c r="E23" i="15"/>
  <c r="C23" i="15"/>
  <c r="F23" i="15" s="1"/>
  <c r="E22" i="15"/>
  <c r="C22" i="15"/>
  <c r="D22" i="15" s="1"/>
  <c r="E21" i="15"/>
  <c r="C21" i="15"/>
  <c r="F21" i="15" s="1"/>
  <c r="E20" i="15"/>
  <c r="C20" i="15"/>
  <c r="D20" i="15" s="1"/>
  <c r="E19" i="15"/>
  <c r="C19" i="15"/>
  <c r="F19" i="15" s="1"/>
  <c r="E18" i="15"/>
  <c r="C18" i="15"/>
  <c r="D18" i="15" s="1"/>
  <c r="E17" i="15"/>
  <c r="C17" i="15"/>
  <c r="F17" i="15" s="1"/>
  <c r="E16" i="15"/>
  <c r="C16" i="15"/>
  <c r="D16" i="15" s="1"/>
  <c r="E15" i="15"/>
  <c r="C15" i="15"/>
  <c r="F15" i="15" s="1"/>
  <c r="O20" i="15" l="1"/>
  <c r="M20" i="15" s="1"/>
  <c r="O18" i="15"/>
  <c r="M18" i="15" s="1"/>
  <c r="O22" i="15"/>
  <c r="M22" i="15" s="1"/>
  <c r="O15" i="15"/>
  <c r="O16" i="15"/>
  <c r="M16" i="15" s="1"/>
  <c r="O24" i="15"/>
  <c r="M24" i="15" s="1"/>
  <c r="F20" i="15"/>
  <c r="F24" i="15"/>
  <c r="F18" i="15"/>
  <c r="F22" i="15"/>
  <c r="F16" i="15"/>
  <c r="O17" i="15"/>
  <c r="M17" i="15" s="1"/>
  <c r="O19" i="15"/>
  <c r="M19" i="15" s="1"/>
  <c r="O21" i="15"/>
  <c r="M21" i="15" s="1"/>
  <c r="O23" i="15"/>
  <c r="M23" i="15" s="1"/>
  <c r="D17" i="15"/>
  <c r="D19" i="15"/>
  <c r="D23" i="15"/>
  <c r="D15" i="15"/>
  <c r="D21" i="15"/>
  <c r="S2" i="11" l="1"/>
  <c r="R2" i="11"/>
  <c r="L36" i="15" l="1"/>
  <c r="L35" i="15"/>
  <c r="L34" i="15"/>
  <c r="L33" i="15"/>
  <c r="L32" i="15"/>
  <c r="L31" i="15"/>
  <c r="L30" i="15"/>
  <c r="L29" i="15"/>
  <c r="L28" i="15"/>
  <c r="L27" i="15"/>
  <c r="M27" i="15" s="1"/>
  <c r="N27" i="15" l="1"/>
  <c r="A7" i="20" l="1"/>
  <c r="A7" i="18"/>
  <c r="S3" i="11" l="1"/>
  <c r="R3" i="11"/>
  <c r="K31" i="19" l="1"/>
  <c r="K32" i="19"/>
  <c r="K33" i="19"/>
  <c r="K34" i="19"/>
  <c r="K35" i="19"/>
  <c r="K36" i="19"/>
  <c r="K37" i="19"/>
  <c r="K38" i="19"/>
  <c r="K39" i="19"/>
  <c r="K30" i="19"/>
  <c r="C31" i="19"/>
  <c r="C32" i="19"/>
  <c r="C33" i="19"/>
  <c r="C34" i="19"/>
  <c r="C35" i="19"/>
  <c r="C36" i="19"/>
  <c r="C37" i="19"/>
  <c r="C38" i="19"/>
  <c r="C39" i="19"/>
  <c r="C30" i="19"/>
  <c r="A36" i="15" l="1"/>
  <c r="A35" i="15"/>
  <c r="A34" i="15"/>
  <c r="A33" i="15"/>
  <c r="A32" i="15"/>
  <c r="A31" i="15"/>
  <c r="A30" i="15"/>
  <c r="A29" i="15"/>
  <c r="A28" i="15"/>
  <c r="A27" i="15"/>
  <c r="B21" i="15"/>
  <c r="B19" i="15"/>
  <c r="B18" i="15"/>
  <c r="B23" i="15" l="1"/>
  <c r="B22" i="15"/>
  <c r="B17" i="15"/>
  <c r="B27" i="15"/>
  <c r="C27" i="15" s="1"/>
  <c r="M29" i="15" l="1"/>
  <c r="N29" i="15" s="1"/>
  <c r="M30" i="15"/>
  <c r="N30" i="15" s="1"/>
  <c r="M36" i="15"/>
  <c r="N36" i="15" s="1"/>
  <c r="M32" i="15"/>
  <c r="N32" i="15" s="1"/>
  <c r="M33" i="15"/>
  <c r="N33" i="15" s="1"/>
  <c r="M31" i="15"/>
  <c r="N31" i="15" s="1"/>
  <c r="M34" i="15"/>
  <c r="N34" i="15" s="1"/>
  <c r="M35" i="15"/>
  <c r="N35" i="15" s="1"/>
  <c r="M28" i="15"/>
  <c r="N28" i="15" s="1"/>
  <c r="A3" i="20" l="1"/>
  <c r="B3" i="20" s="1"/>
  <c r="A4" i="20"/>
  <c r="B4" i="20" s="1"/>
  <c r="A5" i="20"/>
  <c r="B5" i="20" s="1"/>
  <c r="A6" i="20"/>
  <c r="B6" i="20" s="1"/>
  <c r="B7" i="20"/>
  <c r="A8" i="20"/>
  <c r="B8" i="20" s="1"/>
  <c r="A9" i="20"/>
  <c r="B9" i="20" s="1"/>
  <c r="A10" i="20"/>
  <c r="B10" i="20" s="1"/>
  <c r="A11" i="20"/>
  <c r="B11" i="20" s="1"/>
  <c r="A12" i="20"/>
  <c r="B12" i="20" s="1"/>
  <c r="A13" i="20"/>
  <c r="B13" i="20" s="1"/>
  <c r="A14" i="20"/>
  <c r="B14" i="20" s="1"/>
  <c r="A15" i="20"/>
  <c r="B15" i="20" s="1"/>
  <c r="A16" i="20"/>
  <c r="B16" i="20" s="1"/>
  <c r="A17" i="20"/>
  <c r="B17" i="20" s="1"/>
  <c r="A18" i="20"/>
  <c r="B18" i="20" s="1"/>
  <c r="A19" i="20"/>
  <c r="B19" i="20" s="1"/>
  <c r="A20" i="20"/>
  <c r="B20" i="20" s="1"/>
  <c r="A21" i="20"/>
  <c r="B21" i="20" s="1"/>
  <c r="A22" i="20"/>
  <c r="B22" i="20" s="1"/>
  <c r="A23" i="20"/>
  <c r="B23" i="20" s="1"/>
  <c r="A24" i="20"/>
  <c r="B24" i="20" s="1"/>
  <c r="A25" i="20"/>
  <c r="B25" i="20" s="1"/>
  <c r="A26" i="20"/>
  <c r="B26" i="20" s="1"/>
  <c r="A27" i="20"/>
  <c r="B27" i="20" s="1"/>
  <c r="A2" i="20"/>
  <c r="B2" i="20" s="1"/>
  <c r="A3" i="13"/>
  <c r="B3" i="13" s="1"/>
  <c r="A4" i="13"/>
  <c r="B4" i="13" s="1"/>
  <c r="A5" i="13"/>
  <c r="B5" i="13" s="1"/>
  <c r="A6" i="13"/>
  <c r="B6" i="13" s="1"/>
  <c r="A7" i="13"/>
  <c r="B7" i="13" s="1"/>
  <c r="A8" i="13"/>
  <c r="B8" i="13" s="1"/>
  <c r="A9" i="13"/>
  <c r="B9" i="13" s="1"/>
  <c r="A10" i="13"/>
  <c r="B10" i="13" s="1"/>
  <c r="A11" i="13"/>
  <c r="B11" i="13" s="1"/>
  <c r="A12" i="13"/>
  <c r="B12" i="13" s="1"/>
  <c r="A13" i="13"/>
  <c r="B13" i="13" s="1"/>
  <c r="A14" i="13"/>
  <c r="B14" i="13" s="1"/>
  <c r="A15" i="13"/>
  <c r="B15" i="13" s="1"/>
  <c r="A16" i="13"/>
  <c r="B16" i="13" s="1"/>
  <c r="A17" i="13"/>
  <c r="B17" i="13" s="1"/>
  <c r="A18" i="13"/>
  <c r="B18" i="13" s="1"/>
  <c r="A19" i="13"/>
  <c r="B19" i="13" s="1"/>
  <c r="A20" i="13"/>
  <c r="B20" i="13" s="1"/>
  <c r="A21" i="13"/>
  <c r="B21" i="13" s="1"/>
  <c r="A22" i="13"/>
  <c r="B22" i="13" s="1"/>
  <c r="A23" i="13"/>
  <c r="B23" i="13" s="1"/>
  <c r="A24" i="13"/>
  <c r="B24" i="13" s="1"/>
  <c r="A25" i="13"/>
  <c r="B25" i="13" s="1"/>
  <c r="A26" i="13"/>
  <c r="B26" i="13" s="1"/>
  <c r="A27" i="13"/>
  <c r="B27" i="13" s="1"/>
  <c r="A2" i="13"/>
  <c r="B2" i="13" s="1"/>
  <c r="A26" i="18"/>
  <c r="B26" i="18" s="1"/>
  <c r="A27" i="18"/>
  <c r="B27" i="18" s="1"/>
  <c r="L27" i="18" s="1"/>
  <c r="A3" i="18"/>
  <c r="B3" i="18" s="1"/>
  <c r="A4" i="18"/>
  <c r="B4" i="18" s="1"/>
  <c r="A5" i="18"/>
  <c r="B5" i="18" s="1"/>
  <c r="A6" i="18"/>
  <c r="B6" i="18" s="1"/>
  <c r="A8" i="18"/>
  <c r="B8" i="18" s="1"/>
  <c r="A9" i="18"/>
  <c r="B9" i="18" s="1"/>
  <c r="A10" i="18"/>
  <c r="B10" i="18" s="1"/>
  <c r="A11" i="18"/>
  <c r="B11" i="18" s="1"/>
  <c r="A12" i="18"/>
  <c r="B12" i="18" s="1"/>
  <c r="A13" i="18"/>
  <c r="B13" i="18" s="1"/>
  <c r="A14" i="18"/>
  <c r="B14" i="18" s="1"/>
  <c r="A15" i="18"/>
  <c r="B15" i="18" s="1"/>
  <c r="A16" i="18"/>
  <c r="B16" i="18" s="1"/>
  <c r="A17" i="18"/>
  <c r="B17" i="18" s="1"/>
  <c r="A18" i="18"/>
  <c r="B18" i="18" s="1"/>
  <c r="A19" i="18"/>
  <c r="B19" i="18" s="1"/>
  <c r="A20" i="18"/>
  <c r="B20" i="18" s="1"/>
  <c r="A21" i="18"/>
  <c r="B21" i="18" s="1"/>
  <c r="A22" i="18"/>
  <c r="B22" i="18" s="1"/>
  <c r="A23" i="18"/>
  <c r="B23" i="18" s="1"/>
  <c r="A24" i="18"/>
  <c r="B24" i="18" s="1"/>
  <c r="A25" i="18"/>
  <c r="B25" i="18" s="1"/>
  <c r="A2" i="18"/>
  <c r="B2" i="18" s="1"/>
  <c r="A26" i="17"/>
  <c r="B26" i="17" s="1"/>
  <c r="Y26" i="17" s="1"/>
  <c r="A27" i="17"/>
  <c r="B27" i="17" s="1"/>
  <c r="Y27" i="17" s="1"/>
  <c r="A3" i="17"/>
  <c r="B3" i="17" s="1"/>
  <c r="A4" i="17"/>
  <c r="B4" i="17" s="1"/>
  <c r="A5" i="17"/>
  <c r="B5" i="17" s="1"/>
  <c r="A6" i="17"/>
  <c r="B6" i="17" s="1"/>
  <c r="A7" i="17"/>
  <c r="B7" i="17" s="1"/>
  <c r="A8" i="17"/>
  <c r="B8" i="17" s="1"/>
  <c r="A9" i="17"/>
  <c r="B9" i="17" s="1"/>
  <c r="A10" i="17"/>
  <c r="B10" i="17" s="1"/>
  <c r="A11" i="17"/>
  <c r="B11" i="17" s="1"/>
  <c r="A12" i="17"/>
  <c r="B12" i="17" s="1"/>
  <c r="A13" i="17"/>
  <c r="B13" i="17" s="1"/>
  <c r="A14" i="17"/>
  <c r="B14" i="17" s="1"/>
  <c r="A15" i="17"/>
  <c r="B15" i="17" s="1"/>
  <c r="A16" i="17"/>
  <c r="B16" i="17" s="1"/>
  <c r="A17" i="17"/>
  <c r="B17" i="17" s="1"/>
  <c r="A18" i="17"/>
  <c r="B18" i="17" s="1"/>
  <c r="A19" i="17"/>
  <c r="B19" i="17" s="1"/>
  <c r="A20" i="17"/>
  <c r="B20" i="17" s="1"/>
  <c r="A21" i="17"/>
  <c r="B21" i="17" s="1"/>
  <c r="A22" i="17"/>
  <c r="B22" i="17" s="1"/>
  <c r="A23" i="17"/>
  <c r="B23" i="17" s="1"/>
  <c r="A24" i="17"/>
  <c r="B24" i="17" s="1"/>
  <c r="A25" i="17"/>
  <c r="B25" i="17" s="1"/>
  <c r="A2" i="17"/>
  <c r="B2" i="17" s="1"/>
  <c r="I26" i="17" l="1"/>
  <c r="R26" i="17"/>
  <c r="AA26" i="17"/>
  <c r="J27" i="18"/>
  <c r="AB27" i="18"/>
  <c r="N26" i="17"/>
  <c r="O27" i="18"/>
  <c r="S27" i="18"/>
  <c r="V26" i="17"/>
  <c r="W27" i="18"/>
  <c r="AA27" i="13"/>
  <c r="W27" i="13"/>
  <c r="S27" i="13"/>
  <c r="C27" i="13"/>
  <c r="AD27" i="13"/>
  <c r="M27" i="13" s="1"/>
  <c r="O27" i="13" s="1"/>
  <c r="Y27" i="13"/>
  <c r="U27" i="13"/>
  <c r="AB27" i="13"/>
  <c r="X27" i="13"/>
  <c r="T27" i="13"/>
  <c r="P27" i="13"/>
  <c r="R27" i="13"/>
  <c r="Q27" i="13" s="1"/>
  <c r="Z27" i="13"/>
  <c r="V27" i="13"/>
  <c r="AD26" i="20"/>
  <c r="M26" i="20" s="1"/>
  <c r="O26" i="20" s="1"/>
  <c r="Y26" i="20"/>
  <c r="U26" i="20"/>
  <c r="AB26" i="20"/>
  <c r="X26" i="20"/>
  <c r="T26" i="20"/>
  <c r="P26" i="20"/>
  <c r="AA26" i="20"/>
  <c r="W26" i="20"/>
  <c r="S26" i="20"/>
  <c r="C26" i="20"/>
  <c r="Z26" i="20"/>
  <c r="V26" i="20"/>
  <c r="R26" i="20"/>
  <c r="Q26" i="20" s="1"/>
  <c r="Y26" i="18"/>
  <c r="T26" i="18"/>
  <c r="L26" i="18"/>
  <c r="C26" i="18"/>
  <c r="W26" i="18"/>
  <c r="J26" i="18"/>
  <c r="AA26" i="18"/>
  <c r="V26" i="18"/>
  <c r="R26" i="18"/>
  <c r="N26" i="18"/>
  <c r="I26" i="18"/>
  <c r="S26" i="18"/>
  <c r="AE26" i="18"/>
  <c r="Z26" i="18"/>
  <c r="U26" i="18"/>
  <c r="Q26" i="18"/>
  <c r="M26" i="18"/>
  <c r="D26" i="18"/>
  <c r="AB26" i="18"/>
  <c r="O26" i="18"/>
  <c r="C26" i="13"/>
  <c r="Z26" i="13"/>
  <c r="V26" i="13"/>
  <c r="AB26" i="13"/>
  <c r="X26" i="13"/>
  <c r="T26" i="13"/>
  <c r="P26" i="13"/>
  <c r="AD26" i="13"/>
  <c r="M26" i="13" s="1"/>
  <c r="O26" i="13" s="1"/>
  <c r="R26" i="13"/>
  <c r="Q26" i="13" s="1"/>
  <c r="Y26" i="13"/>
  <c r="AA26" i="13"/>
  <c r="W26" i="13"/>
  <c r="S26" i="13"/>
  <c r="U26" i="13"/>
  <c r="AD27" i="20"/>
  <c r="M27" i="20" s="1"/>
  <c r="O27" i="20" s="1"/>
  <c r="Y27" i="20"/>
  <c r="U27" i="20"/>
  <c r="AB27" i="20"/>
  <c r="X27" i="20"/>
  <c r="T27" i="20"/>
  <c r="P27" i="20"/>
  <c r="AA27" i="20"/>
  <c r="W27" i="20"/>
  <c r="S27" i="20"/>
  <c r="C27" i="20"/>
  <c r="Z27" i="20"/>
  <c r="V27" i="20"/>
  <c r="R27" i="20"/>
  <c r="Q27" i="20" s="1"/>
  <c r="O26" i="17"/>
  <c r="AB26" i="17"/>
  <c r="AC26" i="17" s="1"/>
  <c r="L27" i="17"/>
  <c r="D27" i="17"/>
  <c r="M27" i="17"/>
  <c r="Q27" i="17"/>
  <c r="U27" i="17"/>
  <c r="Z27" i="17"/>
  <c r="AE27" i="17"/>
  <c r="D27" i="18"/>
  <c r="M27" i="18"/>
  <c r="Q27" i="18"/>
  <c r="U27" i="18"/>
  <c r="Z27" i="18"/>
  <c r="AE27" i="18"/>
  <c r="T27" i="18"/>
  <c r="D26" i="17"/>
  <c r="M26" i="17"/>
  <c r="Q26" i="17"/>
  <c r="U26" i="17"/>
  <c r="Z26" i="17"/>
  <c r="AE26" i="17"/>
  <c r="S26" i="17"/>
  <c r="Y27" i="18"/>
  <c r="I27" i="17"/>
  <c r="N27" i="17"/>
  <c r="R27" i="17"/>
  <c r="V27" i="17"/>
  <c r="AA27" i="17"/>
  <c r="I27" i="18"/>
  <c r="N27" i="18"/>
  <c r="R27" i="18"/>
  <c r="V27" i="18"/>
  <c r="AA27" i="18"/>
  <c r="J27" i="17"/>
  <c r="S27" i="17"/>
  <c r="AB27" i="17"/>
  <c r="AC27" i="17" s="1"/>
  <c r="O27" i="17"/>
  <c r="W27" i="17"/>
  <c r="J26" i="17"/>
  <c r="W26" i="17"/>
  <c r="C27" i="17"/>
  <c r="T27" i="17"/>
  <c r="C27" i="18"/>
  <c r="C26" i="17"/>
  <c r="L26" i="17"/>
  <c r="T26" i="17"/>
  <c r="X26" i="17" l="1"/>
  <c r="N26" i="13"/>
  <c r="AC27" i="18"/>
  <c r="K26" i="18"/>
  <c r="E26" i="18"/>
  <c r="K27" i="18"/>
  <c r="E27" i="18"/>
  <c r="K26" i="17"/>
  <c r="X27" i="17"/>
  <c r="N27" i="20"/>
  <c r="N26" i="20"/>
  <c r="E27" i="17"/>
  <c r="E26" i="17"/>
  <c r="P27" i="17"/>
  <c r="N27" i="13"/>
  <c r="P27" i="18"/>
  <c r="K27" i="17"/>
  <c r="P26" i="18"/>
  <c r="X27" i="18"/>
  <c r="X26" i="18"/>
  <c r="AC26" i="18"/>
  <c r="P26" i="17"/>
  <c r="H26" i="18" l="1"/>
  <c r="H27" i="17"/>
  <c r="F27" i="18"/>
  <c r="H26" i="17"/>
  <c r="H27" i="18"/>
  <c r="F26" i="18"/>
  <c r="G26" i="18"/>
  <c r="G27" i="18"/>
  <c r="F27" i="17"/>
  <c r="G27" i="17"/>
  <c r="G26" i="17"/>
  <c r="F26" i="17"/>
  <c r="AD26" i="18" l="1"/>
  <c r="AD27" i="17"/>
  <c r="AD26" i="17"/>
  <c r="AD27" i="18"/>
  <c r="AT153" i="9" l="1"/>
  <c r="AS153" i="9"/>
  <c r="AY153" i="9" l="1"/>
  <c r="P10" i="21"/>
  <c r="P6" i="21"/>
  <c r="AD3" i="20" l="1"/>
  <c r="M3" i="20" s="1"/>
  <c r="AD4" i="20"/>
  <c r="M4" i="20" s="1"/>
  <c r="AD5" i="20"/>
  <c r="M5" i="20" s="1"/>
  <c r="AD6" i="20"/>
  <c r="M6" i="20" s="1"/>
  <c r="AD7" i="20"/>
  <c r="M7" i="20" s="1"/>
  <c r="AD8" i="20"/>
  <c r="M8" i="20" s="1"/>
  <c r="AD9" i="20"/>
  <c r="M9" i="20" s="1"/>
  <c r="AD10" i="20"/>
  <c r="M10" i="20" s="1"/>
  <c r="AD11" i="20"/>
  <c r="M11" i="20" s="1"/>
  <c r="AD12" i="20"/>
  <c r="M12" i="20" s="1"/>
  <c r="AD13" i="20"/>
  <c r="M13" i="20" s="1"/>
  <c r="AD14" i="20"/>
  <c r="M14" i="20" s="1"/>
  <c r="AD15" i="20"/>
  <c r="M15" i="20" s="1"/>
  <c r="AD16" i="20"/>
  <c r="M16" i="20" s="1"/>
  <c r="AD17" i="20"/>
  <c r="M17" i="20" s="1"/>
  <c r="AD18" i="20"/>
  <c r="M18" i="20" s="1"/>
  <c r="AD19" i="20"/>
  <c r="M19" i="20" s="1"/>
  <c r="AD20" i="20"/>
  <c r="M20" i="20" s="1"/>
  <c r="AD21" i="20"/>
  <c r="M21" i="20" s="1"/>
  <c r="AD22" i="20"/>
  <c r="M22" i="20" s="1"/>
  <c r="AD23" i="20"/>
  <c r="M23" i="20" s="1"/>
  <c r="AD24" i="20"/>
  <c r="M24" i="20" s="1"/>
  <c r="AD25" i="20"/>
  <c r="M25" i="20" s="1"/>
  <c r="AD2" i="20"/>
  <c r="M2" i="20" s="1"/>
  <c r="N25" i="20" l="1"/>
  <c r="O25" i="20"/>
  <c r="O17" i="20"/>
  <c r="N17" i="20"/>
  <c r="N9" i="20"/>
  <c r="O9" i="20"/>
  <c r="O18" i="20"/>
  <c r="N18" i="20"/>
  <c r="O23" i="20"/>
  <c r="N23" i="20"/>
  <c r="O15" i="20"/>
  <c r="N15" i="20"/>
  <c r="N22" i="20"/>
  <c r="O22" i="20"/>
  <c r="N14" i="20"/>
  <c r="O14" i="20"/>
  <c r="N13" i="20"/>
  <c r="O13" i="20"/>
  <c r="N5" i="20"/>
  <c r="O5" i="20"/>
  <c r="N16" i="20"/>
  <c r="O16" i="20"/>
  <c r="N21" i="20"/>
  <c r="O21" i="20"/>
  <c r="N20" i="20"/>
  <c r="O20" i="20"/>
  <c r="N24" i="20"/>
  <c r="O24" i="20"/>
  <c r="O19" i="20"/>
  <c r="N19" i="20"/>
  <c r="R20" i="20"/>
  <c r="Q20" i="20" s="1"/>
  <c r="W20" i="20"/>
  <c r="T20" i="20"/>
  <c r="P20" i="20"/>
  <c r="C20" i="20"/>
  <c r="X20" i="20"/>
  <c r="S20" i="20"/>
  <c r="AB20" i="20"/>
  <c r="AA20" i="20"/>
  <c r="Z20" i="20"/>
  <c r="Y20" i="20"/>
  <c r="V20" i="20"/>
  <c r="U20" i="20"/>
  <c r="P11" i="20"/>
  <c r="C11" i="20"/>
  <c r="AB11" i="20"/>
  <c r="N11" i="20" s="1"/>
  <c r="AA11" i="20"/>
  <c r="Z11" i="20"/>
  <c r="Y11" i="20"/>
  <c r="X11" i="20"/>
  <c r="W11" i="20"/>
  <c r="V11" i="20"/>
  <c r="U11" i="20"/>
  <c r="T11" i="20"/>
  <c r="S11" i="20"/>
  <c r="R11" i="20"/>
  <c r="Q11" i="20" s="1"/>
  <c r="P2" i="20"/>
  <c r="C2" i="20"/>
  <c r="AB2" i="20"/>
  <c r="N2" i="20" s="1"/>
  <c r="AA2" i="20"/>
  <c r="Z2" i="20"/>
  <c r="Y2" i="20"/>
  <c r="X2" i="20"/>
  <c r="W2" i="20"/>
  <c r="V2" i="20"/>
  <c r="U2" i="20"/>
  <c r="T2" i="20"/>
  <c r="S2" i="20"/>
  <c r="R2" i="20"/>
  <c r="Q2" i="20" s="1"/>
  <c r="P18" i="20"/>
  <c r="C18" i="20"/>
  <c r="AB18" i="20"/>
  <c r="AA18" i="20"/>
  <c r="Z18" i="20"/>
  <c r="Y18" i="20"/>
  <c r="X18" i="20"/>
  <c r="W18" i="20"/>
  <c r="V18" i="20"/>
  <c r="U18" i="20"/>
  <c r="T18" i="20"/>
  <c r="S18" i="20"/>
  <c r="R18" i="20"/>
  <c r="Q18" i="20" s="1"/>
  <c r="P10" i="20"/>
  <c r="C10" i="20"/>
  <c r="AB10" i="20"/>
  <c r="N10" i="20" s="1"/>
  <c r="AA10" i="20"/>
  <c r="Z10" i="20"/>
  <c r="Y10" i="20"/>
  <c r="X10" i="20"/>
  <c r="W10" i="20"/>
  <c r="V10" i="20"/>
  <c r="U10" i="20"/>
  <c r="T10" i="20"/>
  <c r="S10" i="20"/>
  <c r="R10" i="20"/>
  <c r="Q10" i="20" s="1"/>
  <c r="P19" i="20"/>
  <c r="C19" i="20"/>
  <c r="AB19" i="20"/>
  <c r="AA19" i="20"/>
  <c r="Z19" i="20"/>
  <c r="Y19" i="20"/>
  <c r="X19" i="20"/>
  <c r="W19" i="20"/>
  <c r="V19" i="20"/>
  <c r="U19" i="20"/>
  <c r="T19" i="20"/>
  <c r="S19" i="20"/>
  <c r="R19" i="20"/>
  <c r="Q19" i="20" s="1"/>
  <c r="AB25" i="20"/>
  <c r="AA25" i="20"/>
  <c r="Z25" i="20"/>
  <c r="Y25" i="20"/>
  <c r="X25" i="20"/>
  <c r="W25" i="20"/>
  <c r="V25" i="20"/>
  <c r="U25" i="20"/>
  <c r="T25" i="20"/>
  <c r="S25" i="20"/>
  <c r="R25" i="20"/>
  <c r="Q25" i="20" s="1"/>
  <c r="P25" i="20"/>
  <c r="C25" i="20"/>
  <c r="AB17" i="20"/>
  <c r="AA17" i="20"/>
  <c r="Z17" i="20"/>
  <c r="Y17" i="20"/>
  <c r="X17" i="20"/>
  <c r="W17" i="20"/>
  <c r="V17" i="20"/>
  <c r="U17" i="20"/>
  <c r="T17" i="20"/>
  <c r="S17" i="20"/>
  <c r="R17" i="20"/>
  <c r="Q17" i="20" s="1"/>
  <c r="P17" i="20"/>
  <c r="C17" i="20"/>
  <c r="AB9" i="20"/>
  <c r="AA9" i="20"/>
  <c r="Z9" i="20"/>
  <c r="Y9" i="20"/>
  <c r="X9" i="20"/>
  <c r="W9" i="20"/>
  <c r="V9" i="20"/>
  <c r="U9" i="20"/>
  <c r="T9" i="20"/>
  <c r="S9" i="20"/>
  <c r="R9" i="20"/>
  <c r="Q9" i="20" s="1"/>
  <c r="P9" i="20"/>
  <c r="C9" i="20"/>
  <c r="P24" i="20"/>
  <c r="C24" i="20"/>
  <c r="AB24" i="20"/>
  <c r="AA24" i="20"/>
  <c r="Z24" i="20"/>
  <c r="Y24" i="20"/>
  <c r="X24" i="20"/>
  <c r="W24" i="20"/>
  <c r="V24" i="20"/>
  <c r="U24" i="20"/>
  <c r="T24" i="20"/>
  <c r="S24" i="20"/>
  <c r="R24" i="20"/>
  <c r="Q24" i="20" s="1"/>
  <c r="P16" i="20"/>
  <c r="C16" i="20"/>
  <c r="AB16" i="20"/>
  <c r="AA16" i="20"/>
  <c r="Z16" i="20"/>
  <c r="Y16" i="20"/>
  <c r="X16" i="20"/>
  <c r="W16" i="20"/>
  <c r="V16" i="20"/>
  <c r="U16" i="20"/>
  <c r="T16" i="20"/>
  <c r="S16" i="20"/>
  <c r="R16" i="20"/>
  <c r="Q16" i="20" s="1"/>
  <c r="P8" i="20"/>
  <c r="C8" i="20"/>
  <c r="AB8" i="20"/>
  <c r="N8" i="20" s="1"/>
  <c r="AA8" i="20"/>
  <c r="Z8" i="20"/>
  <c r="Y8" i="20"/>
  <c r="X8" i="20"/>
  <c r="W8" i="20"/>
  <c r="V8" i="20"/>
  <c r="U8" i="20"/>
  <c r="T8" i="20"/>
  <c r="S8" i="20"/>
  <c r="R8" i="20"/>
  <c r="Q8" i="20" s="1"/>
  <c r="P23" i="20"/>
  <c r="C23" i="20"/>
  <c r="AB23" i="20"/>
  <c r="AA23" i="20"/>
  <c r="Z23" i="20"/>
  <c r="Y23" i="20"/>
  <c r="X23" i="20"/>
  <c r="W23" i="20"/>
  <c r="V23" i="20"/>
  <c r="U23" i="20"/>
  <c r="T23" i="20"/>
  <c r="S23" i="20"/>
  <c r="R23" i="20"/>
  <c r="Q23" i="20" s="1"/>
  <c r="P15" i="20"/>
  <c r="C15" i="20"/>
  <c r="AB15" i="20"/>
  <c r="AA15" i="20"/>
  <c r="Z15" i="20"/>
  <c r="Y15" i="20"/>
  <c r="X15" i="20"/>
  <c r="W15" i="20"/>
  <c r="V15" i="20"/>
  <c r="U15" i="20"/>
  <c r="T15" i="20"/>
  <c r="S15" i="20"/>
  <c r="R15" i="20"/>
  <c r="Q15" i="20" s="1"/>
  <c r="P7" i="20"/>
  <c r="C7" i="20"/>
  <c r="AB7" i="20"/>
  <c r="N7" i="20" s="1"/>
  <c r="AA7" i="20"/>
  <c r="Z7" i="20"/>
  <c r="Y7" i="20"/>
  <c r="X7" i="20"/>
  <c r="W7" i="20"/>
  <c r="V7" i="20"/>
  <c r="U7" i="20"/>
  <c r="T7" i="20"/>
  <c r="S7" i="20"/>
  <c r="R7" i="20"/>
  <c r="Q7" i="20" s="1"/>
  <c r="AB12" i="20"/>
  <c r="N12" i="20" s="1"/>
  <c r="Z12" i="20"/>
  <c r="Y12" i="20"/>
  <c r="V12" i="20"/>
  <c r="U12" i="20"/>
  <c r="R12" i="20"/>
  <c r="Q12" i="20" s="1"/>
  <c r="P12" i="20"/>
  <c r="C12" i="20"/>
  <c r="T12" i="20"/>
  <c r="AA12" i="20"/>
  <c r="X12" i="20"/>
  <c r="W12" i="20"/>
  <c r="S12" i="20"/>
  <c r="P22" i="20"/>
  <c r="C22" i="20"/>
  <c r="AB22" i="20"/>
  <c r="AA22" i="20"/>
  <c r="Z22" i="20"/>
  <c r="Y22" i="20"/>
  <c r="X22" i="20"/>
  <c r="W22" i="20"/>
  <c r="V22" i="20"/>
  <c r="U22" i="20"/>
  <c r="T22" i="20"/>
  <c r="S22" i="20"/>
  <c r="R22" i="20"/>
  <c r="Q22" i="20" s="1"/>
  <c r="P14" i="20"/>
  <c r="C14" i="20"/>
  <c r="AB14" i="20"/>
  <c r="AA14" i="20"/>
  <c r="Z14" i="20"/>
  <c r="Y14" i="20"/>
  <c r="X14" i="20"/>
  <c r="W14" i="20"/>
  <c r="V14" i="20"/>
  <c r="U14" i="20"/>
  <c r="T14" i="20"/>
  <c r="S14" i="20"/>
  <c r="R14" i="20"/>
  <c r="Q14" i="20" s="1"/>
  <c r="P6" i="20"/>
  <c r="C6" i="20"/>
  <c r="AB6" i="20"/>
  <c r="N6" i="20" s="1"/>
  <c r="AA6" i="20"/>
  <c r="Z6" i="20"/>
  <c r="Y6" i="20"/>
  <c r="X6" i="20"/>
  <c r="W6" i="20"/>
  <c r="V6" i="20"/>
  <c r="U6" i="20"/>
  <c r="T6" i="20"/>
  <c r="S6" i="20"/>
  <c r="R6" i="20"/>
  <c r="Q6" i="20" s="1"/>
  <c r="C21" i="20"/>
  <c r="AB21" i="20"/>
  <c r="AA21" i="20"/>
  <c r="Z21" i="20"/>
  <c r="Y21" i="20"/>
  <c r="X21" i="20"/>
  <c r="W21" i="20"/>
  <c r="V21" i="20"/>
  <c r="U21" i="20"/>
  <c r="T21" i="20"/>
  <c r="S21" i="20"/>
  <c r="R21" i="20"/>
  <c r="Q21" i="20" s="1"/>
  <c r="P21" i="20"/>
  <c r="P13" i="20"/>
  <c r="C13" i="20"/>
  <c r="AB13" i="20"/>
  <c r="AA13" i="20"/>
  <c r="Z13" i="20"/>
  <c r="Y13" i="20"/>
  <c r="X13" i="20"/>
  <c r="W13" i="20"/>
  <c r="V13" i="20"/>
  <c r="U13" i="20"/>
  <c r="T13" i="20"/>
  <c r="S13" i="20"/>
  <c r="R13" i="20"/>
  <c r="Q13" i="20" s="1"/>
  <c r="P5" i="20"/>
  <c r="AB5" i="20"/>
  <c r="AA5" i="20"/>
  <c r="Z5" i="20"/>
  <c r="Y5" i="20"/>
  <c r="X5" i="20"/>
  <c r="W5" i="20"/>
  <c r="V5" i="20"/>
  <c r="U5" i="20"/>
  <c r="T5" i="20"/>
  <c r="S5" i="20"/>
  <c r="R5" i="20"/>
  <c r="Q5" i="20" s="1"/>
  <c r="C5" i="20"/>
  <c r="AA4" i="20"/>
  <c r="X4" i="20"/>
  <c r="W4" i="20"/>
  <c r="S4" i="20"/>
  <c r="AB4" i="20"/>
  <c r="N4" i="20" s="1"/>
  <c r="P4" i="20"/>
  <c r="C4" i="20"/>
  <c r="U4" i="20"/>
  <c r="Z4" i="20"/>
  <c r="T4" i="20"/>
  <c r="R4" i="20"/>
  <c r="Q4" i="20" s="1"/>
  <c r="Y4" i="20"/>
  <c r="V4" i="20"/>
  <c r="P3" i="20"/>
  <c r="C3" i="20"/>
  <c r="AB3" i="20"/>
  <c r="N3" i="20" s="1"/>
  <c r="AA3" i="20"/>
  <c r="Z3" i="20"/>
  <c r="Y3" i="20"/>
  <c r="X3" i="20"/>
  <c r="W3" i="20"/>
  <c r="V3" i="20"/>
  <c r="U3" i="20"/>
  <c r="T3" i="20"/>
  <c r="S3" i="20"/>
  <c r="R3" i="20"/>
  <c r="Q3" i="20" s="1"/>
  <c r="AD11" i="13"/>
  <c r="M11" i="13" s="1"/>
  <c r="AD2" i="13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O8" i="20" l="1"/>
  <c r="O4" i="20"/>
  <c r="O3" i="20"/>
  <c r="O6" i="20"/>
  <c r="O10" i="20"/>
  <c r="O7" i="20"/>
  <c r="O2" i="20"/>
  <c r="O12" i="20"/>
  <c r="O11" i="20"/>
  <c r="AD18" i="13"/>
  <c r="M18" i="13" s="1"/>
  <c r="AD10" i="13"/>
  <c r="M10" i="13" s="1"/>
  <c r="AD25" i="13"/>
  <c r="M25" i="13" s="1"/>
  <c r="AD17" i="13"/>
  <c r="M17" i="13" s="1"/>
  <c r="AD9" i="13"/>
  <c r="M9" i="13" s="1"/>
  <c r="AD22" i="13"/>
  <c r="M22" i="13" s="1"/>
  <c r="AD14" i="13"/>
  <c r="M14" i="13" s="1"/>
  <c r="AD6" i="13"/>
  <c r="M6" i="13" s="1"/>
  <c r="AD3" i="13"/>
  <c r="M3" i="13" s="1"/>
  <c r="AD23" i="13"/>
  <c r="M23" i="13" s="1"/>
  <c r="AD15" i="13"/>
  <c r="M15" i="13" s="1"/>
  <c r="AD7" i="13"/>
  <c r="M7" i="13" s="1"/>
  <c r="AD21" i="13"/>
  <c r="M21" i="13" s="1"/>
  <c r="AD13" i="13"/>
  <c r="M13" i="13" s="1"/>
  <c r="AD5" i="13"/>
  <c r="M5" i="13" s="1"/>
  <c r="AD24" i="13"/>
  <c r="M24" i="13" s="1"/>
  <c r="AD16" i="13"/>
  <c r="M16" i="13" s="1"/>
  <c r="AD8" i="13"/>
  <c r="M8" i="13" s="1"/>
  <c r="AD20" i="13"/>
  <c r="M20" i="13" s="1"/>
  <c r="AD12" i="13"/>
  <c r="M12" i="13" s="1"/>
  <c r="AD4" i="13"/>
  <c r="M4" i="13" s="1"/>
  <c r="AD19" i="13"/>
  <c r="M19" i="13" s="1"/>
  <c r="N19" i="13" s="1"/>
  <c r="M2" i="13"/>
  <c r="Z2" i="13"/>
  <c r="P25" i="13"/>
  <c r="AA25" i="13"/>
  <c r="AB25" i="13"/>
  <c r="P23" i="13"/>
  <c r="AA23" i="13"/>
  <c r="AB23" i="13"/>
  <c r="P21" i="13"/>
  <c r="AA21" i="13"/>
  <c r="AB21" i="13"/>
  <c r="P19" i="13"/>
  <c r="AA19" i="13"/>
  <c r="AB19" i="13"/>
  <c r="P17" i="13"/>
  <c r="AA17" i="13"/>
  <c r="AB17" i="13"/>
  <c r="P15" i="13"/>
  <c r="AA15" i="13"/>
  <c r="AB15" i="13"/>
  <c r="P13" i="13"/>
  <c r="AA13" i="13"/>
  <c r="AB13" i="13"/>
  <c r="P11" i="13"/>
  <c r="AA11" i="13"/>
  <c r="AB11" i="13"/>
  <c r="N11" i="13" s="1"/>
  <c r="P9" i="13"/>
  <c r="AA9" i="13"/>
  <c r="AB9" i="13"/>
  <c r="P7" i="13"/>
  <c r="AA7" i="13"/>
  <c r="AB7" i="13"/>
  <c r="P5" i="13"/>
  <c r="AA5" i="13"/>
  <c r="AB5" i="13"/>
  <c r="P3" i="13"/>
  <c r="AA3" i="13"/>
  <c r="AB3" i="13"/>
  <c r="P2" i="13"/>
  <c r="AB2" i="13"/>
  <c r="AA2" i="13"/>
  <c r="P24" i="13"/>
  <c r="AB24" i="13"/>
  <c r="AA24" i="13"/>
  <c r="P22" i="13"/>
  <c r="AB22" i="13"/>
  <c r="AA22" i="13"/>
  <c r="P20" i="13"/>
  <c r="AB20" i="13"/>
  <c r="AA20" i="13"/>
  <c r="P18" i="13"/>
  <c r="AB18" i="13"/>
  <c r="AA18" i="13"/>
  <c r="P16" i="13"/>
  <c r="AB16" i="13"/>
  <c r="AA16" i="13"/>
  <c r="P14" i="13"/>
  <c r="AB14" i="13"/>
  <c r="AA14" i="13"/>
  <c r="P12" i="13"/>
  <c r="AB12" i="13"/>
  <c r="AA12" i="13"/>
  <c r="P10" i="13"/>
  <c r="AB10" i="13"/>
  <c r="AA10" i="13"/>
  <c r="P8" i="13"/>
  <c r="AB8" i="13"/>
  <c r="AA8" i="13"/>
  <c r="P6" i="13"/>
  <c r="AB6" i="13"/>
  <c r="AA6" i="13"/>
  <c r="P4" i="13"/>
  <c r="AB4" i="13"/>
  <c r="AA4" i="13"/>
  <c r="Z25" i="13"/>
  <c r="Y25" i="13"/>
  <c r="X25" i="13"/>
  <c r="V25" i="13"/>
  <c r="U25" i="13"/>
  <c r="S25" i="13"/>
  <c r="C25" i="13"/>
  <c r="W25" i="13"/>
  <c r="T25" i="13"/>
  <c r="R25" i="13"/>
  <c r="Q25" i="13" s="1"/>
  <c r="Z21" i="13"/>
  <c r="Y21" i="13"/>
  <c r="X21" i="13"/>
  <c r="V21" i="13"/>
  <c r="U21" i="13"/>
  <c r="S21" i="13"/>
  <c r="C21" i="13"/>
  <c r="W21" i="13"/>
  <c r="T21" i="13"/>
  <c r="R21" i="13"/>
  <c r="Q21" i="13" s="1"/>
  <c r="Z19" i="13"/>
  <c r="Y19" i="13"/>
  <c r="X19" i="13"/>
  <c r="V19" i="13"/>
  <c r="U19" i="13"/>
  <c r="S19" i="13"/>
  <c r="C19" i="13"/>
  <c r="W19" i="13"/>
  <c r="T19" i="13"/>
  <c r="R19" i="13"/>
  <c r="Q19" i="13" s="1"/>
  <c r="Z17" i="13"/>
  <c r="Y17" i="13"/>
  <c r="X17" i="13"/>
  <c r="V17" i="13"/>
  <c r="U17" i="13"/>
  <c r="S17" i="13"/>
  <c r="C17" i="13"/>
  <c r="W17" i="13"/>
  <c r="T17" i="13"/>
  <c r="R17" i="13"/>
  <c r="Q17" i="13" s="1"/>
  <c r="Z15" i="13"/>
  <c r="Y15" i="13"/>
  <c r="X15" i="13"/>
  <c r="V15" i="13"/>
  <c r="U15" i="13"/>
  <c r="S15" i="13"/>
  <c r="C15" i="13"/>
  <c r="W15" i="13"/>
  <c r="T15" i="13"/>
  <c r="R15" i="13"/>
  <c r="Q15" i="13" s="1"/>
  <c r="Z13" i="13"/>
  <c r="Y13" i="13"/>
  <c r="X13" i="13"/>
  <c r="V13" i="13"/>
  <c r="U13" i="13"/>
  <c r="S13" i="13"/>
  <c r="C13" i="13"/>
  <c r="W13" i="13"/>
  <c r="T13" i="13"/>
  <c r="R13" i="13"/>
  <c r="Q13" i="13" s="1"/>
  <c r="Z11" i="13"/>
  <c r="Y11" i="13"/>
  <c r="X11" i="13"/>
  <c r="V11" i="13"/>
  <c r="U11" i="13"/>
  <c r="S11" i="13"/>
  <c r="C11" i="13"/>
  <c r="W11" i="13"/>
  <c r="T11" i="13"/>
  <c r="R11" i="13"/>
  <c r="Q11" i="13" s="1"/>
  <c r="Z9" i="13"/>
  <c r="Y9" i="13"/>
  <c r="X9" i="13"/>
  <c r="V9" i="13"/>
  <c r="U9" i="13"/>
  <c r="S9" i="13"/>
  <c r="C9" i="13"/>
  <c r="W9" i="13"/>
  <c r="T9" i="13"/>
  <c r="R9" i="13"/>
  <c r="Q9" i="13" s="1"/>
  <c r="Z7" i="13"/>
  <c r="Y7" i="13"/>
  <c r="X7" i="13"/>
  <c r="V7" i="13"/>
  <c r="U7" i="13"/>
  <c r="S7" i="13"/>
  <c r="C7" i="13"/>
  <c r="W7" i="13"/>
  <c r="T7" i="13"/>
  <c r="R7" i="13"/>
  <c r="Q7" i="13" s="1"/>
  <c r="Z5" i="13"/>
  <c r="Y5" i="13"/>
  <c r="X5" i="13"/>
  <c r="V5" i="13"/>
  <c r="U5" i="13"/>
  <c r="S5" i="13"/>
  <c r="C5" i="13"/>
  <c r="W5" i="13"/>
  <c r="T5" i="13"/>
  <c r="R5" i="13"/>
  <c r="Q5" i="13" s="1"/>
  <c r="Z3" i="13"/>
  <c r="Y3" i="13"/>
  <c r="X3" i="13"/>
  <c r="V3" i="13"/>
  <c r="U3" i="13"/>
  <c r="S3" i="13"/>
  <c r="C3" i="13"/>
  <c r="W3" i="13"/>
  <c r="T3" i="13"/>
  <c r="R3" i="13"/>
  <c r="Q3" i="13" s="1"/>
  <c r="Z23" i="13"/>
  <c r="Y23" i="13"/>
  <c r="X23" i="13"/>
  <c r="V23" i="13"/>
  <c r="U23" i="13"/>
  <c r="S23" i="13"/>
  <c r="C23" i="13"/>
  <c r="W23" i="13"/>
  <c r="T23" i="13"/>
  <c r="R23" i="13"/>
  <c r="Q23" i="13" s="1"/>
  <c r="C2" i="13"/>
  <c r="W2" i="13"/>
  <c r="T2" i="13"/>
  <c r="Y2" i="13"/>
  <c r="X2" i="13"/>
  <c r="V2" i="13"/>
  <c r="U2" i="13"/>
  <c r="S2" i="13"/>
  <c r="C24" i="13"/>
  <c r="W24" i="13"/>
  <c r="T24" i="13"/>
  <c r="R24" i="13"/>
  <c r="Q24" i="13" s="1"/>
  <c r="Z24" i="13"/>
  <c r="Y24" i="13"/>
  <c r="X24" i="13"/>
  <c r="V24" i="13"/>
  <c r="U24" i="13"/>
  <c r="S24" i="13"/>
  <c r="C22" i="13"/>
  <c r="W22" i="13"/>
  <c r="T22" i="13"/>
  <c r="R22" i="13"/>
  <c r="Q22" i="13" s="1"/>
  <c r="Z22" i="13"/>
  <c r="Y22" i="13"/>
  <c r="X22" i="13"/>
  <c r="V22" i="13"/>
  <c r="U22" i="13"/>
  <c r="S22" i="13"/>
  <c r="C20" i="13"/>
  <c r="W20" i="13"/>
  <c r="T20" i="13"/>
  <c r="R20" i="13"/>
  <c r="Q20" i="13" s="1"/>
  <c r="Z20" i="13"/>
  <c r="Y20" i="13"/>
  <c r="X20" i="13"/>
  <c r="V20" i="13"/>
  <c r="U20" i="13"/>
  <c r="S20" i="13"/>
  <c r="C18" i="13"/>
  <c r="W18" i="13"/>
  <c r="T18" i="13"/>
  <c r="R18" i="13"/>
  <c r="Q18" i="13" s="1"/>
  <c r="Z18" i="13"/>
  <c r="Y18" i="13"/>
  <c r="X18" i="13"/>
  <c r="V18" i="13"/>
  <c r="U18" i="13"/>
  <c r="S18" i="13"/>
  <c r="C16" i="13"/>
  <c r="W16" i="13"/>
  <c r="T16" i="13"/>
  <c r="R16" i="13"/>
  <c r="Q16" i="13" s="1"/>
  <c r="Z16" i="13"/>
  <c r="Y16" i="13"/>
  <c r="X16" i="13"/>
  <c r="V16" i="13"/>
  <c r="U16" i="13"/>
  <c r="S16" i="13"/>
  <c r="C14" i="13"/>
  <c r="W14" i="13"/>
  <c r="T14" i="13"/>
  <c r="R14" i="13"/>
  <c r="Q14" i="13" s="1"/>
  <c r="Z14" i="13"/>
  <c r="Y14" i="13"/>
  <c r="X14" i="13"/>
  <c r="V14" i="13"/>
  <c r="U14" i="13"/>
  <c r="S14" i="13"/>
  <c r="C12" i="13"/>
  <c r="W12" i="13"/>
  <c r="T12" i="13"/>
  <c r="R12" i="13"/>
  <c r="Q12" i="13" s="1"/>
  <c r="Z12" i="13"/>
  <c r="Y12" i="13"/>
  <c r="X12" i="13"/>
  <c r="V12" i="13"/>
  <c r="U12" i="13"/>
  <c r="S12" i="13"/>
  <c r="C10" i="13"/>
  <c r="W10" i="13"/>
  <c r="T10" i="13"/>
  <c r="R10" i="13"/>
  <c r="Q10" i="13" s="1"/>
  <c r="Z10" i="13"/>
  <c r="Y10" i="13"/>
  <c r="X10" i="13"/>
  <c r="V10" i="13"/>
  <c r="U10" i="13"/>
  <c r="S10" i="13"/>
  <c r="C8" i="13"/>
  <c r="W8" i="13"/>
  <c r="T8" i="13"/>
  <c r="R8" i="13"/>
  <c r="Q8" i="13" s="1"/>
  <c r="Z8" i="13"/>
  <c r="Y8" i="13"/>
  <c r="X8" i="13"/>
  <c r="V8" i="13"/>
  <c r="U8" i="13"/>
  <c r="S8" i="13"/>
  <c r="C6" i="13"/>
  <c r="W6" i="13"/>
  <c r="T6" i="13"/>
  <c r="R6" i="13"/>
  <c r="Q6" i="13" s="1"/>
  <c r="Z6" i="13"/>
  <c r="Y6" i="13"/>
  <c r="X6" i="13"/>
  <c r="V6" i="13"/>
  <c r="U6" i="13"/>
  <c r="S6" i="13"/>
  <c r="C4" i="13"/>
  <c r="W4" i="13"/>
  <c r="T4" i="13"/>
  <c r="R4" i="13"/>
  <c r="Q4" i="13" s="1"/>
  <c r="Z4" i="13"/>
  <c r="Y4" i="13"/>
  <c r="X4" i="13"/>
  <c r="V4" i="13"/>
  <c r="U4" i="13"/>
  <c r="S4" i="13"/>
  <c r="W3" i="17"/>
  <c r="W4" i="17"/>
  <c r="W5" i="17"/>
  <c r="W7" i="17"/>
  <c r="W8" i="17"/>
  <c r="W9" i="17"/>
  <c r="W10" i="17"/>
  <c r="W11" i="17"/>
  <c r="N6" i="13" l="1"/>
  <c r="O6" i="13"/>
  <c r="N22" i="13"/>
  <c r="O22" i="13"/>
  <c r="O4" i="13"/>
  <c r="N4" i="13"/>
  <c r="O21" i="13"/>
  <c r="N21" i="13"/>
  <c r="O9" i="13"/>
  <c r="N9" i="13"/>
  <c r="N24" i="13"/>
  <c r="O24" i="13"/>
  <c r="N13" i="13"/>
  <c r="O13" i="13"/>
  <c r="N12" i="13"/>
  <c r="O12" i="13"/>
  <c r="N7" i="13"/>
  <c r="O7" i="13"/>
  <c r="O17" i="13"/>
  <c r="N17" i="13"/>
  <c r="N20" i="13"/>
  <c r="O20" i="13"/>
  <c r="O15" i="13"/>
  <c r="N15" i="13"/>
  <c r="N25" i="13"/>
  <c r="O25" i="13"/>
  <c r="N5" i="13"/>
  <c r="O5" i="13"/>
  <c r="O8" i="13"/>
  <c r="N8" i="13"/>
  <c r="N23" i="13"/>
  <c r="O23" i="13"/>
  <c r="N10" i="13"/>
  <c r="O10" i="13"/>
  <c r="N14" i="13"/>
  <c r="O14" i="13"/>
  <c r="N16" i="13"/>
  <c r="O16" i="13"/>
  <c r="N3" i="13"/>
  <c r="O3" i="13"/>
  <c r="O18" i="13"/>
  <c r="N18" i="13"/>
  <c r="O19" i="13"/>
  <c r="I2" i="17"/>
  <c r="C2" i="17"/>
  <c r="W2" i="17"/>
  <c r="O11" i="13"/>
  <c r="AB6" i="17"/>
  <c r="W6" i="17"/>
  <c r="N2" i="13"/>
  <c r="R23" i="17"/>
  <c r="L19" i="17"/>
  <c r="AB23" i="18"/>
  <c r="AA24" i="17"/>
  <c r="AA20" i="17"/>
  <c r="AA24" i="18"/>
  <c r="AA20" i="18"/>
  <c r="I25" i="17"/>
  <c r="I21" i="17"/>
  <c r="I17" i="17"/>
  <c r="C25" i="18"/>
  <c r="C21" i="18"/>
  <c r="C17" i="18"/>
  <c r="AB19" i="18"/>
  <c r="D22" i="17"/>
  <c r="C18" i="17"/>
  <c r="I22" i="18"/>
  <c r="I18" i="18"/>
  <c r="Y15" i="17"/>
  <c r="AB11" i="17"/>
  <c r="AB7" i="17"/>
  <c r="AA16" i="17"/>
  <c r="AA12" i="17"/>
  <c r="AA8" i="17"/>
  <c r="AA4" i="17"/>
  <c r="I13" i="17"/>
  <c r="I9" i="17"/>
  <c r="I5" i="17"/>
  <c r="C14" i="17"/>
  <c r="D10" i="17"/>
  <c r="D6" i="17"/>
  <c r="AA16" i="18"/>
  <c r="M15" i="18"/>
  <c r="I14" i="18"/>
  <c r="C13" i="18"/>
  <c r="S12" i="18"/>
  <c r="AB11" i="18"/>
  <c r="I10" i="18"/>
  <c r="C9" i="18"/>
  <c r="C8" i="18"/>
  <c r="I6" i="18"/>
  <c r="C5" i="18"/>
  <c r="C4" i="18"/>
  <c r="C3" i="18"/>
  <c r="I2" i="18"/>
  <c r="L11" i="17"/>
  <c r="AB3" i="17"/>
  <c r="N3" i="17"/>
  <c r="L3" i="17"/>
  <c r="C11" i="17"/>
  <c r="I23" i="17"/>
  <c r="M23" i="17"/>
  <c r="J10" i="17"/>
  <c r="N18" i="17"/>
  <c r="Y3" i="17"/>
  <c r="AE23" i="17"/>
  <c r="J18" i="17"/>
  <c r="M3" i="17"/>
  <c r="N10" i="17"/>
  <c r="S23" i="17"/>
  <c r="AE7" i="17"/>
  <c r="C23" i="17"/>
  <c r="M7" i="17"/>
  <c r="N11" i="17"/>
  <c r="V11" i="17"/>
  <c r="Z23" i="17"/>
  <c r="I7" i="17"/>
  <c r="D18" i="17"/>
  <c r="D25" i="17"/>
  <c r="J21" i="17"/>
  <c r="N23" i="17"/>
  <c r="N7" i="17"/>
  <c r="O14" i="17"/>
  <c r="R19" i="17"/>
  <c r="R11" i="17"/>
  <c r="R3" i="17"/>
  <c r="S19" i="17"/>
  <c r="S11" i="17"/>
  <c r="S3" i="17"/>
  <c r="T18" i="17"/>
  <c r="T10" i="17"/>
  <c r="V23" i="17"/>
  <c r="V7" i="17"/>
  <c r="Y11" i="17"/>
  <c r="Z14" i="17"/>
  <c r="Z6" i="17"/>
  <c r="AE14" i="17"/>
  <c r="I6" i="17"/>
  <c r="C19" i="17"/>
  <c r="C3" i="17"/>
  <c r="AA18" i="17"/>
  <c r="T21" i="17"/>
  <c r="T5" i="17"/>
  <c r="T6" i="17"/>
  <c r="Z18" i="17"/>
  <c r="Z10" i="17"/>
  <c r="AA6" i="17"/>
  <c r="AE18" i="17"/>
  <c r="AE10" i="17"/>
  <c r="I18" i="17"/>
  <c r="I10" i="17"/>
  <c r="O25" i="17"/>
  <c r="O17" i="17"/>
  <c r="O9" i="17"/>
  <c r="O18" i="17"/>
  <c r="O10" i="17"/>
  <c r="M11" i="17"/>
  <c r="O21" i="17"/>
  <c r="O5" i="17"/>
  <c r="R18" i="17"/>
  <c r="R10" i="17"/>
  <c r="R25" i="17"/>
  <c r="S18" i="17"/>
  <c r="S10" i="17"/>
  <c r="T25" i="17"/>
  <c r="T17" i="17"/>
  <c r="T9" i="17"/>
  <c r="V19" i="17"/>
  <c r="V3" i="17"/>
  <c r="Y23" i="17"/>
  <c r="Y7" i="17"/>
  <c r="Z19" i="17"/>
  <c r="Z11" i="17"/>
  <c r="Z3" i="17"/>
  <c r="AA10" i="17"/>
  <c r="AE19" i="17"/>
  <c r="AE11" i="17"/>
  <c r="AE3" i="17"/>
  <c r="I19" i="17"/>
  <c r="I11" i="17"/>
  <c r="I3" i="17"/>
  <c r="C15" i="17"/>
  <c r="AA25" i="17"/>
  <c r="AA17" i="17"/>
  <c r="AA9" i="17"/>
  <c r="AA5" i="17"/>
  <c r="AB24" i="17"/>
  <c r="AB20" i="17"/>
  <c r="AB16" i="17"/>
  <c r="AB12" i="17"/>
  <c r="AB8" i="17"/>
  <c r="Q24" i="17"/>
  <c r="Q20" i="17"/>
  <c r="Q12" i="17"/>
  <c r="Q8" i="17"/>
  <c r="Q4" i="17"/>
  <c r="U25" i="17"/>
  <c r="U21" i="17"/>
  <c r="U17" i="17"/>
  <c r="U13" i="17"/>
  <c r="U9" i="17"/>
  <c r="U5" i="17"/>
  <c r="V24" i="17"/>
  <c r="V20" i="17"/>
  <c r="V12" i="17"/>
  <c r="V4" i="17"/>
  <c r="M24" i="17"/>
  <c r="M20" i="17"/>
  <c r="M16" i="17"/>
  <c r="M12" i="17"/>
  <c r="AB25" i="17"/>
  <c r="AB17" i="17"/>
  <c r="AB9" i="17"/>
  <c r="AB5" i="17"/>
  <c r="C24" i="17"/>
  <c r="C20" i="17"/>
  <c r="C16" i="17"/>
  <c r="C12" i="17"/>
  <c r="C8" i="17"/>
  <c r="C4" i="17"/>
  <c r="L13" i="17"/>
  <c r="L5" i="17"/>
  <c r="M25" i="17"/>
  <c r="M21" i="17"/>
  <c r="M17" i="17"/>
  <c r="M13" i="17"/>
  <c r="M9" i="17"/>
  <c r="M5" i="17"/>
  <c r="N24" i="17"/>
  <c r="N20" i="17"/>
  <c r="N12" i="17"/>
  <c r="N4" i="17"/>
  <c r="O23" i="17"/>
  <c r="O19" i="17"/>
  <c r="O15" i="17"/>
  <c r="O11" i="17"/>
  <c r="O7" i="17"/>
  <c r="O3" i="17"/>
  <c r="Q18" i="17"/>
  <c r="Q10" i="17"/>
  <c r="Q6" i="17"/>
  <c r="R24" i="17"/>
  <c r="R20" i="17"/>
  <c r="R16" i="17"/>
  <c r="R12" i="17"/>
  <c r="R8" i="17"/>
  <c r="R4" i="17"/>
  <c r="S24" i="17"/>
  <c r="S20" i="17"/>
  <c r="S16" i="17"/>
  <c r="S12" i="17"/>
  <c r="S8" i="17"/>
  <c r="S4" i="17"/>
  <c r="T23" i="17"/>
  <c r="T19" i="17"/>
  <c r="T11" i="17"/>
  <c r="T7" i="17"/>
  <c r="T3" i="17"/>
  <c r="U22" i="17"/>
  <c r="U18" i="17"/>
  <c r="U14" i="17"/>
  <c r="U10" i="17"/>
  <c r="V25" i="17"/>
  <c r="V21" i="17"/>
  <c r="V17" i="17"/>
  <c r="V13" i="17"/>
  <c r="V9" i="17"/>
  <c r="V5" i="17"/>
  <c r="Y25" i="17"/>
  <c r="Y21" i="17"/>
  <c r="Y17" i="17"/>
  <c r="Y13" i="17"/>
  <c r="Y9" i="17"/>
  <c r="Y5" i="17"/>
  <c r="Z24" i="17"/>
  <c r="Z20" i="17"/>
  <c r="Z12" i="17"/>
  <c r="Z4" i="17"/>
  <c r="AA23" i="17"/>
  <c r="AA19" i="17"/>
  <c r="AA11" i="17"/>
  <c r="AA7" i="17"/>
  <c r="AA3" i="17"/>
  <c r="AB22" i="17"/>
  <c r="AB18" i="17"/>
  <c r="AB14" i="17"/>
  <c r="AB10" i="17"/>
  <c r="AE24" i="17"/>
  <c r="AE20" i="17"/>
  <c r="AE16" i="17"/>
  <c r="AE12" i="17"/>
  <c r="AE8" i="17"/>
  <c r="AE4" i="17"/>
  <c r="I24" i="17"/>
  <c r="I20" i="17"/>
  <c r="I16" i="17"/>
  <c r="I12" i="17"/>
  <c r="I8" i="17"/>
  <c r="I4" i="17"/>
  <c r="C25" i="17"/>
  <c r="C21" i="17"/>
  <c r="C17" i="17"/>
  <c r="C9" i="17"/>
  <c r="C5" i="17"/>
  <c r="U24" i="17"/>
  <c r="U20" i="17"/>
  <c r="U16" i="17"/>
  <c r="U12" i="17"/>
  <c r="U8" i="17"/>
  <c r="U4" i="17"/>
  <c r="Q25" i="17"/>
  <c r="Q17" i="17"/>
  <c r="Q13" i="17"/>
  <c r="Q9" i="17"/>
  <c r="Q5" i="17"/>
  <c r="Y24" i="17"/>
  <c r="Y20" i="17"/>
  <c r="Y16" i="17"/>
  <c r="Y12" i="17"/>
  <c r="Y8" i="17"/>
  <c r="Y4" i="17"/>
  <c r="D5" i="17"/>
  <c r="J25" i="17"/>
  <c r="D14" i="17"/>
  <c r="J9" i="17"/>
  <c r="D21" i="17"/>
  <c r="D9" i="17"/>
  <c r="J5" i="17"/>
  <c r="M22" i="17"/>
  <c r="M18" i="17"/>
  <c r="M14" i="17"/>
  <c r="M10" i="17"/>
  <c r="N25" i="17"/>
  <c r="N17" i="17"/>
  <c r="N13" i="17"/>
  <c r="N9" i="17"/>
  <c r="N5" i="17"/>
  <c r="O24" i="17"/>
  <c r="O20" i="17"/>
  <c r="O16" i="17"/>
  <c r="O12" i="17"/>
  <c r="O8" i="17"/>
  <c r="O4" i="17"/>
  <c r="Q23" i="17"/>
  <c r="Q19" i="17"/>
  <c r="Q15" i="17"/>
  <c r="Q11" i="17"/>
  <c r="Q7" i="17"/>
  <c r="Q3" i="17"/>
  <c r="R21" i="17"/>
  <c r="R17" i="17"/>
  <c r="R13" i="17"/>
  <c r="R9" i="17"/>
  <c r="R5" i="17"/>
  <c r="S25" i="17"/>
  <c r="S21" i="17"/>
  <c r="S17" i="17"/>
  <c r="S13" i="17"/>
  <c r="S9" i="17"/>
  <c r="S5" i="17"/>
  <c r="T24" i="17"/>
  <c r="T20" i="17"/>
  <c r="T12" i="17"/>
  <c r="T4" i="17"/>
  <c r="U23" i="17"/>
  <c r="U19" i="17"/>
  <c r="U15" i="17"/>
  <c r="U11" i="17"/>
  <c r="U7" i="17"/>
  <c r="U3" i="17"/>
  <c r="V22" i="17"/>
  <c r="V18" i="17"/>
  <c r="V14" i="17"/>
  <c r="V10" i="17"/>
  <c r="V6" i="17"/>
  <c r="Y22" i="17"/>
  <c r="Y18" i="17"/>
  <c r="Y14" i="17"/>
  <c r="Y10" i="17"/>
  <c r="Y6" i="17"/>
  <c r="Z25" i="17"/>
  <c r="Z21" i="17"/>
  <c r="Z17" i="17"/>
  <c r="Z13" i="17"/>
  <c r="Z9" i="17"/>
  <c r="Z5" i="17"/>
  <c r="AB19" i="17"/>
  <c r="AE25" i="17"/>
  <c r="AE21" i="17"/>
  <c r="AE17" i="17"/>
  <c r="AE13" i="17"/>
  <c r="AE9" i="17"/>
  <c r="AE5" i="17"/>
  <c r="C22" i="17"/>
  <c r="C10" i="17"/>
  <c r="C6" i="17"/>
  <c r="D23" i="18"/>
  <c r="J23" i="18"/>
  <c r="L24" i="18"/>
  <c r="L20" i="18"/>
  <c r="M23" i="18"/>
  <c r="N18" i="18"/>
  <c r="N14" i="18"/>
  <c r="O25" i="18"/>
  <c r="O21" i="18"/>
  <c r="Q14" i="18"/>
  <c r="R25" i="18"/>
  <c r="S24" i="18"/>
  <c r="S20" i="18"/>
  <c r="T23" i="18"/>
  <c r="U18" i="18"/>
  <c r="V25" i="18"/>
  <c r="V21" i="18"/>
  <c r="V13" i="18"/>
  <c r="W24" i="18"/>
  <c r="W20" i="18"/>
  <c r="W12" i="18"/>
  <c r="Y23" i="18"/>
  <c r="Y19" i="18"/>
  <c r="Z22" i="18"/>
  <c r="Z18" i="18"/>
  <c r="Z14" i="18"/>
  <c r="AA25" i="18"/>
  <c r="AA21" i="18"/>
  <c r="AA13" i="18"/>
  <c r="AB24" i="18"/>
  <c r="AB20" i="18"/>
  <c r="AB16" i="18"/>
  <c r="AB12" i="18"/>
  <c r="AE22" i="18"/>
  <c r="AE18" i="18"/>
  <c r="AE14" i="18"/>
  <c r="I23" i="18"/>
  <c r="I15" i="18"/>
  <c r="I11" i="18"/>
  <c r="I3" i="18"/>
  <c r="C22" i="18"/>
  <c r="C18" i="18"/>
  <c r="C14" i="18"/>
  <c r="C10" i="18"/>
  <c r="C6" i="18"/>
  <c r="C2" i="18"/>
  <c r="D24" i="18"/>
  <c r="D20" i="18"/>
  <c r="D16" i="18"/>
  <c r="D12" i="18"/>
  <c r="D8" i="18"/>
  <c r="J24" i="18"/>
  <c r="J20" i="18"/>
  <c r="J16" i="18"/>
  <c r="J12" i="18"/>
  <c r="L25" i="18"/>
  <c r="L21" i="18"/>
  <c r="L17" i="18"/>
  <c r="L13" i="18"/>
  <c r="M24" i="18"/>
  <c r="M20" i="18"/>
  <c r="M16" i="18"/>
  <c r="M12" i="18"/>
  <c r="N23" i="18"/>
  <c r="N19" i="18"/>
  <c r="N15" i="18"/>
  <c r="N11" i="18"/>
  <c r="O22" i="18"/>
  <c r="O18" i="18"/>
  <c r="O14" i="18"/>
  <c r="Q23" i="18"/>
  <c r="Q19" i="18"/>
  <c r="Q15" i="18"/>
  <c r="Q11" i="18"/>
  <c r="R22" i="18"/>
  <c r="R18" i="18"/>
  <c r="R14" i="18"/>
  <c r="S25" i="18"/>
  <c r="S21" i="18"/>
  <c r="S17" i="18"/>
  <c r="S13" i="18"/>
  <c r="T24" i="18"/>
  <c r="T20" i="18"/>
  <c r="T16" i="18"/>
  <c r="T12" i="18"/>
  <c r="U23" i="18"/>
  <c r="U19" i="18"/>
  <c r="U15" i="18"/>
  <c r="U11" i="18"/>
  <c r="V22" i="18"/>
  <c r="V18" i="18"/>
  <c r="V14" i="18"/>
  <c r="W25" i="18"/>
  <c r="W21" i="18"/>
  <c r="W17" i="18"/>
  <c r="W13" i="18"/>
  <c r="Y24" i="18"/>
  <c r="Y20" i="18"/>
  <c r="Y16" i="18"/>
  <c r="Y12" i="18"/>
  <c r="Z23" i="18"/>
  <c r="Z19" i="18"/>
  <c r="Z15" i="18"/>
  <c r="Z11" i="18"/>
  <c r="AA22" i="18"/>
  <c r="AA18" i="18"/>
  <c r="AA14" i="18"/>
  <c r="AB25" i="18"/>
  <c r="AB21" i="18"/>
  <c r="AB17" i="18"/>
  <c r="AB13" i="18"/>
  <c r="AE23" i="18"/>
  <c r="AE19" i="18"/>
  <c r="AE15" i="18"/>
  <c r="AE11" i="18"/>
  <c r="I24" i="18"/>
  <c r="I20" i="18"/>
  <c r="I16" i="18"/>
  <c r="I12" i="18"/>
  <c r="I8" i="18"/>
  <c r="I4" i="18"/>
  <c r="C23" i="18"/>
  <c r="C19" i="18"/>
  <c r="C15" i="18"/>
  <c r="C11" i="18"/>
  <c r="D25" i="18"/>
  <c r="D21" i="18"/>
  <c r="D17" i="18"/>
  <c r="D13" i="18"/>
  <c r="D9" i="18"/>
  <c r="D5" i="18"/>
  <c r="J25" i="18"/>
  <c r="J21" i="18"/>
  <c r="J17" i="18"/>
  <c r="J13" i="18"/>
  <c r="L22" i="18"/>
  <c r="L18" i="18"/>
  <c r="L14" i="18"/>
  <c r="M25" i="18"/>
  <c r="M21" i="18"/>
  <c r="M17" i="18"/>
  <c r="M13" i="18"/>
  <c r="N24" i="18"/>
  <c r="N20" i="18"/>
  <c r="N16" i="18"/>
  <c r="N12" i="18"/>
  <c r="O23" i="18"/>
  <c r="O19" i="18"/>
  <c r="O15" i="18"/>
  <c r="O11" i="18"/>
  <c r="Q24" i="18"/>
  <c r="Q20" i="18"/>
  <c r="Q16" i="18"/>
  <c r="Q12" i="18"/>
  <c r="R23" i="18"/>
  <c r="R19" i="18"/>
  <c r="R15" i="18"/>
  <c r="R11" i="18"/>
  <c r="S22" i="18"/>
  <c r="S18" i="18"/>
  <c r="S14" i="18"/>
  <c r="T25" i="18"/>
  <c r="T21" i="18"/>
  <c r="T17" i="18"/>
  <c r="T13" i="18"/>
  <c r="U24" i="18"/>
  <c r="U20" i="18"/>
  <c r="U16" i="18"/>
  <c r="U12" i="18"/>
  <c r="V23" i="18"/>
  <c r="V19" i="18"/>
  <c r="V15" i="18"/>
  <c r="V11" i="18"/>
  <c r="W22" i="18"/>
  <c r="W18" i="18"/>
  <c r="W14" i="18"/>
  <c r="Y25" i="18"/>
  <c r="Y21" i="18"/>
  <c r="Y17" i="18"/>
  <c r="Y13" i="18"/>
  <c r="Z24" i="18"/>
  <c r="Z20" i="18"/>
  <c r="Z16" i="18"/>
  <c r="Z12" i="18"/>
  <c r="AA23" i="18"/>
  <c r="AA19" i="18"/>
  <c r="AA15" i="18"/>
  <c r="AA11" i="18"/>
  <c r="AB22" i="18"/>
  <c r="AB18" i="18"/>
  <c r="AB14" i="18"/>
  <c r="AE24" i="18"/>
  <c r="AE20" i="18"/>
  <c r="AE16" i="18"/>
  <c r="AE12" i="18"/>
  <c r="I25" i="18"/>
  <c r="I21" i="18"/>
  <c r="I17" i="18"/>
  <c r="I13" i="18"/>
  <c r="I9" i="18"/>
  <c r="I5" i="18"/>
  <c r="C24" i="18"/>
  <c r="C20" i="18"/>
  <c r="C16" i="18"/>
  <c r="C12" i="18"/>
  <c r="D22" i="18"/>
  <c r="D18" i="18"/>
  <c r="D14" i="18"/>
  <c r="D10" i="18"/>
  <c r="D6" i="18"/>
  <c r="J22" i="18"/>
  <c r="J18" i="18"/>
  <c r="J14" i="18"/>
  <c r="L23" i="18"/>
  <c r="L19" i="18"/>
  <c r="L15" i="18"/>
  <c r="L11" i="18"/>
  <c r="M22" i="18"/>
  <c r="M18" i="18"/>
  <c r="M14" i="18"/>
  <c r="N25" i="18"/>
  <c r="N21" i="18"/>
  <c r="N17" i="18"/>
  <c r="N13" i="18"/>
  <c r="O24" i="18"/>
  <c r="O20" i="18"/>
  <c r="O16" i="18"/>
  <c r="O12" i="18"/>
  <c r="Q25" i="18"/>
  <c r="Q21" i="18"/>
  <c r="Q17" i="18"/>
  <c r="Q13" i="18"/>
  <c r="R24" i="18"/>
  <c r="R20" i="18"/>
  <c r="R16" i="18"/>
  <c r="R12" i="18"/>
  <c r="S23" i="18"/>
  <c r="S19" i="18"/>
  <c r="S15" i="18"/>
  <c r="S11" i="18"/>
  <c r="T22" i="18"/>
  <c r="T18" i="18"/>
  <c r="T14" i="18"/>
  <c r="U25" i="18"/>
  <c r="U21" i="18"/>
  <c r="U17" i="18"/>
  <c r="U13" i="18"/>
  <c r="V24" i="18"/>
  <c r="V20" i="18"/>
  <c r="V16" i="18"/>
  <c r="V12" i="18"/>
  <c r="W23" i="18"/>
  <c r="W19" i="18"/>
  <c r="W15" i="18"/>
  <c r="W11" i="18"/>
  <c r="Y22" i="18"/>
  <c r="Y18" i="18"/>
  <c r="Y14" i="18"/>
  <c r="Z25" i="18"/>
  <c r="Z21" i="18"/>
  <c r="Z17" i="18"/>
  <c r="Z13" i="18"/>
  <c r="AE25" i="18"/>
  <c r="AE21" i="18"/>
  <c r="AE17" i="18"/>
  <c r="AE13" i="18"/>
  <c r="J24" i="17"/>
  <c r="D24" i="17"/>
  <c r="L24" i="17"/>
  <c r="J16" i="17"/>
  <c r="D16" i="17"/>
  <c r="L16" i="17"/>
  <c r="J8" i="17"/>
  <c r="D8" i="17"/>
  <c r="L8" i="17"/>
  <c r="L20" i="17"/>
  <c r="J20" i="17"/>
  <c r="D20" i="17"/>
  <c r="L12" i="17"/>
  <c r="J12" i="17"/>
  <c r="D12" i="17"/>
  <c r="L4" i="17"/>
  <c r="J4" i="17"/>
  <c r="D4" i="17"/>
  <c r="L23" i="17"/>
  <c r="D23" i="17"/>
  <c r="J23" i="17"/>
  <c r="D15" i="17"/>
  <c r="L15" i="17"/>
  <c r="J15" i="17"/>
  <c r="L7" i="17"/>
  <c r="D7" i="17"/>
  <c r="J7" i="17"/>
  <c r="L18" i="17"/>
  <c r="L10" i="17"/>
  <c r="D19" i="17"/>
  <c r="D11" i="17"/>
  <c r="D3" i="17"/>
  <c r="J22" i="17"/>
  <c r="J14" i="17"/>
  <c r="J6" i="17"/>
  <c r="L25" i="17"/>
  <c r="L17" i="17"/>
  <c r="L9" i="17"/>
  <c r="J11" i="17"/>
  <c r="L22" i="17"/>
  <c r="L14" i="17"/>
  <c r="L6" i="17"/>
  <c r="J19" i="17"/>
  <c r="J3" i="17"/>
  <c r="D2" i="17"/>
  <c r="R21" i="18" l="1"/>
  <c r="E21" i="18" s="1"/>
  <c r="H21" i="18" s="1"/>
  <c r="U14" i="18"/>
  <c r="E14" i="18" s="1"/>
  <c r="Q18" i="18"/>
  <c r="D19" i="18"/>
  <c r="Y15" i="18"/>
  <c r="X15" i="18" s="1"/>
  <c r="N22" i="18"/>
  <c r="K22" i="18" s="1"/>
  <c r="U22" i="18"/>
  <c r="E22" i="18" s="1"/>
  <c r="Q22" i="18"/>
  <c r="D15" i="18"/>
  <c r="S16" i="18"/>
  <c r="E16" i="18" s="1"/>
  <c r="H16" i="18" s="1"/>
  <c r="Y11" i="18"/>
  <c r="X11" i="18" s="1"/>
  <c r="V17" i="18"/>
  <c r="O13" i="18"/>
  <c r="K13" i="18" s="1"/>
  <c r="O17" i="18"/>
  <c r="K17" i="18" s="1"/>
  <c r="AA17" i="18"/>
  <c r="X17" i="18" s="1"/>
  <c r="R17" i="18"/>
  <c r="J19" i="18"/>
  <c r="X22" i="18"/>
  <c r="AC21" i="18"/>
  <c r="P20" i="18"/>
  <c r="AC24" i="17"/>
  <c r="X5" i="17"/>
  <c r="P7" i="17"/>
  <c r="P3" i="17"/>
  <c r="P11" i="17"/>
  <c r="T16" i="17"/>
  <c r="M6" i="17"/>
  <c r="AC20" i="17"/>
  <c r="C13" i="17"/>
  <c r="AC6" i="17"/>
  <c r="AA15" i="17"/>
  <c r="N16" i="17"/>
  <c r="K16" i="17" s="1"/>
  <c r="M8" i="17"/>
  <c r="V16" i="17"/>
  <c r="AA21" i="17"/>
  <c r="X21" i="17" s="1"/>
  <c r="T13" i="17"/>
  <c r="AE22" i="17"/>
  <c r="U6" i="17"/>
  <c r="T15" i="17"/>
  <c r="L21" i="17"/>
  <c r="Z22" i="17"/>
  <c r="T19" i="18"/>
  <c r="Z8" i="17"/>
  <c r="X8" i="17" s="1"/>
  <c r="Q14" i="17"/>
  <c r="AB13" i="17"/>
  <c r="AC13" i="17" s="1"/>
  <c r="Q16" i="17"/>
  <c r="O13" i="17"/>
  <c r="K13" i="17" s="1"/>
  <c r="K18" i="18"/>
  <c r="AC16" i="18"/>
  <c r="D4" i="18"/>
  <c r="I19" i="18"/>
  <c r="M19" i="18"/>
  <c r="P19" i="18" s="1"/>
  <c r="T8" i="17"/>
  <c r="N21" i="17"/>
  <c r="Q21" i="17"/>
  <c r="Z16" i="17"/>
  <c r="X16" i="17" s="1"/>
  <c r="Q22" i="17"/>
  <c r="N8" i="17"/>
  <c r="AB21" i="17"/>
  <c r="AC21" i="17" s="1"/>
  <c r="V8" i="17"/>
  <c r="AA13" i="17"/>
  <c r="X13" i="17" s="1"/>
  <c r="N22" i="17"/>
  <c r="T14" i="17"/>
  <c r="AE6" i="17"/>
  <c r="V15" i="17"/>
  <c r="X25" i="18"/>
  <c r="K14" i="18"/>
  <c r="AC8" i="17"/>
  <c r="X17" i="17"/>
  <c r="K11" i="17"/>
  <c r="P5" i="17"/>
  <c r="E11" i="17"/>
  <c r="G11" i="17" s="1"/>
  <c r="P9" i="17"/>
  <c r="K21" i="18"/>
  <c r="S14" i="17"/>
  <c r="P10" i="17"/>
  <c r="M19" i="17"/>
  <c r="M4" i="17"/>
  <c r="P4" i="17" s="1"/>
  <c r="AB4" i="17"/>
  <c r="AC4" i="17" s="1"/>
  <c r="N14" i="17"/>
  <c r="P14" i="17" s="1"/>
  <c r="Y19" i="17"/>
  <c r="X19" i="17" s="1"/>
  <c r="T22" i="17"/>
  <c r="I14" i="17"/>
  <c r="AA14" i="17"/>
  <c r="X14" i="17" s="1"/>
  <c r="N15" i="17"/>
  <c r="J13" i="17"/>
  <c r="J17" i="17"/>
  <c r="N19" i="17"/>
  <c r="D17" i="17"/>
  <c r="E17" i="17" s="1"/>
  <c r="AC17" i="18"/>
  <c r="O6" i="17"/>
  <c r="S7" i="17"/>
  <c r="R7" i="17"/>
  <c r="D13" i="17"/>
  <c r="Z7" i="17"/>
  <c r="X7" i="17" s="1"/>
  <c r="R6" i="17"/>
  <c r="S6" i="17"/>
  <c r="Z15" i="17"/>
  <c r="AC25" i="18"/>
  <c r="N6" i="17"/>
  <c r="J2" i="17"/>
  <c r="AA22" i="17"/>
  <c r="I22" i="17"/>
  <c r="O22" i="17"/>
  <c r="M15" i="17"/>
  <c r="AE15" i="17"/>
  <c r="I15" i="17"/>
  <c r="S15" i="17"/>
  <c r="X24" i="18"/>
  <c r="R22" i="17"/>
  <c r="S22" i="17"/>
  <c r="AB15" i="17"/>
  <c r="AC15" i="17" s="1"/>
  <c r="AB23" i="17"/>
  <c r="AC23" i="17" s="1"/>
  <c r="AC14" i="18"/>
  <c r="P23" i="18"/>
  <c r="AC7" i="17"/>
  <c r="R14" i="17"/>
  <c r="R15" i="17"/>
  <c r="C7" i="17"/>
  <c r="AC11" i="17"/>
  <c r="J15" i="18"/>
  <c r="E23" i="18"/>
  <c r="F23" i="18" s="1"/>
  <c r="K24" i="18"/>
  <c r="K25" i="18"/>
  <c r="AC24" i="18"/>
  <c r="T15" i="18"/>
  <c r="W16" i="18"/>
  <c r="R13" i="18"/>
  <c r="E13" i="18" s="1"/>
  <c r="H13" i="18" s="1"/>
  <c r="AC17" i="17"/>
  <c r="AC22" i="17"/>
  <c r="E24" i="17"/>
  <c r="AC10" i="17"/>
  <c r="L16" i="18"/>
  <c r="K16" i="18" s="1"/>
  <c r="M11" i="18"/>
  <c r="P11" i="18" s="1"/>
  <c r="X16" i="18"/>
  <c r="K15" i="18"/>
  <c r="AB15" i="18"/>
  <c r="T11" i="18"/>
  <c r="J11" i="18"/>
  <c r="D11" i="18"/>
  <c r="L12" i="18"/>
  <c r="K12" i="18" s="1"/>
  <c r="AA12" i="18"/>
  <c r="X12" i="18" s="1"/>
  <c r="E25" i="18"/>
  <c r="D3" i="18"/>
  <c r="X3" i="17"/>
  <c r="AC3" i="17"/>
  <c r="AC14" i="17"/>
  <c r="AC5" i="17"/>
  <c r="X23" i="17"/>
  <c r="X11" i="17"/>
  <c r="X25" i="17"/>
  <c r="E18" i="17"/>
  <c r="X20" i="17"/>
  <c r="AC18" i="17"/>
  <c r="AC12" i="17"/>
  <c r="AC25" i="17"/>
  <c r="X24" i="17"/>
  <c r="E19" i="17"/>
  <c r="E12" i="17"/>
  <c r="E25" i="17"/>
  <c r="E20" i="17"/>
  <c r="X10" i="17"/>
  <c r="E18" i="18"/>
  <c r="X21" i="18"/>
  <c r="E23" i="17"/>
  <c r="E21" i="17"/>
  <c r="X18" i="17"/>
  <c r="E24" i="18"/>
  <c r="H24" i="18" s="1"/>
  <c r="X12" i="17"/>
  <c r="X4" i="17"/>
  <c r="X6" i="17"/>
  <c r="AC16" i="17"/>
  <c r="AC9" i="17"/>
  <c r="X9" i="17"/>
  <c r="AC22" i="18"/>
  <c r="P15" i="18"/>
  <c r="E20" i="18"/>
  <c r="P14" i="18"/>
  <c r="X19" i="18"/>
  <c r="AC19" i="18"/>
  <c r="K20" i="18"/>
  <c r="AC18" i="18"/>
  <c r="P18" i="18"/>
  <c r="P21" i="18"/>
  <c r="E12" i="18"/>
  <c r="X20" i="18"/>
  <c r="AC20" i="18"/>
  <c r="X14" i="18"/>
  <c r="AC13" i="18"/>
  <c r="X13" i="18"/>
  <c r="AC12" i="18"/>
  <c r="X23" i="18"/>
  <c r="AC23" i="18"/>
  <c r="K23" i="18"/>
  <c r="X18" i="18"/>
  <c r="P24" i="18"/>
  <c r="P25" i="18"/>
  <c r="K18" i="17"/>
  <c r="P18" i="17"/>
  <c r="K12" i="17"/>
  <c r="P12" i="17"/>
  <c r="K25" i="17"/>
  <c r="P25" i="17"/>
  <c r="K23" i="17"/>
  <c r="P23" i="17"/>
  <c r="K24" i="17"/>
  <c r="P24" i="17"/>
  <c r="K20" i="17"/>
  <c r="P20" i="17"/>
  <c r="K17" i="17"/>
  <c r="P17" i="17"/>
  <c r="AA10" i="18"/>
  <c r="AE9" i="18"/>
  <c r="AB5" i="18"/>
  <c r="AA2" i="18"/>
  <c r="Y2" i="17"/>
  <c r="G18" i="18" l="1"/>
  <c r="F14" i="18"/>
  <c r="H20" i="18"/>
  <c r="F20" i="17"/>
  <c r="F25" i="17"/>
  <c r="F18" i="17"/>
  <c r="F17" i="17"/>
  <c r="G24" i="17"/>
  <c r="G25" i="18"/>
  <c r="H23" i="17"/>
  <c r="F12" i="17"/>
  <c r="F22" i="18"/>
  <c r="P22" i="18"/>
  <c r="E19" i="18"/>
  <c r="G19" i="18" s="1"/>
  <c r="P17" i="18"/>
  <c r="AC15" i="18"/>
  <c r="E15" i="18"/>
  <c r="G15" i="18" s="1"/>
  <c r="E17" i="18"/>
  <c r="P13" i="18"/>
  <c r="G13" i="18" s="1"/>
  <c r="AD13" i="18" s="1"/>
  <c r="AC11" i="18"/>
  <c r="H14" i="18"/>
  <c r="P21" i="17"/>
  <c r="G21" i="17" s="1"/>
  <c r="K19" i="18"/>
  <c r="G14" i="18"/>
  <c r="P22" i="17"/>
  <c r="E16" i="17"/>
  <c r="G16" i="17" s="1"/>
  <c r="P16" i="17"/>
  <c r="K21" i="17"/>
  <c r="F21" i="17" s="1"/>
  <c r="X15" i="17"/>
  <c r="E13" i="17"/>
  <c r="F13" i="17" s="1"/>
  <c r="E14" i="17"/>
  <c r="G14" i="17" s="1"/>
  <c r="X22" i="17"/>
  <c r="P13" i="17"/>
  <c r="K14" i="17"/>
  <c r="P8" i="17"/>
  <c r="F18" i="18"/>
  <c r="G21" i="18"/>
  <c r="AD21" i="18" s="1"/>
  <c r="F11" i="17"/>
  <c r="H11" i="17"/>
  <c r="AD11" i="17" s="1"/>
  <c r="K15" i="17"/>
  <c r="P15" i="17"/>
  <c r="K19" i="17"/>
  <c r="H19" i="17" s="1"/>
  <c r="G16" i="18"/>
  <c r="AD16" i="18" s="1"/>
  <c r="E22" i="17"/>
  <c r="G23" i="18"/>
  <c r="P19" i="17"/>
  <c r="G19" i="17" s="1"/>
  <c r="E15" i="17"/>
  <c r="G15" i="17" s="1"/>
  <c r="P6" i="17"/>
  <c r="AC19" i="17"/>
  <c r="K22" i="17"/>
  <c r="G20" i="17"/>
  <c r="K11" i="18"/>
  <c r="H23" i="18"/>
  <c r="P16" i="18"/>
  <c r="G17" i="17"/>
  <c r="G12" i="17"/>
  <c r="H18" i="18"/>
  <c r="AD18" i="18" s="1"/>
  <c r="G25" i="17"/>
  <c r="H25" i="17"/>
  <c r="H12" i="17"/>
  <c r="H24" i="17"/>
  <c r="H20" i="17"/>
  <c r="F24" i="17"/>
  <c r="G18" i="17"/>
  <c r="E11" i="18"/>
  <c r="H25" i="18"/>
  <c r="H22" i="18"/>
  <c r="F25" i="18"/>
  <c r="G22" i="18"/>
  <c r="P12" i="18"/>
  <c r="H18" i="17"/>
  <c r="F23" i="17"/>
  <c r="H17" i="17"/>
  <c r="F21" i="18"/>
  <c r="G24" i="18"/>
  <c r="AD24" i="18" s="1"/>
  <c r="F16" i="18"/>
  <c r="G23" i="17"/>
  <c r="F24" i="18"/>
  <c r="G20" i="18"/>
  <c r="F20" i="18"/>
  <c r="F13" i="18"/>
  <c r="H12" i="18"/>
  <c r="G12" i="18"/>
  <c r="F12" i="18"/>
  <c r="Q2" i="17"/>
  <c r="R2" i="17"/>
  <c r="S2" i="17"/>
  <c r="AE2" i="17"/>
  <c r="O2" i="17"/>
  <c r="N2" i="17"/>
  <c r="V2" i="17"/>
  <c r="U2" i="17"/>
  <c r="M2" i="17"/>
  <c r="AB2" i="17"/>
  <c r="AC2" i="17" s="1"/>
  <c r="T2" i="17"/>
  <c r="L2" i="17"/>
  <c r="Z2" i="17"/>
  <c r="AA2" i="17"/>
  <c r="K5" i="17"/>
  <c r="K7" i="17"/>
  <c r="R2" i="13"/>
  <c r="Q2" i="13" s="1"/>
  <c r="O2" i="13" s="1"/>
  <c r="U8" i="18"/>
  <c r="Y8" i="18"/>
  <c r="V8" i="18"/>
  <c r="N8" i="18"/>
  <c r="J8" i="18"/>
  <c r="Y4" i="18"/>
  <c r="R4" i="18"/>
  <c r="AB3" i="18"/>
  <c r="W3" i="18"/>
  <c r="V3" i="18"/>
  <c r="Y3" i="18"/>
  <c r="U3" i="18"/>
  <c r="R3" i="18"/>
  <c r="N3" i="18"/>
  <c r="Q3" i="18"/>
  <c r="AE3" i="18"/>
  <c r="M3" i="18"/>
  <c r="J3" i="18"/>
  <c r="AA3" i="18"/>
  <c r="AE6" i="18"/>
  <c r="R6" i="18"/>
  <c r="AA6" i="18"/>
  <c r="S6" i="18"/>
  <c r="S9" i="18"/>
  <c r="AA9" i="18"/>
  <c r="V5" i="18"/>
  <c r="N10" i="18"/>
  <c r="W5" i="18"/>
  <c r="S3" i="18"/>
  <c r="M5" i="18"/>
  <c r="Y5" i="18"/>
  <c r="AC5" i="18" s="1"/>
  <c r="Z6" i="18"/>
  <c r="Z8" i="18"/>
  <c r="O10" i="18"/>
  <c r="N5" i="18"/>
  <c r="AA5" i="18"/>
  <c r="V10" i="18"/>
  <c r="J4" i="18"/>
  <c r="O5" i="18"/>
  <c r="AE5" i="18"/>
  <c r="W10" i="18"/>
  <c r="AE10" i="18"/>
  <c r="Q5" i="18"/>
  <c r="Z4" i="18"/>
  <c r="S5" i="18"/>
  <c r="Q8" i="18"/>
  <c r="O3" i="18"/>
  <c r="Z3" i="18"/>
  <c r="U5" i="18"/>
  <c r="J6" i="18"/>
  <c r="R8" i="18"/>
  <c r="T2" i="18"/>
  <c r="Q9" i="18"/>
  <c r="Y9" i="18"/>
  <c r="L10" i="18"/>
  <c r="T10" i="18"/>
  <c r="AB10" i="18"/>
  <c r="D2" i="18"/>
  <c r="M2" i="18"/>
  <c r="U2" i="18"/>
  <c r="S4" i="18"/>
  <c r="AA4" i="18"/>
  <c r="Q6" i="18"/>
  <c r="Y6" i="18"/>
  <c r="O8" i="18"/>
  <c r="W8" i="18"/>
  <c r="AE8" i="18"/>
  <c r="J9" i="18"/>
  <c r="R9" i="18"/>
  <c r="Z9" i="18"/>
  <c r="M10" i="18"/>
  <c r="U10" i="18"/>
  <c r="AB2" i="18"/>
  <c r="L2" i="18"/>
  <c r="L4" i="18"/>
  <c r="T4" i="18"/>
  <c r="AB4" i="18"/>
  <c r="N4" i="18"/>
  <c r="V4" i="18"/>
  <c r="M4" i="18"/>
  <c r="U4" i="18"/>
  <c r="L6" i="18"/>
  <c r="T6" i="18"/>
  <c r="AB6" i="18"/>
  <c r="M9" i="18"/>
  <c r="U9" i="18"/>
  <c r="Q2" i="18"/>
  <c r="Y2" i="18"/>
  <c r="L3" i="18"/>
  <c r="T3" i="18"/>
  <c r="O4" i="18"/>
  <c r="W4" i="18"/>
  <c r="AE4" i="18"/>
  <c r="J5" i="18"/>
  <c r="R5" i="18"/>
  <c r="Z5" i="18"/>
  <c r="M6" i="18"/>
  <c r="U6" i="18"/>
  <c r="S8" i="18"/>
  <c r="AA8" i="18"/>
  <c r="N9" i="18"/>
  <c r="V9" i="18"/>
  <c r="Q10" i="18"/>
  <c r="Y10" i="18"/>
  <c r="N2" i="18"/>
  <c r="V2" i="18"/>
  <c r="L9" i="18"/>
  <c r="T9" i="18"/>
  <c r="AB9" i="18"/>
  <c r="L8" i="18"/>
  <c r="T8" i="18"/>
  <c r="AB8" i="18"/>
  <c r="O9" i="18"/>
  <c r="W9" i="18"/>
  <c r="J10" i="18"/>
  <c r="R10" i="18"/>
  <c r="Z10" i="18"/>
  <c r="O2" i="18"/>
  <c r="W2" i="18"/>
  <c r="AE2" i="18"/>
  <c r="J2" i="18"/>
  <c r="R2" i="18"/>
  <c r="Z2" i="18"/>
  <c r="N6" i="18"/>
  <c r="V6" i="18"/>
  <c r="S2" i="18"/>
  <c r="Q4" i="18"/>
  <c r="L5" i="18"/>
  <c r="T5" i="18"/>
  <c r="O6" i="18"/>
  <c r="W6" i="18"/>
  <c r="M8" i="18"/>
  <c r="S10" i="18"/>
  <c r="AD20" i="18" l="1"/>
  <c r="G17" i="18"/>
  <c r="F19" i="17"/>
  <c r="AD19" i="17"/>
  <c r="AD23" i="18"/>
  <c r="H21" i="17"/>
  <c r="AD21" i="17" s="1"/>
  <c r="AD24" i="17"/>
  <c r="AD25" i="18"/>
  <c r="AD23" i="17"/>
  <c r="G22" i="17"/>
  <c r="F19" i="18"/>
  <c r="H17" i="18"/>
  <c r="H19" i="18"/>
  <c r="AD19" i="18" s="1"/>
  <c r="H15" i="18"/>
  <c r="AD15" i="18" s="1"/>
  <c r="F15" i="18"/>
  <c r="F17" i="18"/>
  <c r="AD14" i="18"/>
  <c r="F16" i="17"/>
  <c r="H16" i="17"/>
  <c r="AD16" i="17" s="1"/>
  <c r="X8" i="18"/>
  <c r="AC8" i="18"/>
  <c r="G13" i="17"/>
  <c r="H13" i="17"/>
  <c r="F14" i="17"/>
  <c r="H14" i="17"/>
  <c r="AD14" i="17" s="1"/>
  <c r="AC3" i="18"/>
  <c r="AC4" i="18"/>
  <c r="H22" i="17"/>
  <c r="F22" i="17"/>
  <c r="AD17" i="17"/>
  <c r="H15" i="17"/>
  <c r="AD15" i="17" s="1"/>
  <c r="F15" i="17"/>
  <c r="AD20" i="17"/>
  <c r="AD25" i="17"/>
  <c r="AD12" i="17"/>
  <c r="AD18" i="17"/>
  <c r="F11" i="18"/>
  <c r="H11" i="18"/>
  <c r="G11" i="18"/>
  <c r="AD22" i="18"/>
  <c r="X4" i="18"/>
  <c r="AD12" i="18"/>
  <c r="E4" i="18"/>
  <c r="E5" i="18"/>
  <c r="E6" i="18"/>
  <c r="E3" i="18"/>
  <c r="E10" i="18"/>
  <c r="E8" i="18"/>
  <c r="E9" i="18"/>
  <c r="X3" i="18"/>
  <c r="E5" i="17"/>
  <c r="H5" i="17" s="1"/>
  <c r="E4" i="17"/>
  <c r="E10" i="17"/>
  <c r="K6" i="17"/>
  <c r="E7" i="17"/>
  <c r="E6" i="17"/>
  <c r="K4" i="17"/>
  <c r="E3" i="17"/>
  <c r="K9" i="17"/>
  <c r="K8" i="17"/>
  <c r="K10" i="17"/>
  <c r="E9" i="17"/>
  <c r="E8" i="17"/>
  <c r="K3" i="17"/>
  <c r="E2" i="17"/>
  <c r="X2" i="17"/>
  <c r="P2" i="17"/>
  <c r="K2" i="17"/>
  <c r="X5" i="18"/>
  <c r="P8" i="18"/>
  <c r="K8" i="18"/>
  <c r="AC6" i="18"/>
  <c r="X6" i="18"/>
  <c r="K6" i="18"/>
  <c r="P6" i="18"/>
  <c r="P4" i="18"/>
  <c r="K4" i="18"/>
  <c r="K2" i="18"/>
  <c r="P2" i="18"/>
  <c r="K10" i="18"/>
  <c r="P10" i="18"/>
  <c r="P9" i="18"/>
  <c r="K9" i="18"/>
  <c r="X9" i="18"/>
  <c r="AC9" i="18"/>
  <c r="K5" i="18"/>
  <c r="P5" i="18"/>
  <c r="X10" i="18"/>
  <c r="AC10" i="18"/>
  <c r="K3" i="18"/>
  <c r="P3" i="18"/>
  <c r="X2" i="18"/>
  <c r="AC2" i="18"/>
  <c r="E2" i="18"/>
  <c r="AD17" i="18" l="1"/>
  <c r="AD22" i="17"/>
  <c r="G5" i="18"/>
  <c r="G3" i="18"/>
  <c r="AD13" i="17"/>
  <c r="G8" i="18"/>
  <c r="AD11" i="18"/>
  <c r="F3" i="18"/>
  <c r="H3" i="18"/>
  <c r="F8" i="18"/>
  <c r="H8" i="18"/>
  <c r="G5" i="17"/>
  <c r="AD5" i="17" s="1"/>
  <c r="F5" i="17"/>
  <c r="F6" i="17"/>
  <c r="G6" i="17"/>
  <c r="H6" i="17"/>
  <c r="F7" i="17"/>
  <c r="G7" i="17"/>
  <c r="H7" i="17"/>
  <c r="H9" i="17"/>
  <c r="F9" i="17"/>
  <c r="G9" i="17"/>
  <c r="F8" i="17"/>
  <c r="G8" i="17"/>
  <c r="H8" i="17"/>
  <c r="F3" i="17"/>
  <c r="G3" i="17"/>
  <c r="H3" i="17"/>
  <c r="G10" i="17"/>
  <c r="H10" i="17"/>
  <c r="F10" i="17"/>
  <c r="F4" i="17"/>
  <c r="G4" i="17"/>
  <c r="H4" i="17"/>
  <c r="G2" i="17"/>
  <c r="F2" i="17"/>
  <c r="H2" i="17"/>
  <c r="F5" i="18"/>
  <c r="H5" i="18"/>
  <c r="F2" i="18"/>
  <c r="G2" i="18"/>
  <c r="H2" i="18"/>
  <c r="G9" i="18"/>
  <c r="F9" i="18"/>
  <c r="H9" i="18"/>
  <c r="F10" i="18"/>
  <c r="H10" i="18"/>
  <c r="G10" i="18"/>
  <c r="F6" i="18"/>
  <c r="H6" i="18"/>
  <c r="G6" i="18"/>
  <c r="H4" i="18"/>
  <c r="G4" i="18"/>
  <c r="F4" i="18"/>
  <c r="AD5" i="18" l="1"/>
  <c r="AD3" i="18"/>
  <c r="AD8" i="18"/>
  <c r="AD8" i="17"/>
  <c r="AD4" i="17"/>
  <c r="AD6" i="17"/>
  <c r="AD10" i="17"/>
  <c r="AD3" i="17"/>
  <c r="AD9" i="17"/>
  <c r="AD7" i="17"/>
  <c r="AD2" i="17"/>
  <c r="AD4" i="18"/>
  <c r="AD9" i="18"/>
  <c r="AD2" i="18"/>
  <c r="AD6" i="18"/>
  <c r="AD10" i="18"/>
  <c r="B7" i="18"/>
  <c r="I7" i="18" s="1"/>
  <c r="L7" i="18" l="1"/>
  <c r="U7" i="18"/>
  <c r="N7" i="18"/>
  <c r="Z7" i="18"/>
  <c r="S7" i="18"/>
  <c r="AE7" i="18"/>
  <c r="T7" i="18"/>
  <c r="AA7" i="18"/>
  <c r="J7" i="18"/>
  <c r="Y7" i="18"/>
  <c r="O7" i="18"/>
  <c r="V7" i="18"/>
  <c r="AB7" i="18"/>
  <c r="Q7" i="18"/>
  <c r="R7" i="18"/>
  <c r="D7" i="18"/>
  <c r="W7" i="18"/>
  <c r="C7" i="18"/>
  <c r="M7" i="18"/>
  <c r="E7" i="18" l="1"/>
  <c r="F7" i="18" s="1"/>
  <c r="AC7" i="18"/>
  <c r="X7" i="18"/>
  <c r="P7" i="18"/>
  <c r="K7" i="18"/>
  <c r="H7" i="18" l="1"/>
  <c r="G7" i="18"/>
  <c r="B20" i="15"/>
  <c r="B24" i="15"/>
  <c r="B16" i="15"/>
  <c r="B32" i="15" l="1"/>
  <c r="C32" i="15" s="1"/>
  <c r="AD7" i="18"/>
  <c r="B33" i="15"/>
  <c r="C33" i="15" s="1"/>
  <c r="B30" i="15"/>
  <c r="C30" i="15" s="1"/>
  <c r="B28" i="15"/>
  <c r="C28" i="15" s="1"/>
  <c r="B35" i="15"/>
  <c r="C35" i="15" s="1"/>
  <c r="B29" i="15"/>
  <c r="C29" i="15" s="1"/>
  <c r="B36" i="15"/>
  <c r="C36" i="15" s="1"/>
  <c r="B34" i="15"/>
  <c r="C34" i="15" s="1"/>
  <c r="B31" i="15"/>
  <c r="C31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長打率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細明體"/>
            <family val="3"/>
            <charset val="136"/>
          </rPr>
          <t>上壘率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長打率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細明體"/>
            <family val="3"/>
            <charset val="136"/>
          </rPr>
          <t>上壘率</t>
        </r>
      </text>
    </comment>
  </commentList>
</comments>
</file>

<file path=xl/sharedStrings.xml><?xml version="1.0" encoding="utf-8"?>
<sst xmlns="http://schemas.openxmlformats.org/spreadsheetml/2006/main" count="4769" uniqueCount="739">
  <si>
    <t>打者</t>
    <phoneticPr fontId="1" type="noConversion"/>
  </si>
  <si>
    <t>好壞球</t>
    <phoneticPr fontId="1" type="noConversion"/>
  </si>
  <si>
    <t>球種</t>
    <phoneticPr fontId="1" type="noConversion"/>
  </si>
  <si>
    <t>投手</t>
    <phoneticPr fontId="1" type="noConversion"/>
  </si>
  <si>
    <t>L/R</t>
    <phoneticPr fontId="1" type="noConversion"/>
  </si>
  <si>
    <t>背號</t>
    <phoneticPr fontId="1" type="noConversion"/>
  </si>
  <si>
    <t>球速</t>
    <phoneticPr fontId="1" type="noConversion"/>
  </si>
  <si>
    <t>投打習慣</t>
    <phoneticPr fontId="1" type="noConversion"/>
  </si>
  <si>
    <t>IF</t>
    <phoneticPr fontId="1" type="noConversion"/>
  </si>
  <si>
    <t>OF</t>
    <phoneticPr fontId="1" type="noConversion"/>
  </si>
  <si>
    <t>P</t>
    <phoneticPr fontId="1" type="noConversion"/>
  </si>
  <si>
    <t>C</t>
    <phoneticPr fontId="1" type="noConversion"/>
  </si>
  <si>
    <t>　</t>
    <phoneticPr fontId="1" type="noConversion"/>
  </si>
  <si>
    <t>L/L</t>
    <phoneticPr fontId="1" type="noConversion"/>
  </si>
  <si>
    <t>R/R</t>
    <phoneticPr fontId="1" type="noConversion"/>
  </si>
  <si>
    <t>R/L</t>
    <phoneticPr fontId="1" type="noConversion"/>
  </si>
  <si>
    <t>L/S</t>
    <phoneticPr fontId="1" type="noConversion"/>
  </si>
  <si>
    <t>R/S</t>
    <phoneticPr fontId="1" type="noConversion"/>
  </si>
  <si>
    <t>S/L</t>
    <phoneticPr fontId="1" type="noConversion"/>
  </si>
  <si>
    <t>S/R</t>
    <phoneticPr fontId="1" type="noConversion"/>
  </si>
  <si>
    <t>S/S</t>
    <phoneticPr fontId="1" type="noConversion"/>
  </si>
  <si>
    <t>守備</t>
    <phoneticPr fontId="1" type="noConversion"/>
  </si>
  <si>
    <t>守備位置</t>
    <phoneticPr fontId="1" type="noConversion"/>
  </si>
  <si>
    <t>S</t>
    <phoneticPr fontId="1" type="noConversion"/>
  </si>
  <si>
    <t>B</t>
    <phoneticPr fontId="1" type="noConversion"/>
  </si>
  <si>
    <t>R</t>
    <phoneticPr fontId="1" type="noConversion"/>
  </si>
  <si>
    <t>H</t>
    <phoneticPr fontId="1" type="noConversion"/>
  </si>
  <si>
    <t>E</t>
    <phoneticPr fontId="1" type="noConversion"/>
  </si>
  <si>
    <t>客隊</t>
    <phoneticPr fontId="1" type="noConversion"/>
  </si>
  <si>
    <t>主隊</t>
    <phoneticPr fontId="1" type="noConversion"/>
  </si>
  <si>
    <t>球員</t>
    <phoneticPr fontId="1" type="noConversion"/>
  </si>
  <si>
    <t>高飛犧牲打SF</t>
    <phoneticPr fontId="1" type="noConversion"/>
  </si>
  <si>
    <t>出賽數G</t>
    <phoneticPr fontId="1" type="noConversion"/>
  </si>
  <si>
    <t>打席PA</t>
    <phoneticPr fontId="1" type="noConversion"/>
  </si>
  <si>
    <t>打數AB</t>
    <phoneticPr fontId="1" type="noConversion"/>
  </si>
  <si>
    <t>打點RBI</t>
    <phoneticPr fontId="1" type="noConversion"/>
  </si>
  <si>
    <t>得分R</t>
    <phoneticPr fontId="1" type="noConversion"/>
  </si>
  <si>
    <t>安打H</t>
    <phoneticPr fontId="1" type="noConversion"/>
  </si>
  <si>
    <t>全壘打HR</t>
    <phoneticPr fontId="1" type="noConversion"/>
  </si>
  <si>
    <t>壘打數TB</t>
    <phoneticPr fontId="1" type="noConversion"/>
  </si>
  <si>
    <t>雙殺打GIDP</t>
    <phoneticPr fontId="1" type="noConversion"/>
  </si>
  <si>
    <t>四壞球BB</t>
    <phoneticPr fontId="1" type="noConversion"/>
  </si>
  <si>
    <t>死球HBP</t>
    <phoneticPr fontId="1" type="noConversion"/>
  </si>
  <si>
    <t>三振SO</t>
    <phoneticPr fontId="1" type="noConversion"/>
  </si>
  <si>
    <t>盜壘SB</t>
    <phoneticPr fontId="1" type="noConversion"/>
  </si>
  <si>
    <t>盜壘刺CS</t>
    <phoneticPr fontId="1" type="noConversion"/>
  </si>
  <si>
    <t>殘壘LOB</t>
    <phoneticPr fontId="1" type="noConversion"/>
  </si>
  <si>
    <t>盜壘率SB%</t>
    <phoneticPr fontId="1" type="noConversion"/>
  </si>
  <si>
    <t>滾地出局GO</t>
    <phoneticPr fontId="1" type="noConversion"/>
  </si>
  <si>
    <t>滾飛出局比G/F</t>
    <phoneticPr fontId="1" type="noConversion"/>
  </si>
  <si>
    <t>打擊率AVG</t>
    <phoneticPr fontId="1" type="noConversion"/>
  </si>
  <si>
    <t>長打率SLG</t>
    <phoneticPr fontId="1" type="noConversion"/>
  </si>
  <si>
    <t>球員</t>
    <phoneticPr fontId="1" type="noConversion"/>
  </si>
  <si>
    <t>勝W</t>
    <phoneticPr fontId="1" type="noConversion"/>
  </si>
  <si>
    <t>敗L</t>
    <phoneticPr fontId="1" type="noConversion"/>
  </si>
  <si>
    <t>局數IP</t>
    <phoneticPr fontId="1" type="noConversion"/>
  </si>
  <si>
    <t>故意四壞IBB</t>
    <phoneticPr fontId="1" type="noConversion"/>
  </si>
  <si>
    <t>四壞BB</t>
    <phoneticPr fontId="1" type="noConversion"/>
  </si>
  <si>
    <t>死球HBP</t>
    <phoneticPr fontId="1" type="noConversion"/>
  </si>
  <si>
    <t>三振SO</t>
    <phoneticPr fontId="1" type="noConversion"/>
  </si>
  <si>
    <t>暴投WP</t>
    <phoneticPr fontId="1" type="noConversion"/>
  </si>
  <si>
    <t>犯規BK</t>
    <phoneticPr fontId="1" type="noConversion"/>
  </si>
  <si>
    <t>失分R</t>
    <phoneticPr fontId="1" type="noConversion"/>
  </si>
  <si>
    <t>自責分ER</t>
    <phoneticPr fontId="1" type="noConversion"/>
  </si>
  <si>
    <t>飛球出局AO</t>
    <phoneticPr fontId="1" type="noConversion"/>
  </si>
  <si>
    <t>犧牲短打SAC</t>
    <phoneticPr fontId="1" type="noConversion"/>
  </si>
  <si>
    <t>高飛犧牲打SF</t>
    <phoneticPr fontId="1" type="noConversion"/>
  </si>
  <si>
    <t>整體攻擊指數(OPS)</t>
    <phoneticPr fontId="1" type="noConversion"/>
  </si>
  <si>
    <t>上壘率OBP</t>
    <phoneticPr fontId="1" type="noConversion"/>
  </si>
  <si>
    <t>O</t>
    <phoneticPr fontId="1" type="noConversion"/>
  </si>
  <si>
    <t>總球數</t>
    <phoneticPr fontId="1" type="noConversion"/>
  </si>
  <si>
    <t>主隊得分</t>
    <phoneticPr fontId="1" type="noConversion"/>
  </si>
  <si>
    <t>客隊得分</t>
    <phoneticPr fontId="1" type="noConversion"/>
  </si>
  <si>
    <t>捕手</t>
    <phoneticPr fontId="1" type="noConversion"/>
  </si>
  <si>
    <t>投手球數</t>
    <phoneticPr fontId="1" type="noConversion"/>
  </si>
  <si>
    <t>好球數</t>
    <phoneticPr fontId="1" type="noConversion"/>
  </si>
  <si>
    <t>壞球數</t>
    <phoneticPr fontId="1" type="noConversion"/>
  </si>
  <si>
    <t>出局數</t>
    <phoneticPr fontId="1" type="noConversion"/>
  </si>
  <si>
    <t>揮棒</t>
    <phoneticPr fontId="1" type="noConversion"/>
  </si>
  <si>
    <t>進壘點X</t>
    <phoneticPr fontId="1" type="noConversion"/>
  </si>
  <si>
    <t>進壘點Y</t>
    <phoneticPr fontId="1" type="noConversion"/>
  </si>
  <si>
    <t>結果</t>
    <phoneticPr fontId="1" type="noConversion"/>
  </si>
  <si>
    <t>打擊落點X</t>
    <phoneticPr fontId="1" type="noConversion"/>
  </si>
  <si>
    <t>打擊落點Y</t>
    <phoneticPr fontId="1" type="noConversion"/>
  </si>
  <si>
    <t>一接</t>
    <phoneticPr fontId="1" type="noConversion"/>
  </si>
  <si>
    <t>二接</t>
    <phoneticPr fontId="1" type="noConversion"/>
  </si>
  <si>
    <t>三接</t>
    <phoneticPr fontId="1" type="noConversion"/>
  </si>
  <si>
    <t>四接</t>
    <phoneticPr fontId="1" type="noConversion"/>
  </si>
  <si>
    <t>傳失誤</t>
    <phoneticPr fontId="1" type="noConversion"/>
  </si>
  <si>
    <t>接失誤</t>
    <phoneticPr fontId="1" type="noConversion"/>
  </si>
  <si>
    <t>事件</t>
    <phoneticPr fontId="1" type="noConversion"/>
  </si>
  <si>
    <t>一壘跑者</t>
    <phoneticPr fontId="1" type="noConversion"/>
  </si>
  <si>
    <t>二壘跑者</t>
    <phoneticPr fontId="1" type="noConversion"/>
  </si>
  <si>
    <t>三壘跑者</t>
    <phoneticPr fontId="1" type="noConversion"/>
  </si>
  <si>
    <t>得分者</t>
    <phoneticPr fontId="1" type="noConversion"/>
  </si>
  <si>
    <t>自責分</t>
    <phoneticPr fontId="1" type="noConversion"/>
  </si>
  <si>
    <t>一出局</t>
    <phoneticPr fontId="1" type="noConversion"/>
  </si>
  <si>
    <t>二出局</t>
    <phoneticPr fontId="1" type="noConversion"/>
  </si>
  <si>
    <t>三出局</t>
    <phoneticPr fontId="1" type="noConversion"/>
  </si>
  <si>
    <t>本一時間</t>
    <phoneticPr fontId="1" type="noConversion"/>
  </si>
  <si>
    <t>失誤</t>
    <phoneticPr fontId="1" type="noConversion"/>
  </si>
  <si>
    <t>安打</t>
    <phoneticPr fontId="1" type="noConversion"/>
  </si>
  <si>
    <t>球隊名稱(中)</t>
    <phoneticPr fontId="1" type="noConversion"/>
  </si>
  <si>
    <t>球隊名稱(英)</t>
    <phoneticPr fontId="1" type="noConversion"/>
  </si>
  <si>
    <t>時間(年)</t>
    <phoneticPr fontId="1" type="noConversion"/>
  </si>
  <si>
    <t>台中</t>
  </si>
  <si>
    <t>Taichung</t>
  </si>
  <si>
    <t>局數</t>
    <phoneticPr fontId="1" type="noConversion"/>
  </si>
  <si>
    <t>壞球</t>
    <phoneticPr fontId="1" type="noConversion"/>
  </si>
  <si>
    <t>好球</t>
    <phoneticPr fontId="1" type="noConversion"/>
  </si>
  <si>
    <t>打席</t>
    <phoneticPr fontId="1" type="noConversion"/>
  </si>
  <si>
    <t>背號</t>
    <phoneticPr fontId="1" type="noConversion"/>
  </si>
  <si>
    <t>一安</t>
    <phoneticPr fontId="1" type="noConversion"/>
  </si>
  <si>
    <t>二安</t>
    <phoneticPr fontId="1" type="noConversion"/>
  </si>
  <si>
    <t>三安</t>
    <phoneticPr fontId="1" type="noConversion"/>
  </si>
  <si>
    <t>犧牲觸擊SH</t>
    <phoneticPr fontId="1" type="noConversion"/>
  </si>
  <si>
    <t>妨礙打擊</t>
    <phoneticPr fontId="1" type="noConversion"/>
  </si>
  <si>
    <t>盜二成功</t>
    <phoneticPr fontId="1" type="noConversion"/>
  </si>
  <si>
    <t>盜二成功</t>
    <phoneticPr fontId="1" type="noConversion"/>
  </si>
  <si>
    <t>盜三成功</t>
    <phoneticPr fontId="1" type="noConversion"/>
  </si>
  <si>
    <t>盜本成功</t>
    <phoneticPr fontId="1" type="noConversion"/>
  </si>
  <si>
    <t>出局者</t>
    <phoneticPr fontId="1" type="noConversion"/>
  </si>
  <si>
    <t>雙殺打GDP</t>
    <phoneticPr fontId="1" type="noConversion"/>
  </si>
  <si>
    <t>先發</t>
    <phoneticPr fontId="1" type="noConversion"/>
  </si>
  <si>
    <t>救援</t>
    <phoneticPr fontId="1" type="noConversion"/>
  </si>
  <si>
    <t>出賽</t>
    <phoneticPr fontId="1" type="noConversion"/>
  </si>
  <si>
    <t>打點</t>
    <phoneticPr fontId="1" type="noConversion"/>
  </si>
  <si>
    <t>打擊順序</t>
    <phoneticPr fontId="1" type="noConversion"/>
  </si>
  <si>
    <t>P</t>
    <phoneticPr fontId="1" type="noConversion"/>
  </si>
  <si>
    <t>比賽地點:</t>
    <phoneticPr fontId="1" type="noConversion"/>
  </si>
  <si>
    <t>主審:</t>
    <phoneticPr fontId="1" type="noConversion"/>
  </si>
  <si>
    <t>左線審:</t>
    <phoneticPr fontId="1" type="noConversion"/>
  </si>
  <si>
    <t>防禦率</t>
    <phoneticPr fontId="1" type="noConversion"/>
  </si>
  <si>
    <t>每局被上壘率</t>
    <phoneticPr fontId="1" type="noConversion"/>
  </si>
  <si>
    <t>完投</t>
    <phoneticPr fontId="1" type="noConversion"/>
  </si>
  <si>
    <t>完封</t>
    <phoneticPr fontId="1" type="noConversion"/>
  </si>
  <si>
    <t>中繼點</t>
    <phoneticPr fontId="1" type="noConversion"/>
  </si>
  <si>
    <t>救援成功</t>
    <phoneticPr fontId="1" type="noConversion"/>
  </si>
  <si>
    <t>救援失敗</t>
    <phoneticPr fontId="1" type="noConversion"/>
  </si>
  <si>
    <t>投球數</t>
    <phoneticPr fontId="1" type="noConversion"/>
  </si>
  <si>
    <t>打席數</t>
    <phoneticPr fontId="1" type="noConversion"/>
  </si>
  <si>
    <t>解決人次</t>
    <phoneticPr fontId="1" type="noConversion"/>
  </si>
  <si>
    <t>出局</t>
    <phoneticPr fontId="1" type="noConversion"/>
  </si>
  <si>
    <t>現在時間</t>
    <phoneticPr fontId="1" type="noConversion"/>
  </si>
  <si>
    <t>第一球時間</t>
    <phoneticPr fontId="1" type="noConversion"/>
  </si>
  <si>
    <t>playtime</t>
    <phoneticPr fontId="1" type="noConversion"/>
  </si>
  <si>
    <t>影片連結</t>
    <phoneticPr fontId="1" type="noConversion"/>
  </si>
  <si>
    <t>S,B</t>
    <phoneticPr fontId="1" type="noConversion"/>
  </si>
  <si>
    <t>影片連結</t>
    <phoneticPr fontId="1" type="noConversion"/>
  </si>
  <si>
    <t>第一球開始時間(秒):</t>
    <phoneticPr fontId="1" type="noConversion"/>
  </si>
  <si>
    <t>影片連結(請再F10輸入):</t>
    <phoneticPr fontId="1" type="noConversion"/>
  </si>
  <si>
    <t>主隊</t>
    <phoneticPr fontId="1" type="noConversion"/>
  </si>
  <si>
    <t>名字</t>
    <phoneticPr fontId="1" type="noConversion"/>
  </si>
  <si>
    <t>VLC路徑(請再F6輸入):</t>
    <phoneticPr fontId="1" type="noConversion"/>
  </si>
  <si>
    <t>前好球</t>
    <phoneticPr fontId="1" type="noConversion"/>
  </si>
  <si>
    <t>前壞球</t>
    <phoneticPr fontId="1" type="noConversion"/>
  </si>
  <si>
    <t>羅華韋</t>
  </si>
  <si>
    <t>林瑋恩</t>
  </si>
  <si>
    <t>吳宗峻</t>
  </si>
  <si>
    <t>主隊:</t>
    <phoneticPr fontId="1" type="noConversion"/>
  </si>
  <si>
    <t>盃賽名稱:</t>
    <phoneticPr fontId="1" type="noConversion"/>
  </si>
  <si>
    <t>場次:</t>
    <phoneticPr fontId="1" type="noConversion"/>
  </si>
  <si>
    <t>客隊:</t>
    <phoneticPr fontId="1" type="noConversion"/>
  </si>
  <si>
    <t>名字</t>
    <phoneticPr fontId="1" type="noConversion"/>
  </si>
  <si>
    <t>打擊順序</t>
    <phoneticPr fontId="1" type="noConversion"/>
  </si>
  <si>
    <t>比賽日期:</t>
    <phoneticPr fontId="1" type="noConversion"/>
  </si>
  <si>
    <t>背號</t>
    <phoneticPr fontId="1" type="noConversion"/>
  </si>
  <si>
    <t>比賽時間:</t>
    <phoneticPr fontId="1" type="noConversion"/>
  </si>
  <si>
    <t>一壘審:</t>
    <phoneticPr fontId="1" type="noConversion"/>
  </si>
  <si>
    <t>二壘審:</t>
    <phoneticPr fontId="1" type="noConversion"/>
  </si>
  <si>
    <t>三壘審:</t>
    <phoneticPr fontId="1" type="noConversion"/>
  </si>
  <si>
    <t>右線審:</t>
    <phoneticPr fontId="1" type="noConversion"/>
  </si>
  <si>
    <t>名字</t>
    <phoneticPr fontId="1" type="noConversion"/>
  </si>
  <si>
    <t>P</t>
    <phoneticPr fontId="1" type="noConversion"/>
  </si>
  <si>
    <t>序號</t>
    <phoneticPr fontId="1" type="noConversion"/>
  </si>
  <si>
    <t>序號</t>
    <phoneticPr fontId="1" type="noConversion"/>
  </si>
  <si>
    <t>棒次</t>
    <phoneticPr fontId="1" type="noConversion"/>
  </si>
  <si>
    <t>P</t>
    <phoneticPr fontId="1" type="noConversion"/>
  </si>
  <si>
    <t>劉家愷</t>
  </si>
  <si>
    <t>林政賢</t>
  </si>
  <si>
    <t>吳睿勝</t>
  </si>
  <si>
    <t>C:\Users\JH\Downloads\C0068.MP4</t>
    <phoneticPr fontId="1" type="noConversion"/>
  </si>
  <si>
    <t>3</t>
    <phoneticPr fontId="1" type="noConversion"/>
  </si>
  <si>
    <t>Mark In</t>
    <phoneticPr fontId="1" type="noConversion"/>
  </si>
  <si>
    <t>日期</t>
    <phoneticPr fontId="1" type="noConversion"/>
  </si>
  <si>
    <t>進壘位置</t>
    <phoneticPr fontId="1" type="noConversion"/>
  </si>
  <si>
    <t>Count</t>
    <phoneticPr fontId="1" type="noConversion"/>
  </si>
  <si>
    <t>投手用手</t>
    <phoneticPr fontId="1" type="noConversion"/>
  </si>
  <si>
    <t>打者用手</t>
    <phoneticPr fontId="1" type="noConversion"/>
  </si>
  <si>
    <t>在壘與出局</t>
    <phoneticPr fontId="1" type="noConversion"/>
  </si>
  <si>
    <t>滾飛平</t>
    <phoneticPr fontId="1" type="noConversion"/>
  </si>
  <si>
    <t>強中弱</t>
    <phoneticPr fontId="1" type="noConversion"/>
  </si>
  <si>
    <t>Clip_ID</t>
    <phoneticPr fontId="1" type="noConversion"/>
  </si>
  <si>
    <t>Cam1</t>
    <phoneticPr fontId="1" type="noConversion"/>
  </si>
  <si>
    <t>Cam2</t>
  </si>
  <si>
    <t>Cam3</t>
  </si>
  <si>
    <t>Cam4</t>
  </si>
  <si>
    <t>Cam5</t>
  </si>
  <si>
    <t>Cam6</t>
  </si>
  <si>
    <t>*僅限讀取專屬TXT檔案與格式</t>
    <phoneticPr fontId="1" type="noConversion"/>
  </si>
  <si>
    <t>Kzone紀錄檔案名稱與副檔名:</t>
    <phoneticPr fontId="1" type="noConversion"/>
  </si>
  <si>
    <t>Kzone_Log.txt檔案所在之資料夾路徑:</t>
    <phoneticPr fontId="1" type="noConversion"/>
  </si>
  <si>
    <t>*請先安裝VLC於預設安裝位置</t>
    <phoneticPr fontId="1" type="noConversion"/>
  </si>
  <si>
    <t>C:\Program Files\VideoLAN\VLC\vlc.exe</t>
    <phoneticPr fontId="1" type="noConversion"/>
  </si>
  <si>
    <t>投手高速攝影檔案資料夾路徑:</t>
    <phoneticPr fontId="1" type="noConversion"/>
  </si>
  <si>
    <t>打者高速攝影檔案資料夾路徑:</t>
    <phoneticPr fontId="1" type="noConversion"/>
  </si>
  <si>
    <t>LastLog.txt</t>
    <phoneticPr fontId="1" type="noConversion"/>
  </si>
  <si>
    <t>PitcherVidID</t>
    <phoneticPr fontId="1" type="noConversion"/>
  </si>
  <si>
    <t>reverseY</t>
    <phoneticPr fontId="1" type="noConversion"/>
  </si>
  <si>
    <t>reverseLandingY</t>
    <phoneticPr fontId="1" type="noConversion"/>
  </si>
  <si>
    <t>Delay Seconds</t>
    <phoneticPr fontId="1" type="noConversion"/>
  </si>
  <si>
    <t>Seconds</t>
    <phoneticPr fontId="1" type="noConversion"/>
  </si>
  <si>
    <t>Cam7</t>
    <phoneticPr fontId="1" type="noConversion"/>
  </si>
  <si>
    <t>Cam8</t>
    <phoneticPr fontId="1" type="noConversion"/>
  </si>
  <si>
    <t>ExitVelo</t>
    <phoneticPr fontId="1" type="noConversion"/>
  </si>
  <si>
    <t>LaunchAngle</t>
    <phoneticPr fontId="1" type="noConversion"/>
  </si>
  <si>
    <t>Direction</t>
    <phoneticPr fontId="1" type="noConversion"/>
  </si>
  <si>
    <t>\\25.53.180.245\KzoneVideo\0927_1612_12</t>
    <phoneticPr fontId="1" type="noConversion"/>
  </si>
  <si>
    <t>失分</t>
    <phoneticPr fontId="1" type="noConversion"/>
  </si>
  <si>
    <t>失分</t>
    <phoneticPr fontId="1" type="noConversion"/>
  </si>
  <si>
    <t>BO</t>
    <phoneticPr fontId="1" type="noConversion"/>
  </si>
  <si>
    <t>BO</t>
    <phoneticPr fontId="1" type="noConversion"/>
  </si>
  <si>
    <t>名字</t>
    <phoneticPr fontId="1" type="noConversion"/>
  </si>
  <si>
    <t>R/L</t>
    <phoneticPr fontId="1" type="noConversion"/>
  </si>
  <si>
    <t>客隊</t>
    <phoneticPr fontId="1" type="noConversion"/>
  </si>
  <si>
    <t>背號</t>
    <phoneticPr fontId="1" type="noConversion"/>
  </si>
  <si>
    <t>林孝程</t>
  </si>
  <si>
    <t>兄弟陳偉漢</t>
  </si>
  <si>
    <t>郭天信</t>
  </si>
  <si>
    <t>兄弟黃稚峰</t>
  </si>
  <si>
    <t>森榮鴻</t>
  </si>
  <si>
    <t>兄弟潘志芳</t>
  </si>
  <si>
    <t>黃柏豪</t>
  </si>
  <si>
    <t>兄弟吳蔚驊</t>
  </si>
  <si>
    <t>劉宇鈞</t>
  </si>
  <si>
    <t>兄弟林明杰</t>
  </si>
  <si>
    <t>郭郁政</t>
  </si>
  <si>
    <t>兄弟王政順</t>
  </si>
  <si>
    <t>羅嘉仁</t>
  </si>
  <si>
    <t>兄弟王勝偉</t>
  </si>
  <si>
    <t>李凱威</t>
  </si>
  <si>
    <t>兄弟黃鈞聲</t>
  </si>
  <si>
    <t>張政禹</t>
  </si>
  <si>
    <t>兄弟杜家明</t>
  </si>
  <si>
    <t>林旺衛</t>
  </si>
  <si>
    <t>陳良志</t>
  </si>
  <si>
    <t>兄弟張凱倫</t>
  </si>
  <si>
    <t>曾傳昇</t>
  </si>
  <si>
    <t>兄弟楊子亦</t>
  </si>
  <si>
    <t>張祐銘</t>
  </si>
  <si>
    <t>兄弟王梓安</t>
  </si>
  <si>
    <t>曹維揚</t>
  </si>
  <si>
    <t>兄弟林丞軒</t>
  </si>
  <si>
    <t>呂偉晟</t>
  </si>
  <si>
    <t>兄弟邱品睿</t>
  </si>
  <si>
    <t>廖文揚</t>
  </si>
  <si>
    <t>兄弟李吳永勤</t>
  </si>
  <si>
    <t>劉基鴻</t>
  </si>
  <si>
    <t>兄弟黃弘毅</t>
  </si>
  <si>
    <t>黃東淯</t>
  </si>
  <si>
    <t>兄弟楊達翔</t>
  </si>
  <si>
    <t>朱祥麟</t>
  </si>
  <si>
    <t>兄弟周磊</t>
  </si>
  <si>
    <t>曾陶鎔</t>
  </si>
  <si>
    <t>兄弟王奕凱</t>
  </si>
  <si>
    <t>陳冠偉</t>
  </si>
  <si>
    <t>兄弟陳子豪</t>
  </si>
  <si>
    <t>兄弟林瑞鈞</t>
  </si>
  <si>
    <t>洪瑋漢</t>
  </si>
  <si>
    <t>兄弟邱志恆</t>
  </si>
  <si>
    <t>游宗儒</t>
  </si>
  <si>
    <t>兄弟岳政華</t>
  </si>
  <si>
    <t>主隊先發名單</t>
    <phoneticPr fontId="1" type="noConversion"/>
  </si>
  <si>
    <t>客隊先發名單</t>
    <phoneticPr fontId="1" type="noConversion"/>
  </si>
  <si>
    <t>背號</t>
    <phoneticPr fontId="1" type="noConversion"/>
  </si>
  <si>
    <t>守備位置</t>
    <phoneticPr fontId="1" type="noConversion"/>
  </si>
  <si>
    <t>棒次</t>
    <phoneticPr fontId="1" type="noConversion"/>
  </si>
  <si>
    <t>名字</t>
    <phoneticPr fontId="1" type="noConversion"/>
  </si>
  <si>
    <t>中信兄弟</t>
    <phoneticPr fontId="1" type="noConversion"/>
  </si>
  <si>
    <t>統一7-ELEVEn獅</t>
    <phoneticPr fontId="1" type="noConversion"/>
  </si>
  <si>
    <t>Rakuten Monkeys</t>
    <phoneticPr fontId="1" type="noConversion"/>
  </si>
  <si>
    <t>富邦悍將</t>
    <phoneticPr fontId="1" type="noConversion"/>
  </si>
  <si>
    <t>味全龍</t>
    <phoneticPr fontId="1" type="noConversion"/>
  </si>
  <si>
    <t>兄弟官大元</t>
  </si>
  <si>
    <t>R</t>
    <phoneticPr fontId="1" type="noConversion"/>
  </si>
  <si>
    <t>統一陳韻文</t>
  </si>
  <si>
    <t>R</t>
    <phoneticPr fontId="1" type="noConversion"/>
  </si>
  <si>
    <t>樂天蘇俊璋</t>
  </si>
  <si>
    <t>富邦林晨樺</t>
  </si>
  <si>
    <t>兄弟鄭凱文</t>
  </si>
  <si>
    <t>統一潘威倫</t>
  </si>
  <si>
    <t>樂天陳禹勳</t>
  </si>
  <si>
    <t>富邦江國豪</t>
  </si>
  <si>
    <t>兄弟彭識穎</t>
  </si>
  <si>
    <t>L</t>
    <phoneticPr fontId="1" type="noConversion"/>
  </si>
  <si>
    <t>統一劉軒荅</t>
  </si>
  <si>
    <t>樂天朱俊祥</t>
  </si>
  <si>
    <t>富邦陳鴻文</t>
  </si>
  <si>
    <t>李宇翔</t>
  </si>
  <si>
    <t>兄弟米蘭達</t>
  </si>
  <si>
    <t>L</t>
    <phoneticPr fontId="1" type="noConversion"/>
  </si>
  <si>
    <t>統一泰迪</t>
  </si>
  <si>
    <t>樂天翁瑋均</t>
  </si>
  <si>
    <t>富邦邦威</t>
  </si>
  <si>
    <t>兄弟李振昌</t>
  </si>
  <si>
    <t>統一黃竣彥</t>
  </si>
  <si>
    <t>樂天卡本特</t>
  </si>
  <si>
    <t>富邦羅力</t>
  </si>
  <si>
    <t>歐耀宗</t>
  </si>
  <si>
    <t>兄弟德保拉</t>
  </si>
  <si>
    <t>統一王鏡銘</t>
  </si>
  <si>
    <t>樂天霸能</t>
  </si>
  <si>
    <t>富邦索沙</t>
  </si>
  <si>
    <t>王維中</t>
    <phoneticPr fontId="1" type="noConversion"/>
  </si>
  <si>
    <t>兄弟雷艾斯</t>
  </si>
  <si>
    <t>統一施子謙</t>
  </si>
  <si>
    <t>樂天王溢正</t>
  </si>
  <si>
    <t>富邦賴鴻誠</t>
  </si>
  <si>
    <t>兄弟黃恩賜</t>
  </si>
  <si>
    <t>統一布雷克</t>
  </si>
  <si>
    <t>樂天萬昭清</t>
  </si>
  <si>
    <t>富邦歐書誠</t>
  </si>
  <si>
    <t>徐若熙</t>
  </si>
  <si>
    <t>統一猛威爾</t>
  </si>
  <si>
    <t>樂天黃子鵬</t>
  </si>
  <si>
    <t>富邦王尉永</t>
  </si>
  <si>
    <t>兄弟吳哲源</t>
  </si>
  <si>
    <t>統一鄭鈞仁</t>
  </si>
  <si>
    <t>樂天曼恩</t>
  </si>
  <si>
    <t>富邦吳世豪</t>
  </si>
  <si>
    <t>吳俊杰</t>
  </si>
  <si>
    <t>兄弟吳俊偉</t>
  </si>
  <si>
    <t>統一江承峰</t>
  </si>
  <si>
    <t>樂天林柏佑</t>
  </si>
  <si>
    <t>富邦林羿豪</t>
  </si>
  <si>
    <t>蔡明憲</t>
  </si>
  <si>
    <t>兄弟陳家駒</t>
  </si>
  <si>
    <t>統一林祐樂</t>
  </si>
  <si>
    <t>樂天林泓育</t>
  </si>
  <si>
    <t>富邦林宥穎</t>
  </si>
  <si>
    <t>莊玉彬</t>
  </si>
  <si>
    <t>兄弟高宇杰</t>
  </si>
  <si>
    <t>統一羅暐捷</t>
  </si>
  <si>
    <t>樂天廖健富</t>
  </si>
  <si>
    <t>富邦張進德</t>
  </si>
  <si>
    <t>廖任磊</t>
    <phoneticPr fontId="1" type="noConversion"/>
  </si>
  <si>
    <t>兄弟林智勝</t>
  </si>
  <si>
    <t>統一陳重羽</t>
  </si>
  <si>
    <t>樂天劉時豪</t>
  </si>
  <si>
    <t>富邦戴培峰</t>
  </si>
  <si>
    <t>兄弟王威晨</t>
  </si>
  <si>
    <t>統一高國慶</t>
  </si>
  <si>
    <t>樂天陳俊秀</t>
  </si>
  <si>
    <t>富邦林益全</t>
  </si>
  <si>
    <t>統一潘傑楷</t>
  </si>
  <si>
    <t>樂天朱育賢</t>
  </si>
  <si>
    <t>富邦范國宸</t>
  </si>
  <si>
    <t>統一林靖凱</t>
  </si>
  <si>
    <t>樂天郭嚴文</t>
  </si>
  <si>
    <t>富邦蔣智賢</t>
  </si>
  <si>
    <t>兄弟許基宏</t>
  </si>
  <si>
    <t>統一郭阜林</t>
  </si>
  <si>
    <t>樂天楊瑞承</t>
  </si>
  <si>
    <t>富邦李宗賢</t>
  </si>
  <si>
    <t>呂詠臻</t>
    <phoneticPr fontId="1" type="noConversion"/>
  </si>
  <si>
    <t>兄弟吳東融</t>
  </si>
  <si>
    <t>統一陳鏞基</t>
  </si>
  <si>
    <t>樂天陳晨威</t>
  </si>
  <si>
    <t>富邦辛元旭</t>
  </si>
  <si>
    <t>兄弟江坤宇</t>
  </si>
  <si>
    <t>統一林祖傑</t>
  </si>
  <si>
    <t>樂天林智平</t>
  </si>
  <si>
    <t>富邦陳凱倫</t>
  </si>
  <si>
    <t>趙璟榮</t>
    <phoneticPr fontId="1" type="noConversion"/>
  </si>
  <si>
    <t>兄弟岳東華</t>
  </si>
  <si>
    <t>統一陳重廷</t>
  </si>
  <si>
    <t>樂天林承飛</t>
  </si>
  <si>
    <t>富邦張正偉</t>
  </si>
  <si>
    <t>楊鈺翔</t>
    <phoneticPr fontId="1" type="noConversion"/>
  </si>
  <si>
    <t>兄弟周思齊</t>
  </si>
  <si>
    <t>統一陳傑憲</t>
  </si>
  <si>
    <t>樂天林立</t>
  </si>
  <si>
    <t>富邦高國輝</t>
  </si>
  <si>
    <t>兄弟陳文杰</t>
  </si>
  <si>
    <t>統一蘇智傑</t>
  </si>
  <si>
    <t>樂天余德龍</t>
  </si>
  <si>
    <t>富邦林哲瑄</t>
  </si>
  <si>
    <t>林逸達</t>
    <phoneticPr fontId="1" type="noConversion"/>
  </si>
  <si>
    <t>兄弟張志豪</t>
  </si>
  <si>
    <t>統一唐肇廷</t>
  </si>
  <si>
    <t>樂天詹智堯</t>
  </si>
  <si>
    <t>富邦申皓瑋</t>
  </si>
  <si>
    <t>林旺億</t>
  </si>
  <si>
    <t>統一羅國龍</t>
  </si>
  <si>
    <t>樂天陽耀勳</t>
  </si>
  <si>
    <t>富邦高國麟</t>
  </si>
  <si>
    <t>兄弟詹子賢</t>
  </si>
  <si>
    <t>統一林安可</t>
  </si>
  <si>
    <t>樂天藍寅倫</t>
  </si>
  <si>
    <t>富邦黃亦志</t>
  </si>
  <si>
    <t>統一劉予承</t>
    <phoneticPr fontId="1" type="noConversion"/>
  </si>
  <si>
    <t>樂天洪聖欽</t>
  </si>
  <si>
    <t>富邦張耿豪</t>
  </si>
  <si>
    <t>曾柏融</t>
  </si>
  <si>
    <t>兄弟廖乙忠</t>
  </si>
  <si>
    <t>統一林煜清</t>
  </si>
  <si>
    <t>樂天蘇俊羽</t>
  </si>
  <si>
    <t>富邦郭俊麟</t>
  </si>
  <si>
    <t>兄弟王凱程</t>
  </si>
  <si>
    <t>統一江辰晏</t>
  </si>
  <si>
    <t>樂天林樺慶</t>
  </si>
  <si>
    <t>富邦蔡明晋</t>
  </si>
  <si>
    <t>林子昱</t>
  </si>
  <si>
    <t>兄弟洪宸宇</t>
  </si>
  <si>
    <t>統一林子崴</t>
    <phoneticPr fontId="1" type="noConversion"/>
  </si>
  <si>
    <t>樂天游朝惟</t>
  </si>
  <si>
    <t>富邦藍愷青</t>
  </si>
  <si>
    <t>劉崇聖</t>
    <phoneticPr fontId="1" type="noConversion"/>
  </si>
  <si>
    <t>兄弟江忠城</t>
  </si>
  <si>
    <t>統一古林睿煬</t>
  </si>
  <si>
    <t>樂天江國謙</t>
  </si>
  <si>
    <t>富邦陳韋霖</t>
  </si>
  <si>
    <t>林辰勳</t>
    <phoneticPr fontId="1" type="noConversion"/>
  </si>
  <si>
    <t>統一陳育軒</t>
    <phoneticPr fontId="1" type="noConversion"/>
  </si>
  <si>
    <t>樂天林逸翔</t>
  </si>
  <si>
    <t>富邦倪福德</t>
  </si>
  <si>
    <t>王膺鵬</t>
  </si>
  <si>
    <t>統一郭恆孝</t>
  </si>
  <si>
    <t>樂天曾琦</t>
  </si>
  <si>
    <t>富邦羅國華</t>
  </si>
  <si>
    <t>全浩瑋</t>
  </si>
  <si>
    <t>兄弟王則鈞</t>
  </si>
  <si>
    <t>統一王玉譜</t>
  </si>
  <si>
    <t>樂天葉家淇</t>
  </si>
  <si>
    <t>富邦張竣龍</t>
  </si>
  <si>
    <t>江忠垣</t>
  </si>
  <si>
    <t>兄弟羅傑斯</t>
  </si>
  <si>
    <t>統一李其峰</t>
  </si>
  <si>
    <t>樂天威拉諾</t>
  </si>
  <si>
    <t>富邦林詠翔</t>
  </si>
  <si>
    <t>蔣少宏</t>
    <phoneticPr fontId="1" type="noConversion"/>
  </si>
  <si>
    <t>統一邱浩鈞</t>
  </si>
  <si>
    <t>樂天劉昱言</t>
  </si>
  <si>
    <t>富邦彭璿紘</t>
  </si>
  <si>
    <t>魏全</t>
  </si>
  <si>
    <t>統一傅于剛</t>
  </si>
  <si>
    <t>樂天陳克羿</t>
  </si>
  <si>
    <t>富邦范玉禹</t>
  </si>
  <si>
    <t>牛塏曄</t>
  </si>
  <si>
    <t>兄弟鄭佳彥</t>
  </si>
  <si>
    <t>統一林威志</t>
  </si>
  <si>
    <t>樂天王躍霖</t>
  </si>
  <si>
    <t>富邦李建勳</t>
  </si>
  <si>
    <t>歐晉</t>
  </si>
  <si>
    <t>統一賴泊凱</t>
  </si>
  <si>
    <t>樂天黃偉晟</t>
  </si>
  <si>
    <t>富邦楊程皓</t>
  </si>
  <si>
    <t>兄弟余謙</t>
  </si>
  <si>
    <t>統一林航</t>
  </si>
  <si>
    <t>樂天張明翔</t>
  </si>
  <si>
    <t>富邦陳冠傑</t>
  </si>
  <si>
    <t>林桀晨</t>
  </si>
  <si>
    <t>兄弟蔡齊哲</t>
  </si>
  <si>
    <t>統一林其緯</t>
  </si>
  <si>
    <t>樂天林子崴</t>
  </si>
  <si>
    <t>富邦曾峻岳</t>
  </si>
  <si>
    <t>兄弟劉劭威</t>
  </si>
  <si>
    <t>統一吳承諭</t>
    <phoneticPr fontId="1" type="noConversion"/>
  </si>
  <si>
    <t>樂天李承禎</t>
  </si>
  <si>
    <t>富邦林聖榮</t>
  </si>
  <si>
    <t>統一洪心騏</t>
    <phoneticPr fontId="1" type="noConversion"/>
  </si>
  <si>
    <t>樂天張喜凱</t>
  </si>
  <si>
    <t>富邦朱益生</t>
  </si>
  <si>
    <t>兄弟楊志龍</t>
  </si>
  <si>
    <t>統一方建德</t>
  </si>
  <si>
    <t>樂天王志煊</t>
  </si>
  <si>
    <t>富邦張瑞麟</t>
  </si>
  <si>
    <t>王順和</t>
    <phoneticPr fontId="1" type="noConversion"/>
  </si>
  <si>
    <t>兄弟曾家鋐</t>
  </si>
  <si>
    <t>統一張竣凱</t>
    <phoneticPr fontId="1" type="noConversion"/>
  </si>
  <si>
    <t>樂天林國裕</t>
  </si>
  <si>
    <t>富邦楊彬</t>
  </si>
  <si>
    <t>兄弟陳琥</t>
  </si>
  <si>
    <t>統一李慶隆</t>
    <phoneticPr fontId="1" type="noConversion"/>
  </si>
  <si>
    <t>樂天吳丞哲</t>
  </si>
  <si>
    <t>富邦陳明軒</t>
  </si>
  <si>
    <t>張皓緯</t>
  </si>
  <si>
    <t>兄弟謝榮豪</t>
  </si>
  <si>
    <t>統一姚杰宏</t>
  </si>
  <si>
    <t>樂天莊昕諺</t>
  </si>
  <si>
    <t>富邦葉國情</t>
  </si>
  <si>
    <t>兄弟魏碩成</t>
  </si>
  <si>
    <t>統一林原裕</t>
    <phoneticPr fontId="1" type="noConversion"/>
  </si>
  <si>
    <t>樂天賴智垣</t>
  </si>
  <si>
    <t>富邦游霆崴</t>
  </si>
  <si>
    <t>統一楊淳弼</t>
    <phoneticPr fontId="1" type="noConversion"/>
  </si>
  <si>
    <t>樂天范柏絜</t>
  </si>
  <si>
    <t>富邦陳仕朋</t>
  </si>
  <si>
    <t>兄弟陳柏豪</t>
  </si>
  <si>
    <t>統一郭峻偉</t>
    <phoneticPr fontId="1" type="noConversion"/>
  </si>
  <si>
    <t>樂天何逸龍</t>
  </si>
  <si>
    <t>富邦奇優力</t>
  </si>
  <si>
    <t>林驛騰</t>
  </si>
  <si>
    <t>統一柯育民</t>
  </si>
  <si>
    <t>樂天許峻暘</t>
  </si>
  <si>
    <t>富邦方克偉</t>
  </si>
  <si>
    <t>兄弟宋晟睿</t>
  </si>
  <si>
    <t>統一張肇元</t>
  </si>
  <si>
    <t>樂天許禹壕</t>
  </si>
  <si>
    <t>富邦姚冠瑋</t>
  </si>
  <si>
    <t>兄弟萊福力</t>
  </si>
  <si>
    <t>統一薛种帷</t>
    <phoneticPr fontId="1" type="noConversion"/>
  </si>
  <si>
    <t>樂天嚴宏鈞</t>
  </si>
  <si>
    <t>富邦蕭憶銘</t>
  </si>
  <si>
    <t>統一施冠宇</t>
  </si>
  <si>
    <t>樂天邱家慶</t>
  </si>
  <si>
    <t>富邦林志洋</t>
  </si>
  <si>
    <t>統一鄧志偉</t>
  </si>
  <si>
    <t>樂天楊岱均</t>
  </si>
  <si>
    <t>富邦黃兆維</t>
  </si>
  <si>
    <t>統一何恆佑</t>
  </si>
  <si>
    <t>樂天林大展</t>
  </si>
  <si>
    <t>富邦王詩聰</t>
  </si>
  <si>
    <t>高淮安</t>
  </si>
  <si>
    <t>兄弟張聖豪</t>
  </si>
  <si>
    <t>統一姚雨翔</t>
  </si>
  <si>
    <t>樂天葉竹軒</t>
  </si>
  <si>
    <t>富邦楊晉豪</t>
  </si>
  <si>
    <t>陳震洋</t>
  </si>
  <si>
    <t>兄弟吳明鴻</t>
  </si>
  <si>
    <t>統一黃紹熙</t>
    <phoneticPr fontId="1" type="noConversion"/>
  </si>
  <si>
    <t>樂天馮健庭</t>
  </si>
  <si>
    <t>富邦王正棠</t>
  </si>
  <si>
    <t>兄弟陳子鴻</t>
  </si>
  <si>
    <t>統一吳桀睿</t>
  </si>
  <si>
    <t>樂天梁家榮</t>
  </si>
  <si>
    <t>富邦林威廷</t>
  </si>
  <si>
    <t>兄弟蘇緯達</t>
  </si>
  <si>
    <t>統一林子豪</t>
  </si>
  <si>
    <t>樂天董子浩</t>
  </si>
  <si>
    <t>富邦周奕丞</t>
  </si>
  <si>
    <t>兄弟黃韋盛</t>
  </si>
  <si>
    <t>統一楊家維</t>
  </si>
  <si>
    <t>樂天馬傑森</t>
  </si>
  <si>
    <t>富邦于森旭</t>
  </si>
  <si>
    <t>兄弟張志強</t>
  </si>
  <si>
    <t>統一許哲晏</t>
  </si>
  <si>
    <t>樂天郭永維</t>
  </si>
  <si>
    <t>富邦許宸銘</t>
  </si>
  <si>
    <t>統一黃恩賜</t>
  </si>
  <si>
    <t>樂天張煒謙</t>
  </si>
  <si>
    <t>富邦石翔宇</t>
  </si>
  <si>
    <t>兄弟林吳晉瑋</t>
  </si>
  <si>
    <t>統一蔡奕玄</t>
    <phoneticPr fontId="1" type="noConversion"/>
  </si>
  <si>
    <t>樂天林澤彬</t>
  </si>
  <si>
    <t>富邦胡冠俞</t>
  </si>
  <si>
    <t>統一鄭鎧文</t>
  </si>
  <si>
    <t>樂天吳承運</t>
  </si>
  <si>
    <t>富邦莊韋恩</t>
  </si>
  <si>
    <t>兄弟林志綱</t>
  </si>
  <si>
    <t>統一林勝傑</t>
    <phoneticPr fontId="1" type="noConversion"/>
  </si>
  <si>
    <t>樂天蔡鎮宇</t>
  </si>
  <si>
    <t>富邦胡金龍</t>
  </si>
  <si>
    <t>兄弟馬鋼</t>
  </si>
  <si>
    <t>統一張偉聖</t>
  </si>
  <si>
    <t>樂天林知譽</t>
  </si>
  <si>
    <t>富邦張冠廷</t>
  </si>
  <si>
    <t>統一潘武雄</t>
  </si>
  <si>
    <t>樂天林楷錡</t>
  </si>
  <si>
    <t>富邦曾慈恩</t>
  </si>
  <si>
    <t>統一江亮緯</t>
  </si>
  <si>
    <t>樂天成晉</t>
  </si>
  <si>
    <t>富邦陳真</t>
  </si>
  <si>
    <t>統一李丞齡</t>
  </si>
  <si>
    <t>樂天邱丹</t>
  </si>
  <si>
    <t>富邦林奕豪</t>
  </si>
  <si>
    <t>兄弟曾頌恩</t>
  </si>
  <si>
    <t>統一邱智呈</t>
  </si>
  <si>
    <t>樂天紀品宏</t>
  </si>
  <si>
    <t>富邦陳韋奇</t>
  </si>
  <si>
    <t>兄弟林書逸</t>
  </si>
  <si>
    <t>統一吳國豪</t>
  </si>
  <si>
    <t>樂天林政華</t>
  </si>
  <si>
    <t>富邦高孝儀</t>
  </si>
  <si>
    <t>統一莊駿凱</t>
  </si>
  <si>
    <t>樂天張閔勛</t>
  </si>
  <si>
    <t>富邦張詠漢</t>
  </si>
  <si>
    <t>兄弟劉貴元</t>
  </si>
  <si>
    <t>樂天黃敬瑋</t>
  </si>
  <si>
    <t>富邦戴云真</t>
  </si>
  <si>
    <t>兄弟李聖裕</t>
  </si>
  <si>
    <t>富邦陳品捷</t>
  </si>
  <si>
    <t>All Players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</si>
  <si>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</si>
  <si>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</si>
  <si>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</si>
  <si>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</si>
  <si>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</si>
  <si>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</si>
  <si>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比賽</t>
    <phoneticPr fontId="1" type="noConversion"/>
  </si>
  <si>
    <t>場次</t>
    <phoneticPr fontId="1" type="noConversion"/>
  </si>
  <si>
    <t>主審</t>
    <phoneticPr fontId="1" type="noConversion"/>
  </si>
  <si>
    <t>場地</t>
    <phoneticPr fontId="1" type="noConversion"/>
  </si>
  <si>
    <t>R</t>
    <phoneticPr fontId="16" type="noConversion"/>
  </si>
  <si>
    <t>L</t>
    <phoneticPr fontId="16" type="noConversion"/>
  </si>
  <si>
    <t>樂天賴鴻誠</t>
  </si>
  <si>
    <t>樂天歐飛登</t>
    <phoneticPr fontId="16" type="noConversion"/>
  </si>
  <si>
    <t>樂天豪勁</t>
    <phoneticPr fontId="16" type="noConversion"/>
  </si>
  <si>
    <t>兄弟加百利</t>
    <phoneticPr fontId="16" type="noConversion"/>
  </si>
  <si>
    <t>兄弟羅傑斯</t>
    <phoneticPr fontId="16" type="noConversion"/>
  </si>
  <si>
    <t>樂天</t>
  </si>
  <si>
    <t>樂天歐飛登</t>
  </si>
  <si>
    <t>樂天林立</t>
    <phoneticPr fontId="1" type="noConversion"/>
  </si>
  <si>
    <t>樂天邱丹</t>
    <phoneticPr fontId="1" type="noConversion"/>
  </si>
  <si>
    <t>樂天廖健富</t>
    <phoneticPr fontId="1" type="noConversion"/>
  </si>
  <si>
    <t>樂天朱育賢</t>
    <phoneticPr fontId="1" type="noConversion"/>
  </si>
  <si>
    <t>樂天梁家榮</t>
    <phoneticPr fontId="1" type="noConversion"/>
  </si>
  <si>
    <t>樂天馬傑森</t>
    <phoneticPr fontId="1" type="noConversion"/>
  </si>
  <si>
    <t>樂天林承飛</t>
    <phoneticPr fontId="1" type="noConversion"/>
  </si>
  <si>
    <t>樂天成晉</t>
    <phoneticPr fontId="1" type="noConversion"/>
  </si>
  <si>
    <t>兄弟</t>
  </si>
  <si>
    <t>兄弟加百利</t>
  </si>
  <si>
    <t>兄弟王威晨</t>
    <phoneticPr fontId="1" type="noConversion"/>
  </si>
  <si>
    <t>兄弟江坤宇</t>
    <phoneticPr fontId="1" type="noConversion"/>
  </si>
  <si>
    <t>兄弟陳文杰</t>
    <phoneticPr fontId="1" type="noConversion"/>
  </si>
  <si>
    <t>兄弟陳子豪</t>
    <phoneticPr fontId="1" type="noConversion"/>
  </si>
  <si>
    <t>兄弟詹子賢</t>
    <phoneticPr fontId="1" type="noConversion"/>
  </si>
  <si>
    <t>兄弟林智勝</t>
    <phoneticPr fontId="1" type="noConversion"/>
  </si>
  <si>
    <t>兄弟許基宏</t>
    <phoneticPr fontId="1" type="noConversion"/>
  </si>
  <si>
    <t>兄弟高宇杰</t>
    <phoneticPr fontId="1" type="noConversion"/>
  </si>
  <si>
    <t>兄弟潘志芳</t>
    <phoneticPr fontId="1" type="noConversion"/>
  </si>
  <si>
    <t>一軍例行賽</t>
  </si>
  <si>
    <t>20210817</t>
    <phoneticPr fontId="1" type="noConversion"/>
  </si>
  <si>
    <t>1835</t>
  </si>
  <si>
    <t>桃園</t>
  </si>
  <si>
    <t>王俊宏</t>
  </si>
  <si>
    <t>張展榮</t>
  </si>
  <si>
    <t>蘇建文</t>
  </si>
  <si>
    <t>楊崇輝</t>
  </si>
  <si>
    <t>好球</t>
  </si>
  <si>
    <t>1,0</t>
  </si>
  <si>
    <t>壞球</t>
  </si>
  <si>
    <t>未出棒</t>
  </si>
  <si>
    <t>速球</t>
  </si>
  <si>
    <t>點我播放</t>
  </si>
  <si>
    <t>1,1</t>
  </si>
  <si>
    <t>滑球</t>
  </si>
  <si>
    <t>2,1</t>
  </si>
  <si>
    <t>3,1</t>
  </si>
  <si>
    <t>出棒</t>
  </si>
  <si>
    <t>刺殺</t>
  </si>
  <si>
    <t>.兄弟王威晨</t>
  </si>
  <si>
    <t>0,1</t>
  </si>
  <si>
    <t>0,2</t>
  </si>
  <si>
    <t>1,2</t>
  </si>
  <si>
    <t>2,2</t>
  </si>
  <si>
    <t>一壘安</t>
  </si>
  <si>
    <t>界外</t>
  </si>
  <si>
    <t>1,3</t>
  </si>
  <si>
    <t>1,4</t>
  </si>
  <si>
    <t>四壞</t>
  </si>
  <si>
    <t>.</t>
  </si>
  <si>
    <t>2,0</t>
  </si>
  <si>
    <t>雙盜壘</t>
  </si>
  <si>
    <t>速球</t>
    <phoneticPr fontId="1" type="noConversion"/>
  </si>
  <si>
    <t>變速球</t>
  </si>
  <si>
    <t>野手選擇</t>
  </si>
  <si>
    <t>.兄弟江坤宇</t>
  </si>
  <si>
    <t>滑球</t>
    <phoneticPr fontId="1" type="noConversion"/>
  </si>
  <si>
    <t>..</t>
  </si>
  <si>
    <t>..</t>
    <phoneticPr fontId="1" type="noConversion"/>
  </si>
  <si>
    <t>守備失誤</t>
    <phoneticPr fontId="1" type="noConversion"/>
  </si>
  <si>
    <t>....</t>
    <phoneticPr fontId="1" type="noConversion"/>
  </si>
  <si>
    <t>..兄弟陳文杰...</t>
  </si>
  <si>
    <t>2,3</t>
  </si>
  <si>
    <t>3,3</t>
  </si>
  <si>
    <t>接殺</t>
  </si>
  <si>
    <t>.兄弟詹子賢</t>
  </si>
  <si>
    <t>失誤</t>
  </si>
  <si>
    <t>觸擊</t>
  </si>
  <si>
    <t>.樂天林立</t>
  </si>
  <si>
    <t>0</t>
    <phoneticPr fontId="1" type="noConversion"/>
  </si>
  <si>
    <t>0,0</t>
  </si>
  <si>
    <t>3,2</t>
  </si>
  <si>
    <t>.樂天廖健富</t>
  </si>
  <si>
    <t>揮空三振</t>
    <phoneticPr fontId="1" type="noConversion"/>
  </si>
  <si>
    <t>0,3</t>
  </si>
  <si>
    <t>盜二出局</t>
  </si>
  <si>
    <t>.樂天邱丹</t>
  </si>
  <si>
    <t>曲球</t>
  </si>
  <si>
    <t>揮空</t>
  </si>
  <si>
    <t>3,0</t>
  </si>
  <si>
    <t>.兄弟林智勝</t>
  </si>
  <si>
    <t>三振</t>
    <phoneticPr fontId="1" type="noConversion"/>
  </si>
  <si>
    <t>..樂天歐飛登</t>
  </si>
  <si>
    <t>全壘打</t>
  </si>
  <si>
    <t>界外</t>
    <phoneticPr fontId="1" type="noConversion"/>
  </si>
  <si>
    <t>.兄弟高宇杰</t>
  </si>
  <si>
    <t>盜二成功</t>
  </si>
  <si>
    <t>..兄弟潘志芳</t>
  </si>
  <si>
    <t>二壘安</t>
  </si>
  <si>
    <t>.兄弟陳文杰</t>
  </si>
  <si>
    <t>三壘安</t>
  </si>
  <si>
    <t>..樂天陳俊秀</t>
  </si>
  <si>
    <t>.樂天梁家榮</t>
  </si>
  <si>
    <t>.樂天馬傑森</t>
  </si>
  <si>
    <t>.樂天成晉</t>
  </si>
  <si>
    <t>兄弟林智勝.兄弟陳子豪</t>
  </si>
  <si>
    <t>牽制失誤</t>
  </si>
  <si>
    <t>犧牲觸擊</t>
  </si>
  <si>
    <t>.兄弟潘志芳</t>
  </si>
  <si>
    <t>..兄弟許基宏</t>
  </si>
  <si>
    <t>..兄弟高宇杰</t>
  </si>
  <si>
    <t>.樂天朱育賢</t>
  </si>
  <si>
    <t>.兄弟陳子豪</t>
  </si>
  <si>
    <t>暴投</t>
  </si>
  <si>
    <t>..兄弟陳文杰</t>
  </si>
  <si>
    <t>雙殺打</t>
  </si>
  <si>
    <t>.兄弟詹子賢.兄弟林智勝</t>
    <phoneticPr fontId="1" type="noConversion"/>
  </si>
  <si>
    <t>高飛犧牲</t>
  </si>
  <si>
    <t>.樂天林承飛</t>
  </si>
  <si>
    <t>..樂天梁家榮</t>
  </si>
  <si>
    <t>..樂天馬傑森</t>
  </si>
  <si>
    <t>牽制出局</t>
  </si>
  <si>
    <t>指叉球</t>
  </si>
  <si>
    <t>2,4</t>
  </si>
  <si>
    <t>.兄弟許基宏</t>
  </si>
  <si>
    <t>兄弟官大元</t>
    <phoneticPr fontId="1" type="noConversion"/>
  </si>
  <si>
    <t>觸身球</t>
  </si>
  <si>
    <t>樂天郭永維</t>
    <phoneticPr fontId="1" type="noConversion"/>
  </si>
  <si>
    <t>.樂天郭永維</t>
  </si>
  <si>
    <t>捕逸</t>
  </si>
  <si>
    <t>夾殺</t>
  </si>
  <si>
    <t>.兄弟陳文杰.兄弟林智勝</t>
    <phoneticPr fontId="1" type="noConversion"/>
  </si>
  <si>
    <t>樂天陳禹勳</t>
    <phoneticPr fontId="1" type="noConversion"/>
  </si>
  <si>
    <t>接殺</t>
    <phoneticPr fontId="1" type="noConversion"/>
  </si>
  <si>
    <t>.兄弟江坤宇.兄弟陳文杰</t>
    <phoneticPr fontId="1" type="noConversion"/>
  </si>
  <si>
    <t>.兄弟林智勝,兄弟詹子賢</t>
    <phoneticPr fontId="1" type="noConversion"/>
  </si>
  <si>
    <t>.樂天黃敬瑋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</si>
</sst>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.000_ "/>
    <numFmt numFmtId="177" formatCode="000"/>
    <numFmt numFmtId="178" formatCode="0_);[Red]\(0\)"/>
  </numFmts>
  <fonts count="1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微軟正黑體"/>
      <family val="2"/>
      <charset val="136"/>
    </font>
    <font>
      <sz val="9"/>
      <color indexed="81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u/>
      <sz val="12"/>
      <color rgb="FF0000FF"/>
      <name val="新細明體"/>
      <family val="2"/>
      <charset val="136"/>
      <scheme val="minor"/>
    </font>
    <font>
      <u/>
      <sz val="12"/>
      <color rgb="FF0000FF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rgb="FF0000FF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</font>
    <font>
      <sz val="9"/>
      <name val="新細明體"/>
      <family val="3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DFDA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0" fillId="0" borderId="0" xfId="0" applyNumberFormat="1" applyAlignment="1" applyProtection="1">
      <alignment horizontal="center" vertical="center"/>
      <protection locked="0"/>
    </xf>
    <xf numFmtId="19" fontId="0" fillId="0" borderId="0" xfId="0" applyNumberFormat="1">
      <alignment vertical="center"/>
    </xf>
    <xf numFmtId="19" fontId="0" fillId="0" borderId="0" xfId="0" applyNumberFormat="1" applyBorder="1">
      <alignment vertical="center"/>
    </xf>
    <xf numFmtId="22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vertical="center"/>
    </xf>
    <xf numFmtId="19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9" fontId="0" fillId="0" borderId="4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>
      <alignment vertical="center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8" fillId="0" borderId="0" xfId="0" applyFont="1">
      <alignment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2">
    <cellStyle name="一般" xfId="0" builtinId="0"/>
    <cellStyle name="超連結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152400</xdr:colOff>
      <xdr:row>28</xdr:row>
      <xdr:rowOff>0</xdr:rowOff>
    </xdr:from>
    <xdr:to>
      <xdr:col>7</xdr:col>
      <xdr:colOff>176213</xdr:colOff>
      <xdr:row>30</xdr:row>
      <xdr:rowOff>90488</xdr:rowOff>
    </xdr:to>
    <xdr:sp macro="" textlink="">
      <xdr:nvSpPr>
        <xdr:cNvPr id="23553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15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390525</xdr:colOff>
      <xdr:row>29</xdr:row>
      <xdr:rowOff>190500</xdr:rowOff>
    </xdr:from>
    <xdr:to>
      <xdr:col>7</xdr:col>
      <xdr:colOff>114300</xdr:colOff>
      <xdr:row>32</xdr:row>
      <xdr:rowOff>180975</xdr:rowOff>
    </xdr:to>
    <xdr:sp macro="" textlink="">
      <xdr:nvSpPr>
        <xdr:cNvPr id="23555" name="AutoShape 3">
          <a:extLst>
            <a:ext uri="{FF2B5EF4-FFF2-40B4-BE49-F238E27FC236}">
              <a16:creationId xmlns:a16="http://schemas.microsoft.com/office/drawing/2014/main" id="{00000000-0008-0000-0A00-0000035C0000}"/>
            </a:ext>
          </a:extLst>
        </xdr:cNvPr>
        <xdr:cNvSpPr>
          <a:spLocks noChangeAspect="1" noChangeArrowheads="1"/>
        </xdr:cNvSpPr>
      </xdr:nvSpPr>
      <xdr:spPr bwMode="auto">
        <a:xfrm>
          <a:off x="3400425" y="6257925"/>
          <a:ext cx="1781175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152400</xdr:rowOff>
        </xdr:from>
        <xdr:to>
          <xdr:col>7</xdr:col>
          <xdr:colOff>388620</xdr:colOff>
          <xdr:row>35</xdr:row>
          <xdr:rowOff>137160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152400</xdr:colOff>
      <xdr:row>28</xdr:row>
      <xdr:rowOff>0</xdr:rowOff>
    </xdr:from>
    <xdr:ext cx="1962150" cy="500063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2986088" y="5734050"/>
          <a:ext cx="1962150" cy="50006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390525</xdr:colOff>
      <xdr:row>29</xdr:row>
      <xdr:rowOff>190500</xdr:rowOff>
    </xdr:from>
    <xdr:ext cx="1662112" cy="604837"/>
    <xdr:sp macro="" textlink="">
      <xdr:nvSpPr>
        <xdr:cNvPr id="6" name="AutoShape 3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3224213" y="6129338"/>
          <a:ext cx="1662112" cy="604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4</xdr:col>
      <xdr:colOff>152400</xdr:colOff>
      <xdr:row>28</xdr:row>
      <xdr:rowOff>0</xdr:rowOff>
    </xdr:from>
    <xdr:to>
      <xdr:col>7</xdr:col>
      <xdr:colOff>176213</xdr:colOff>
      <xdr:row>30</xdr:row>
      <xdr:rowOff>90488</xdr:rowOff>
    </xdr:to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 bwMode="auto">
        <a:xfrm>
          <a:off x="2986088" y="5734050"/>
          <a:ext cx="1962150" cy="500063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390525</xdr:colOff>
      <xdr:row>29</xdr:row>
      <xdr:rowOff>190500</xdr:rowOff>
    </xdr:from>
    <xdr:to>
      <xdr:col>7</xdr:col>
      <xdr:colOff>114300</xdr:colOff>
      <xdr:row>32</xdr:row>
      <xdr:rowOff>180975</xdr:rowOff>
    </xdr:to>
    <xdr:sp macro="" textlink="">
      <xdr:nvSpPr>
        <xdr:cNvPr id="8" name="AutoShape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3224213" y="6129338"/>
          <a:ext cx="1662112" cy="604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198120</xdr:rowOff>
        </xdr:from>
        <xdr:to>
          <xdr:col>2</xdr:col>
          <xdr:colOff>678180</xdr:colOff>
          <xdr:row>4</xdr:row>
          <xdr:rowOff>220980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B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啟動資料查詢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223838</xdr:colOff>
      <xdr:row>6</xdr:row>
      <xdr:rowOff>9525</xdr:rowOff>
    </xdr:from>
    <xdr:to>
      <xdr:col>7</xdr:col>
      <xdr:colOff>14288</xdr:colOff>
      <xdr:row>9</xdr:row>
      <xdr:rowOff>100013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C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1</xdr:row>
          <xdr:rowOff>30480</xdr:rowOff>
        </xdr:from>
        <xdr:to>
          <xdr:col>6</xdr:col>
          <xdr:colOff>228600</xdr:colOff>
          <xdr:row>5</xdr:row>
          <xdr:rowOff>114300</xdr:rowOff>
        </xdr:to>
        <xdr:sp macro="" textlink="">
          <xdr:nvSpPr>
            <xdr:cNvPr id="24578" name="CommandButton1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5352;&#37636;&#21862;\20200926-&#26356;&#27491;&#23432;&#20633;&#33258;&#36012;&#2099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-pc\Downloads\20170522-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-pc/Downloads/20170522-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  <sheetName val="everyo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Chart1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</sheetNames>
    <sheetDataSet>
      <sheetData sheetId="0">
        <row r="2">
          <cell r="O2">
            <v>42.75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AttackPlay-by-Play"/>
      <sheetName val="Chart1"/>
      <sheetName val="GuestAttackPlay-by-Play"/>
      <sheetName val="thisInning"/>
      <sheetName val="GuestHitterData"/>
      <sheetName val="HomeHitterData"/>
      <sheetName val="combobox"/>
      <sheetName val="GuestPitcherData"/>
      <sheetName val="HomePitcherData"/>
      <sheetName val="Lineup"/>
      <sheetName val="team"/>
      <sheetName val="Roster"/>
      <sheetName val="video"/>
      <sheetName val="Setup"/>
    </sheetNames>
    <sheetDataSet>
      <sheetData sheetId="0">
        <row r="2">
          <cell r="O2">
            <v>42.75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file:///\\25.53.180.245\KzoneVideo\0927_1612_12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file:///\\25.53.180.245\KzoneVideo\0927_1612_12" TargetMode="External"/><Relationship Id="rId1" Type="http://schemas.openxmlformats.org/officeDocument/2006/relationships/hyperlink" Target="file:///\\25.53.180.245\KzoneVideo\0927_1612_12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6"/>
  <dimension ref="A1:HR290"/>
  <sheetViews>
    <sheetView zoomScale="80" zoomScaleNormal="80" workbookViewId="0">
      <pane xSplit="1" ySplit="1" topLeftCell="B2" activePane="bottomRight" state="frozen"/>
      <selection activeCell="AT4" sqref="AT4"/>
      <selection pane="topRight" activeCell="AT4" sqref="AT4"/>
      <selection pane="bottomLeft" activeCell="AT4" sqref="AT4"/>
      <selection pane="bottomRight" activeCell="V5" sqref="V5"/>
    </sheetView>
  </sheetViews>
  <sheetFormatPr defaultColWidth="9" defaultRowHeight="16.2" x14ac:dyDescent="0.3"/>
  <cols>
    <col min="1" max="1" width="12.44140625" style="4" customWidth="1"/>
    <col min="2" max="6" width="9" style="4"/>
    <col min="7" max="9" width="9" style="4" customWidth="1"/>
    <col min="10" max="12" width="9" style="4"/>
    <col min="13" max="13" width="13.109375" style="4" customWidth="1"/>
    <col min="14" max="17" width="9" style="4"/>
    <col min="18" max="18" width="9" style="5"/>
    <col min="19" max="30" width="9" style="4"/>
    <col min="31" max="31" width="9" style="4" customWidth="1"/>
    <col min="32" max="44" width="9" style="4"/>
    <col min="47" max="47" width="9" style="33"/>
    <col min="48" max="48" width="9" style="36" customWidth="1"/>
    <col min="49" max="51" width="9" style="4" customWidth="1"/>
    <col min="52" max="52" width="7.44140625" style="4" customWidth="1"/>
    <col min="53" max="53" width="8.109375" style="4" customWidth="1"/>
    <col min="54" max="54" width="7.88671875" style="4" customWidth="1"/>
    <col min="55" max="55" width="9.109375" style="4" customWidth="1"/>
    <col min="56" max="56" width="7.88671875" style="4" customWidth="1"/>
    <col min="57" max="57" width="11" style="4" customWidth="1"/>
    <col min="58" max="58" width="10" style="4" customWidth="1"/>
    <col min="59" max="59" width="15.44140625" style="4" customWidth="1"/>
    <col min="60" max="60" width="13.44140625" style="4" customWidth="1"/>
    <col min="61" max="61" width="9" style="4" customWidth="1"/>
    <col min="62" max="16384" width="9" style="4"/>
  </cols>
  <sheetData>
    <row r="1" spans="1:226" s="6" customFormat="1" x14ac:dyDescent="0.3">
      <c r="A1" s="6" t="s">
        <v>70</v>
      </c>
      <c r="B1" s="7" t="s">
        <v>71</v>
      </c>
      <c r="C1" s="7" t="s">
        <v>72</v>
      </c>
      <c r="D1" s="6" t="s">
        <v>107</v>
      </c>
      <c r="E1" s="6" t="s">
        <v>3</v>
      </c>
      <c r="F1" s="6" t="s">
        <v>73</v>
      </c>
      <c r="G1" s="6" t="s">
        <v>74</v>
      </c>
      <c r="H1" s="7" t="s">
        <v>75</v>
      </c>
      <c r="I1" s="7" t="s">
        <v>76</v>
      </c>
      <c r="J1" s="7" t="s">
        <v>77</v>
      </c>
      <c r="K1" s="7" t="s">
        <v>6</v>
      </c>
      <c r="L1" s="7" t="s">
        <v>2</v>
      </c>
      <c r="M1" s="6" t="s">
        <v>0</v>
      </c>
      <c r="N1" s="6" t="s">
        <v>78</v>
      </c>
      <c r="O1" s="6" t="s">
        <v>79</v>
      </c>
      <c r="P1" s="6" t="s">
        <v>80</v>
      </c>
      <c r="Q1" s="6" t="s">
        <v>1</v>
      </c>
      <c r="R1" s="8" t="s">
        <v>81</v>
      </c>
      <c r="S1" s="6" t="s">
        <v>82</v>
      </c>
      <c r="T1" s="6" t="s">
        <v>83</v>
      </c>
      <c r="U1" s="6" t="s">
        <v>84</v>
      </c>
      <c r="V1" s="6" t="s">
        <v>85</v>
      </c>
      <c r="W1" s="6" t="s">
        <v>86</v>
      </c>
      <c r="X1" s="6" t="s">
        <v>87</v>
      </c>
      <c r="Y1" s="6" t="s">
        <v>88</v>
      </c>
      <c r="Z1" s="6" t="s">
        <v>89</v>
      </c>
      <c r="AA1" s="6" t="s">
        <v>90</v>
      </c>
      <c r="AB1" s="6" t="s">
        <v>91</v>
      </c>
      <c r="AC1" s="6" t="s">
        <v>92</v>
      </c>
      <c r="AD1" s="6" t="s">
        <v>93</v>
      </c>
      <c r="AE1" s="6" t="s">
        <v>94</v>
      </c>
      <c r="AF1" s="6" t="s">
        <v>218</v>
      </c>
      <c r="AG1" s="6" t="s">
        <v>95</v>
      </c>
      <c r="AH1" s="6" t="s">
        <v>96</v>
      </c>
      <c r="AI1" s="6" t="s">
        <v>97</v>
      </c>
      <c r="AJ1" s="6" t="s">
        <v>98</v>
      </c>
      <c r="AK1" s="6" t="s">
        <v>142</v>
      </c>
      <c r="AL1" s="6" t="s">
        <v>99</v>
      </c>
      <c r="AM1" s="6" t="s">
        <v>110</v>
      </c>
      <c r="AN1" s="6" t="s">
        <v>126</v>
      </c>
      <c r="AO1" s="6" t="s">
        <v>109</v>
      </c>
      <c r="AP1" s="6" t="s">
        <v>108</v>
      </c>
      <c r="AQ1" s="6" t="s">
        <v>147</v>
      </c>
      <c r="AR1" s="6" t="s">
        <v>121</v>
      </c>
      <c r="AS1" s="6" t="s">
        <v>154</v>
      </c>
      <c r="AT1" s="6" t="s">
        <v>155</v>
      </c>
      <c r="AU1" s="34" t="s">
        <v>145</v>
      </c>
      <c r="AV1" s="35" t="s">
        <v>148</v>
      </c>
      <c r="AW1" s="6" t="s">
        <v>183</v>
      </c>
      <c r="AX1" s="6" t="s">
        <v>188</v>
      </c>
      <c r="AY1" s="6" t="s">
        <v>186</v>
      </c>
      <c r="AZ1" s="6">
        <v>150</v>
      </c>
      <c r="BA1" s="6" t="s">
        <v>75</v>
      </c>
      <c r="BB1" s="6" t="s">
        <v>76</v>
      </c>
      <c r="BC1" s="4" t="s">
        <v>101</v>
      </c>
      <c r="BD1" s="4" t="s">
        <v>100</v>
      </c>
      <c r="BE1" s="6" t="s">
        <v>109</v>
      </c>
      <c r="BF1" s="6" t="s">
        <v>108</v>
      </c>
      <c r="BG1" s="6" t="s">
        <v>143</v>
      </c>
      <c r="BH1" s="6" t="s">
        <v>144</v>
      </c>
      <c r="BI1" s="6" t="s">
        <v>184</v>
      </c>
      <c r="BJ1" s="6" t="s">
        <v>185</v>
      </c>
      <c r="BK1" s="6" t="s">
        <v>189</v>
      </c>
      <c r="BL1" s="6" t="s">
        <v>187</v>
      </c>
      <c r="BM1" s="6" t="s">
        <v>191</v>
      </c>
      <c r="BN1" s="6" t="s">
        <v>190</v>
      </c>
      <c r="BO1" s="6" t="s">
        <v>192</v>
      </c>
      <c r="BP1" s="6" t="s">
        <v>193</v>
      </c>
      <c r="BQ1" s="6" t="s">
        <v>194</v>
      </c>
      <c r="BR1" s="6" t="s">
        <v>195</v>
      </c>
      <c r="BS1" s="6" t="s">
        <v>196</v>
      </c>
      <c r="BT1" s="6" t="s">
        <v>197</v>
      </c>
      <c r="BU1" s="6" t="s">
        <v>198</v>
      </c>
      <c r="BV1" s="6" t="s">
        <v>207</v>
      </c>
      <c r="BW1" s="6" t="s">
        <v>212</v>
      </c>
      <c r="BX1" s="6" t="s">
        <v>213</v>
      </c>
      <c r="BY1" s="51" t="s">
        <v>208</v>
      </c>
      <c r="BZ1" s="51" t="s">
        <v>209</v>
      </c>
      <c r="CA1" s="6" t="s">
        <v>214</v>
      </c>
      <c r="CB1" s="6" t="s">
        <v>215</v>
      </c>
      <c r="CC1" s="6" t="s">
        <v>216</v>
      </c>
      <c r="CD1" s="6" t="s">
        <v>599</v>
      </c>
      <c r="CE1" s="6" t="s">
        <v>600</v>
      </c>
      <c r="CF1" s="6" t="s">
        <v>601</v>
      </c>
      <c r="CG1" s="6" t="s">
        <v>602</v>
      </c>
    </row>
    <row r="2" spans="1:226" x14ac:dyDescent="0.3">
      <c r="A2" s="43">
        <v>1</v>
      </c>
      <c r="B2" s="4">
        <v>0</v>
      </c>
      <c r="C2" s="4">
        <v>1</v>
      </c>
      <c r="D2" s="4">
        <v>1</v>
      </c>
      <c r="E2" s="4" t="s">
        <v>621</v>
      </c>
      <c r="F2" s="4" t="s">
        <v>341</v>
      </c>
      <c r="G2" s="4">
        <v>1</v>
      </c>
      <c r="H2" s="4">
        <v>1</v>
      </c>
      <c r="I2" s="4">
        <v>0</v>
      </c>
      <c r="J2" s="4">
        <v>0</v>
      </c>
      <c r="L2" s="4" t="s">
        <v>643</v>
      </c>
      <c r="M2" s="46" t="s">
        <v>381</v>
      </c>
      <c r="N2" s="4" t="s">
        <v>649</v>
      </c>
      <c r="O2" s="4">
        <v>103.5</v>
      </c>
      <c r="P2" s="4">
        <v>78.75</v>
      </c>
      <c r="Q2" s="4" t="s">
        <v>639</v>
      </c>
      <c r="R2" s="5" t="s">
        <v>678</v>
      </c>
      <c r="S2" s="4">
        <v>165.75</v>
      </c>
      <c r="T2" s="4">
        <v>165.75</v>
      </c>
      <c r="U2" s="4" t="s">
        <v>369</v>
      </c>
      <c r="AB2" s="4" t="s">
        <v>381</v>
      </c>
      <c r="AM2" s="4">
        <v>1</v>
      </c>
      <c r="AO2" s="4">
        <v>1</v>
      </c>
      <c r="AP2" s="4">
        <v>0</v>
      </c>
      <c r="AQ2" s="4" t="s">
        <v>640</v>
      </c>
      <c r="AS2">
        <v>0</v>
      </c>
      <c r="AT2">
        <v>0</v>
      </c>
      <c r="AU2" s="33">
        <v>935.99999999999284</v>
      </c>
      <c r="AV2" s="36" t="s">
        <v>644</v>
      </c>
      <c r="AW2" s="4">
        <v>927.9999999999884</v>
      </c>
      <c r="AX2" s="4" t="str">
        <f>IFERROR(VLOOKUP(M2,Roster!$D$2:$E$27,2,FALSE),"")</f>
        <v>R</v>
      </c>
      <c r="AY2" s="4" t="str">
        <f>IF(M2=M1,AS2&amp;"好"&amp;AT2&amp;"壞","0好0壞")</f>
        <v>0好0壞</v>
      </c>
      <c r="AZ2" s="4">
        <v>55</v>
      </c>
      <c r="BA2" s="4">
        <v>37</v>
      </c>
      <c r="BB2" s="4">
        <v>18</v>
      </c>
      <c r="BC2" s="4">
        <v>11</v>
      </c>
      <c r="BD2" s="4">
        <v>2</v>
      </c>
      <c r="BE2" s="4">
        <v>0</v>
      </c>
      <c r="BF2" s="45">
        <v>0</v>
      </c>
      <c r="BG2" s="13">
        <v>0.94103009259259263</v>
      </c>
      <c r="BH2" s="4">
        <v>0.77525462962962965</v>
      </c>
      <c r="BI2" s="5" t="s">
        <v>681</v>
      </c>
      <c r="BJ2" s="4" t="str">
        <f>IF(AX2="R",IF(O2&lt;46.8,"偏外角",IF(O2&lt;65.5,"外角",IF(O2&lt;84.4,"中",IF(O2 &lt; 103.2,"內角","偏內角"))))&amp;IF(P2&lt;57,"偏高",IF(P2&lt;79.8,"高",IF(P2&lt;102.7,"中",IF(P2 &lt; 125.5,"低","偏低")))),IF(O2&lt;46.8,"偏內角",IF(O2&lt;65.5,"內角",IF(O2&lt;84.4,"中",IF(O2 &lt; 103.2,"外角","偏外角"))))&amp;IF(P2&lt;57,"偏高",IF(P2&lt;79.8,"高",IF(P2&lt;102.7,"中",IF(P2 &lt; 125.5,"低","偏低"))))
)</f>
        <v>偏內角高</v>
      </c>
      <c r="BK2" s="4" t="s">
        <v>221</v>
      </c>
      <c r="BL2" s="4" t="str">
        <f>IFERROR(VLOOKUP('HomeAttackPlay-by-Play'!E2,Roster!$L$2:$M$27,2,FALSE),"")</f>
        <v>R</v>
      </c>
      <c r="BP2" s="48" t="str">
        <f>IF(BO2&lt;&gt;"",HYPERLINK(video!$F$29&amp;"\"&amp;"cam_1_"&amp;$BO2&amp;".avi","Play"),"")</f>
        <v/>
      </c>
      <c r="BQ2" s="48" t="str">
        <f>IF(BO2&lt;&gt;"",HYPERLINK(video!$F$29&amp;"\"&amp;"cam_2_"&amp;$BO2&amp;".avi","Play"),"")</f>
        <v/>
      </c>
      <c r="BR2" s="48" t="str">
        <f>IF(BO2&lt;&gt;"",HYPERLINK(video!$F$29&amp;"\"&amp;"cam_3_"&amp;$BO2&amp;".avi","Play"),"")</f>
        <v/>
      </c>
      <c r="BS2" s="48" t="str">
        <f>IF(BV2&lt;&gt;"",HYPERLINK(video!$F$25&amp;"\"&amp;"cam_4_"&amp;$BV2&amp;".avi","Play"),"")</f>
        <v/>
      </c>
      <c r="BT2" s="48" t="str">
        <f>IF(BV2&lt;&gt;"",HYPERLINK(video!$F$25&amp;"\"&amp;"cam_5_"&amp;$BV2&amp;".avi","Play"),"")</f>
        <v/>
      </c>
      <c r="BU2" s="48" t="str">
        <f>IF(BV2&lt;&gt;"",HYPERLINK(video!$F$25&amp;"\"&amp;"cam_6_"&amp;$BV2&amp;".avi","Play"),"")</f>
        <v/>
      </c>
      <c r="BY2" s="4">
        <f t="shared" ref="BY2:BY62" si="0">186-P2</f>
        <v>107.25</v>
      </c>
      <c r="BZ2" s="4">
        <f t="shared" ref="BZ2:BZ62" si="1">246-T2</f>
        <v>80.25</v>
      </c>
      <c r="CD2" s="5" t="str">
        <f>Lineup!$G$1</f>
        <v>一軍例行賽</v>
      </c>
      <c r="CE2" s="4">
        <f>Lineup!$I$1</f>
        <v>148</v>
      </c>
      <c r="CF2" s="5" t="str">
        <f>Lineup!$G$5</f>
        <v>王俊宏</v>
      </c>
      <c r="CG2" s="5" t="str">
        <f>Lineup!$G$4</f>
        <v>桃園</v>
      </c>
      <c r="HH2" s="13">
        <v>0.41280092592592593</v>
      </c>
      <c r="HR2" s="13">
        <v>0.55585648148148148</v>
      </c>
    </row>
    <row r="3" spans="1:226" x14ac:dyDescent="0.3">
      <c r="A3" s="43">
        <v>2</v>
      </c>
      <c r="B3" s="4">
        <v>0</v>
      </c>
      <c r="C3" s="4">
        <v>1</v>
      </c>
      <c r="D3" s="4">
        <v>1</v>
      </c>
      <c r="E3" s="4" t="s">
        <v>621</v>
      </c>
      <c r="F3" s="4" t="s">
        <v>341</v>
      </c>
      <c r="G3" s="4">
        <v>2</v>
      </c>
      <c r="H3" s="4">
        <v>2</v>
      </c>
      <c r="I3" s="4">
        <v>0</v>
      </c>
      <c r="J3" s="4">
        <v>1</v>
      </c>
      <c r="L3" s="4" t="s">
        <v>643</v>
      </c>
      <c r="M3" s="4" t="s">
        <v>574</v>
      </c>
      <c r="N3" s="4" t="s">
        <v>679</v>
      </c>
      <c r="O3" s="4">
        <v>87.75</v>
      </c>
      <c r="P3" s="4">
        <v>89.25</v>
      </c>
      <c r="Q3" s="4" t="s">
        <v>639</v>
      </c>
      <c r="R3" s="5" t="s">
        <v>666</v>
      </c>
      <c r="S3" s="4">
        <v>176.25</v>
      </c>
      <c r="T3" s="4">
        <v>192</v>
      </c>
      <c r="U3" s="4" t="s">
        <v>360</v>
      </c>
      <c r="V3" s="4" t="s">
        <v>369</v>
      </c>
      <c r="AB3" s="4" t="s">
        <v>574</v>
      </c>
      <c r="AE3" s="4" t="s">
        <v>661</v>
      </c>
      <c r="AF3" s="4" t="s">
        <v>661</v>
      </c>
      <c r="AG3" s="4" t="s">
        <v>661</v>
      </c>
      <c r="AH3" s="4" t="s">
        <v>381</v>
      </c>
      <c r="AK3" s="4">
        <v>1</v>
      </c>
      <c r="AM3" s="4">
        <v>1</v>
      </c>
      <c r="AO3" s="4">
        <v>1</v>
      </c>
      <c r="AP3" s="4">
        <v>0</v>
      </c>
      <c r="AQ3" s="4" t="s">
        <v>640</v>
      </c>
      <c r="AR3" s="4" t="s">
        <v>680</v>
      </c>
      <c r="AS3">
        <v>0</v>
      </c>
      <c r="AT3">
        <v>0</v>
      </c>
      <c r="AU3" s="33">
        <v>985.99999999999432</v>
      </c>
      <c r="AV3" s="36" t="s">
        <v>644</v>
      </c>
      <c r="AW3" s="4">
        <v>974.99999999999898</v>
      </c>
      <c r="AX3" s="4" t="str">
        <f>IFERROR(VLOOKUP(M3,Roster!$D$2:$E$27,2,FALSE),"")</f>
        <v>L</v>
      </c>
      <c r="AY3" s="4" t="str">
        <f t="shared" ref="AY3:AY66" si="2">IF(M3=M2,AS3&amp;"好"&amp;AT3&amp;"壞","0好0壞")</f>
        <v>0好0壞</v>
      </c>
      <c r="BI3" s="5" t="str">
        <f>Lineup!$G$2</f>
        <v>20210817</v>
      </c>
      <c r="BJ3" s="4" t="str">
        <f t="shared" ref="BJ3:BJ63" si="3">IF(AX3="R",IF(O3&lt;46.8,"偏外角",IF(O3&lt;65.5,"外角",IF(O3&lt;84.4,"中",IF(O3 &lt; 103.2,"內角","偏內角"))))&amp;IF(P3&lt;57,"偏高",IF(P3&lt;79.8,"高",IF(P3&lt;102.7,"中",IF(P3 &lt; 125.5,"低","偏低")))),IF(O3&lt;46.8,"偏內角",IF(O3&lt;65.5,"內角",IF(O3&lt;84.4,"中",IF(O3 &lt; 103.2,"外角","偏外角"))))&amp;IF(P3&lt;57,"偏高",IF(P3&lt;79.8,"高",IF(P3&lt;102.7,"中",IF(P3 &lt; 125.5,"低","偏低"))))
)</f>
        <v>外角中</v>
      </c>
      <c r="BK3" s="4" t="str">
        <f t="shared" ref="BK3:BK66" si="4">IF(AB2&lt;&gt;"","1","")&amp;IF(AC2&lt;&gt;"","2","")&amp;IF(AD2&lt;&gt;"","3","")&amp;"B"&amp;J2&amp;"O"</f>
        <v>1B0O</v>
      </c>
      <c r="BL3" s="4" t="str">
        <f>IFERROR(VLOOKUP('HomeAttackPlay-by-Play'!E3,Roster!$L$2:$M$27,2,FALSE),"")</f>
        <v>R</v>
      </c>
      <c r="BP3" s="48" t="str">
        <f>IF(BO3&lt;&gt;"",HYPERLINK(video!$F$29&amp;"\"&amp;"cam_1_"&amp;$BO3&amp;".avi","Play"),"")</f>
        <v/>
      </c>
      <c r="BQ3" s="48" t="str">
        <f>IF(BO3&lt;&gt;"",HYPERLINK(video!$F$29&amp;"\"&amp;"cam_2_"&amp;$BO3&amp;".avi","Play"),"")</f>
        <v/>
      </c>
      <c r="BR3" s="48" t="str">
        <f>IF(BO3&lt;&gt;"",HYPERLINK(video!$F$29&amp;"\"&amp;"cam_3_"&amp;$BO3&amp;".avi","Play"),"")</f>
        <v/>
      </c>
      <c r="BS3" s="48" t="str">
        <f>IF(BV3&lt;&gt;"",HYPERLINK(video!$F$25&amp;"\"&amp;"cam_4_"&amp;$BV3&amp;".avi","Play"),"")</f>
        <v/>
      </c>
      <c r="BT3" s="48" t="str">
        <f>IF(BV3&lt;&gt;"",HYPERLINK(video!$F$25&amp;"\"&amp;"cam_5_"&amp;$BV3&amp;".avi","Play"),"")</f>
        <v/>
      </c>
      <c r="BU3" s="48" t="str">
        <f>IF(BV3&lt;&gt;"",HYPERLINK(video!$F$25&amp;"\"&amp;"cam_6_"&amp;$BV3&amp;".avi","Play"),"")</f>
        <v/>
      </c>
      <c r="BY3" s="4">
        <f t="shared" si="0"/>
        <v>96.75</v>
      </c>
      <c r="BZ3" s="4">
        <f t="shared" si="1"/>
        <v>54</v>
      </c>
      <c r="CD3" s="5" t="str">
        <f>Lineup!$G$1</f>
        <v>一軍例行賽</v>
      </c>
      <c r="CE3" s="4">
        <f>Lineup!$I$1</f>
        <v>148</v>
      </c>
      <c r="CF3" s="5" t="str">
        <f>Lineup!$G$5</f>
        <v>王俊宏</v>
      </c>
      <c r="CG3" s="5" t="str">
        <f>Lineup!$G$4</f>
        <v>桃園</v>
      </c>
    </row>
    <row r="4" spans="1:226" x14ac:dyDescent="0.3">
      <c r="A4" s="43">
        <v>3</v>
      </c>
      <c r="B4" s="4">
        <v>0</v>
      </c>
      <c r="C4" s="4">
        <v>1</v>
      </c>
      <c r="D4" s="4">
        <v>1</v>
      </c>
      <c r="E4" s="4" t="s">
        <v>621</v>
      </c>
      <c r="F4" s="4" t="s">
        <v>341</v>
      </c>
      <c r="G4" s="4">
        <v>3</v>
      </c>
      <c r="H4" s="4">
        <v>3</v>
      </c>
      <c r="I4" s="4">
        <v>0</v>
      </c>
      <c r="J4" s="4">
        <v>1</v>
      </c>
      <c r="L4" s="4" t="s">
        <v>643</v>
      </c>
      <c r="M4" s="4" t="s">
        <v>343</v>
      </c>
      <c r="N4" s="4" t="s">
        <v>649</v>
      </c>
      <c r="O4" s="4">
        <v>114</v>
      </c>
      <c r="P4" s="4">
        <v>111</v>
      </c>
      <c r="Q4" s="4" t="s">
        <v>639</v>
      </c>
      <c r="R4" s="5" t="s">
        <v>657</v>
      </c>
      <c r="AB4" s="4" t="s">
        <v>574</v>
      </c>
      <c r="AO4" s="4">
        <v>1</v>
      </c>
      <c r="AP4" s="4">
        <v>0</v>
      </c>
      <c r="AQ4" s="4" t="s">
        <v>640</v>
      </c>
      <c r="AS4">
        <v>0</v>
      </c>
      <c r="AT4">
        <v>0</v>
      </c>
      <c r="AU4" s="33">
        <v>1058.999999999993</v>
      </c>
      <c r="AV4" s="36" t="s">
        <v>644</v>
      </c>
      <c r="AW4" s="4">
        <v>1054.9999999999955</v>
      </c>
      <c r="AX4" s="4" t="str">
        <f>IFERROR(VLOOKUP(M4,Roster!$D$2:$E$27,2,FALSE),"")</f>
        <v>L</v>
      </c>
      <c r="AY4" s="4" t="str">
        <f t="shared" si="2"/>
        <v>0好0壞</v>
      </c>
      <c r="BI4" s="5" t="str">
        <f>Lineup!$G$2</f>
        <v>20210817</v>
      </c>
      <c r="BJ4" s="4" t="str">
        <f t="shared" si="3"/>
        <v>偏外角低</v>
      </c>
      <c r="BK4" s="4" t="str">
        <f t="shared" si="4"/>
        <v>1B1O</v>
      </c>
      <c r="BL4" s="4" t="str">
        <f>IFERROR(VLOOKUP('HomeAttackPlay-by-Play'!E4,Roster!$L$2:$M$27,2,FALSE),"")</f>
        <v>R</v>
      </c>
      <c r="BP4" s="48" t="str">
        <f>IF(BO4&lt;&gt;"",HYPERLINK(video!$F$29&amp;"\"&amp;"cam_1_"&amp;$BO4&amp;".avi","Play"),"")</f>
        <v/>
      </c>
      <c r="BQ4" s="48" t="str">
        <f>IF(BO4&lt;&gt;"",HYPERLINK(video!$F$29&amp;"\"&amp;"cam_2_"&amp;$BO4&amp;".avi","Play"),"")</f>
        <v/>
      </c>
      <c r="BR4" s="48" t="str">
        <f>IF(BO4&lt;&gt;"",HYPERLINK(video!$F$29&amp;"\"&amp;"cam_3_"&amp;$BO4&amp;".avi","Play"),"")</f>
        <v/>
      </c>
      <c r="BS4" s="48" t="str">
        <f>IF(BV4&lt;&gt;"",HYPERLINK(video!$F$25&amp;"\"&amp;"cam_4_"&amp;$BV4&amp;".avi","Play"),"")</f>
        <v/>
      </c>
      <c r="BT4" s="48" t="str">
        <f>IF(BV4&lt;&gt;"",HYPERLINK(video!$F$25&amp;"\"&amp;"cam_5_"&amp;$BV4&amp;".avi","Play"),"")</f>
        <v/>
      </c>
      <c r="BU4" s="48" t="str">
        <f>IF(BV4&lt;&gt;"",HYPERLINK(video!$F$25&amp;"\"&amp;"cam_6_"&amp;$BV4&amp;".avi","Play"),"")</f>
        <v/>
      </c>
      <c r="BY4" s="4">
        <f t="shared" si="0"/>
        <v>75</v>
      </c>
      <c r="BZ4" s="4">
        <f t="shared" si="1"/>
        <v>246</v>
      </c>
      <c r="CD4" s="5" t="str">
        <f>Lineup!$G$1</f>
        <v>一軍例行賽</v>
      </c>
      <c r="CE4" s="4">
        <f>Lineup!$I$1</f>
        <v>148</v>
      </c>
      <c r="CF4" s="5" t="str">
        <f>Lineup!$G$5</f>
        <v>王俊宏</v>
      </c>
      <c r="CG4" s="5" t="str">
        <f>Lineup!$G$4</f>
        <v>桃園</v>
      </c>
    </row>
    <row r="5" spans="1:226" x14ac:dyDescent="0.3">
      <c r="A5" s="43">
        <v>4</v>
      </c>
      <c r="B5" s="4">
        <v>0</v>
      </c>
      <c r="C5" s="4">
        <v>1</v>
      </c>
      <c r="D5" s="4">
        <v>1</v>
      </c>
      <c r="E5" s="4" t="s">
        <v>621</v>
      </c>
      <c r="F5" s="4" t="s">
        <v>341</v>
      </c>
      <c r="G5" s="4">
        <v>4</v>
      </c>
      <c r="H5" s="4">
        <v>3</v>
      </c>
      <c r="I5" s="4">
        <v>1</v>
      </c>
      <c r="J5" s="4">
        <v>1</v>
      </c>
      <c r="K5" s="4">
        <v>137</v>
      </c>
      <c r="L5" s="4" t="s">
        <v>668</v>
      </c>
      <c r="M5" s="4" t="s">
        <v>343</v>
      </c>
      <c r="N5" s="4" t="s">
        <v>642</v>
      </c>
      <c r="O5" s="4">
        <v>118.5</v>
      </c>
      <c r="P5" s="4">
        <v>138.75</v>
      </c>
      <c r="Q5" s="4" t="s">
        <v>641</v>
      </c>
      <c r="AB5" s="4" t="s">
        <v>574</v>
      </c>
      <c r="AO5" s="4">
        <v>1</v>
      </c>
      <c r="AP5" s="4">
        <v>1</v>
      </c>
      <c r="AQ5" s="4" t="s">
        <v>645</v>
      </c>
      <c r="AS5">
        <v>1</v>
      </c>
      <c r="AT5">
        <v>0</v>
      </c>
      <c r="AU5" s="33">
        <v>1088.0000000000007</v>
      </c>
      <c r="AV5" s="36" t="s">
        <v>644</v>
      </c>
      <c r="AW5" s="4">
        <v>1084.0000000000032</v>
      </c>
      <c r="AX5" s="4" t="str">
        <f>IFERROR(VLOOKUP(M5,Roster!$D$2:$E$27,2,FALSE),"")</f>
        <v>L</v>
      </c>
      <c r="AY5" s="4" t="str">
        <f t="shared" si="2"/>
        <v>1好0壞</v>
      </c>
      <c r="BI5" s="5" t="str">
        <f>Lineup!$G$2</f>
        <v>20210817</v>
      </c>
      <c r="BJ5" s="4" t="str">
        <f t="shared" si="3"/>
        <v>偏外角偏低</v>
      </c>
      <c r="BK5" s="4" t="str">
        <f t="shared" si="4"/>
        <v>1B1O</v>
      </c>
      <c r="BL5" s="4" t="str">
        <f>IFERROR(VLOOKUP('HomeAttackPlay-by-Play'!E5,Roster!$L$2:$M$27,2,FALSE),"")</f>
        <v>R</v>
      </c>
      <c r="BP5" s="48" t="str">
        <f>IF(BO5&lt;&gt;"",HYPERLINK(video!$F$29&amp;"\"&amp;"cam_1_"&amp;$BO5&amp;".avi","Play"),"")</f>
        <v/>
      </c>
      <c r="BQ5" s="48" t="str">
        <f>IF(BO5&lt;&gt;"",HYPERLINK(video!$F$29&amp;"\"&amp;"cam_2_"&amp;$BO5&amp;".avi","Play"),"")</f>
        <v/>
      </c>
      <c r="BR5" s="48" t="str">
        <f>IF(BO5&lt;&gt;"",HYPERLINK(video!$F$29&amp;"\"&amp;"cam_3_"&amp;$BO5&amp;".avi","Play"),"")</f>
        <v/>
      </c>
      <c r="BS5" s="48" t="str">
        <f>IF(BV5&lt;&gt;"",HYPERLINK(video!$F$25&amp;"\"&amp;"cam_4_"&amp;$BV5&amp;".avi","Play"),"")</f>
        <v/>
      </c>
      <c r="BT5" s="48" t="str">
        <f>IF(BV5&lt;&gt;"",HYPERLINK(video!$F$25&amp;"\"&amp;"cam_5_"&amp;$BV5&amp;".avi","Play"),"")</f>
        <v/>
      </c>
      <c r="BU5" s="48" t="str">
        <f>IF(BV5&lt;&gt;"",HYPERLINK(video!$F$25&amp;"\"&amp;"cam_6_"&amp;$BV5&amp;".avi","Play"),"")</f>
        <v/>
      </c>
      <c r="BY5" s="4">
        <f t="shared" si="0"/>
        <v>47.25</v>
      </c>
      <c r="BZ5" s="4">
        <f t="shared" si="1"/>
        <v>246</v>
      </c>
      <c r="CD5" s="5" t="str">
        <f>Lineup!$G$1</f>
        <v>一軍例行賽</v>
      </c>
      <c r="CE5" s="4">
        <f>Lineup!$I$1</f>
        <v>148</v>
      </c>
      <c r="CF5" s="5" t="str">
        <f>Lineup!$G$5</f>
        <v>王俊宏</v>
      </c>
      <c r="CG5" s="5" t="str">
        <f>Lineup!$G$4</f>
        <v>桃園</v>
      </c>
    </row>
    <row r="6" spans="1:226" x14ac:dyDescent="0.3">
      <c r="A6" s="43">
        <v>5</v>
      </c>
      <c r="B6" s="4">
        <v>0</v>
      </c>
      <c r="C6" s="4">
        <v>1</v>
      </c>
      <c r="D6" s="4">
        <v>1</v>
      </c>
      <c r="E6" s="4" t="s">
        <v>621</v>
      </c>
      <c r="F6" s="4" t="s">
        <v>341</v>
      </c>
      <c r="G6" s="4">
        <v>5</v>
      </c>
      <c r="H6" s="4">
        <v>3</v>
      </c>
      <c r="I6" s="4">
        <v>2</v>
      </c>
      <c r="J6" s="4">
        <v>1</v>
      </c>
      <c r="K6" s="4">
        <v>138</v>
      </c>
      <c r="L6" s="4" t="s">
        <v>668</v>
      </c>
      <c r="M6" s="4" t="s">
        <v>343</v>
      </c>
      <c r="N6" s="4" t="s">
        <v>642</v>
      </c>
      <c r="O6" s="4">
        <v>46.5</v>
      </c>
      <c r="P6" s="4">
        <v>134.25</v>
      </c>
      <c r="Q6" s="4" t="s">
        <v>641</v>
      </c>
      <c r="AB6" s="4" t="s">
        <v>574</v>
      </c>
      <c r="AO6" s="4">
        <v>1</v>
      </c>
      <c r="AP6" s="4">
        <v>2</v>
      </c>
      <c r="AQ6" s="4" t="s">
        <v>654</v>
      </c>
      <c r="AS6">
        <v>1</v>
      </c>
      <c r="AT6">
        <v>1</v>
      </c>
      <c r="AU6" s="33">
        <v>1114.9999999999952</v>
      </c>
      <c r="AV6" s="36" t="s">
        <v>644</v>
      </c>
      <c r="AW6" s="4">
        <v>1111.0000000000075</v>
      </c>
      <c r="AX6" s="4" t="str">
        <f>IFERROR(VLOOKUP(M6,Roster!$D$2:$E$27,2,FALSE),"")</f>
        <v>L</v>
      </c>
      <c r="AY6" s="4" t="str">
        <f t="shared" si="2"/>
        <v>1好1壞</v>
      </c>
      <c r="BI6" s="5" t="str">
        <f>Lineup!$G$2</f>
        <v>20210817</v>
      </c>
      <c r="BJ6" s="4" t="str">
        <f t="shared" si="3"/>
        <v>偏內角偏低</v>
      </c>
      <c r="BK6" s="4" t="str">
        <f t="shared" si="4"/>
        <v>1B1O</v>
      </c>
      <c r="BL6" s="4" t="str">
        <f>IFERROR(VLOOKUP('HomeAttackPlay-by-Play'!E6,Roster!$L$2:$M$27,2,FALSE),"")</f>
        <v>R</v>
      </c>
      <c r="BP6" s="48" t="str">
        <f>IF(BO6&lt;&gt;"",HYPERLINK(video!$F$29&amp;"\"&amp;"cam_1_"&amp;$BO6&amp;".avi","Play"),"")</f>
        <v/>
      </c>
      <c r="BQ6" s="48" t="str">
        <f>IF(BO6&lt;&gt;"",HYPERLINK(video!$F$29&amp;"\"&amp;"cam_2_"&amp;$BO6&amp;".avi","Play"),"")</f>
        <v/>
      </c>
      <c r="BR6" s="48" t="str">
        <f>IF(BO6&lt;&gt;"",HYPERLINK(video!$F$29&amp;"\"&amp;"cam_3_"&amp;$BO6&amp;".avi","Play"),"")</f>
        <v/>
      </c>
      <c r="BS6" s="48" t="str">
        <f>IF(BV6&lt;&gt;"",HYPERLINK(video!$F$25&amp;"\"&amp;"cam_4_"&amp;$BV6&amp;".avi","Play"),"")</f>
        <v/>
      </c>
      <c r="BT6" s="48" t="str">
        <f>IF(BV6&lt;&gt;"",HYPERLINK(video!$F$25&amp;"\"&amp;"cam_5_"&amp;$BV6&amp;".avi","Play"),"")</f>
        <v/>
      </c>
      <c r="BU6" s="48" t="str">
        <f>IF(BV6&lt;&gt;"",HYPERLINK(video!$F$25&amp;"\"&amp;"cam_6_"&amp;$BV6&amp;".avi","Play"),"")</f>
        <v/>
      </c>
      <c r="BY6" s="4">
        <f t="shared" si="0"/>
        <v>51.75</v>
      </c>
      <c r="BZ6" s="4">
        <f t="shared" si="1"/>
        <v>246</v>
      </c>
      <c r="CD6" s="5" t="str">
        <f>Lineup!$G$1</f>
        <v>一軍例行賽</v>
      </c>
      <c r="CE6" s="4">
        <f>Lineup!$I$1</f>
        <v>148</v>
      </c>
      <c r="CF6" s="5" t="str">
        <f>Lineup!$G$5</f>
        <v>王俊宏</v>
      </c>
      <c r="CG6" s="5" t="str">
        <f>Lineup!$G$4</f>
        <v>桃園</v>
      </c>
    </row>
    <row r="7" spans="1:226" x14ac:dyDescent="0.3">
      <c r="A7" s="43">
        <v>6</v>
      </c>
      <c r="B7" s="4">
        <v>0</v>
      </c>
      <c r="C7" s="4">
        <v>1</v>
      </c>
      <c r="D7" s="4">
        <v>1</v>
      </c>
      <c r="E7" s="4" t="s">
        <v>621</v>
      </c>
      <c r="F7" s="4" t="s">
        <v>341</v>
      </c>
      <c r="G7" s="4">
        <v>6</v>
      </c>
      <c r="H7" s="4">
        <v>4</v>
      </c>
      <c r="I7" s="4">
        <v>2</v>
      </c>
      <c r="J7" s="4">
        <v>1</v>
      </c>
      <c r="K7" s="4">
        <v>139</v>
      </c>
      <c r="L7" s="4" t="s">
        <v>643</v>
      </c>
      <c r="M7" s="4" t="s">
        <v>343</v>
      </c>
      <c r="N7" s="4" t="s">
        <v>649</v>
      </c>
      <c r="O7" s="4">
        <v>58.5</v>
      </c>
      <c r="P7" s="4">
        <v>81.75</v>
      </c>
      <c r="Q7" s="4" t="s">
        <v>639</v>
      </c>
      <c r="R7" s="5" t="s">
        <v>657</v>
      </c>
      <c r="AB7" s="4" t="s">
        <v>574</v>
      </c>
      <c r="AO7" s="4">
        <v>2</v>
      </c>
      <c r="AP7" s="4">
        <v>2</v>
      </c>
      <c r="AQ7" s="4" t="s">
        <v>655</v>
      </c>
      <c r="AS7">
        <v>1</v>
      </c>
      <c r="AT7">
        <v>2</v>
      </c>
      <c r="AU7" s="33">
        <v>1168.0000000000068</v>
      </c>
      <c r="AV7" s="36" t="s">
        <v>644</v>
      </c>
      <c r="AW7" s="4">
        <v>1160.9999999999895</v>
      </c>
      <c r="AX7" s="4" t="str">
        <f>IFERROR(VLOOKUP(M7,Roster!$D$2:$E$27,2,FALSE),"")</f>
        <v>L</v>
      </c>
      <c r="AY7" s="4" t="str">
        <f t="shared" si="2"/>
        <v>1好2壞</v>
      </c>
      <c r="BI7" s="5" t="str">
        <f>Lineup!$G$2</f>
        <v>20210817</v>
      </c>
      <c r="BJ7" s="4" t="str">
        <f t="shared" si="3"/>
        <v>內角中</v>
      </c>
      <c r="BK7" s="4" t="str">
        <f t="shared" si="4"/>
        <v>1B1O</v>
      </c>
      <c r="BL7" s="4" t="str">
        <f>IFERROR(VLOOKUP('HomeAttackPlay-by-Play'!E7,Roster!$L$2:$M$27,2,FALSE),"")</f>
        <v>R</v>
      </c>
      <c r="BP7" s="48" t="str">
        <f>IF(BO7&lt;&gt;"",HYPERLINK(video!$F$29&amp;"\"&amp;"cam_1_"&amp;$BO7&amp;".avi","Play"),"")</f>
        <v/>
      </c>
      <c r="BQ7" s="48" t="str">
        <f>IF(BO7&lt;&gt;"",HYPERLINK(video!$F$29&amp;"\"&amp;"cam_2_"&amp;$BO7&amp;".avi","Play"),"")</f>
        <v/>
      </c>
      <c r="BR7" s="48" t="str">
        <f>IF(BO7&lt;&gt;"",HYPERLINK(video!$F$29&amp;"\"&amp;"cam_3_"&amp;$BO7&amp;".avi","Play"),"")</f>
        <v/>
      </c>
      <c r="BS7" s="48" t="str">
        <f>IF(BV7&lt;&gt;"",HYPERLINK(video!$F$25&amp;"\"&amp;"cam_4_"&amp;$BV7&amp;".avi","Play"),"")</f>
        <v/>
      </c>
      <c r="BT7" s="48" t="str">
        <f>IF(BV7&lt;&gt;"",HYPERLINK(video!$F$25&amp;"\"&amp;"cam_5_"&amp;$BV7&amp;".avi","Play"),"")</f>
        <v/>
      </c>
      <c r="BU7" s="48" t="str">
        <f>IF(BV7&lt;&gt;"",HYPERLINK(video!$F$25&amp;"\"&amp;"cam_6_"&amp;$BV7&amp;".avi","Play"),"")</f>
        <v/>
      </c>
      <c r="BY7" s="4">
        <f t="shared" si="0"/>
        <v>104.25</v>
      </c>
      <c r="BZ7" s="4">
        <f t="shared" si="1"/>
        <v>246</v>
      </c>
      <c r="CD7" s="5" t="str">
        <f>Lineup!$G$1</f>
        <v>一軍例行賽</v>
      </c>
      <c r="CE7" s="4">
        <f>Lineup!$I$1</f>
        <v>148</v>
      </c>
      <c r="CF7" s="5" t="str">
        <f>Lineup!$G$5</f>
        <v>王俊宏</v>
      </c>
      <c r="CG7" s="5" t="str">
        <f>Lineup!$G$4</f>
        <v>桃園</v>
      </c>
    </row>
    <row r="8" spans="1:226" x14ac:dyDescent="0.3">
      <c r="A8" s="43">
        <v>7</v>
      </c>
      <c r="B8" s="4">
        <v>0</v>
      </c>
      <c r="C8" s="4">
        <v>1</v>
      </c>
      <c r="D8" s="4">
        <v>1</v>
      </c>
      <c r="E8" s="4" t="s">
        <v>621</v>
      </c>
      <c r="F8" s="4" t="s">
        <v>341</v>
      </c>
      <c r="G8" s="4">
        <v>7</v>
      </c>
      <c r="H8" s="4">
        <v>5</v>
      </c>
      <c r="I8" s="4">
        <v>2</v>
      </c>
      <c r="J8" s="4">
        <v>2</v>
      </c>
      <c r="K8" s="4">
        <v>135</v>
      </c>
      <c r="L8" s="4" t="s">
        <v>646</v>
      </c>
      <c r="M8" s="4" t="s">
        <v>343</v>
      </c>
      <c r="N8" s="4" t="s">
        <v>649</v>
      </c>
      <c r="O8" s="4">
        <v>45.75</v>
      </c>
      <c r="P8" s="4">
        <v>103.5</v>
      </c>
      <c r="Q8" s="4" t="s">
        <v>639</v>
      </c>
      <c r="R8" s="5" t="s">
        <v>685</v>
      </c>
      <c r="AB8" s="4" t="s">
        <v>574</v>
      </c>
      <c r="AI8" s="4" t="s">
        <v>343</v>
      </c>
      <c r="AK8" s="4">
        <v>1</v>
      </c>
      <c r="AM8" s="4">
        <v>1</v>
      </c>
      <c r="AO8" s="4">
        <v>3</v>
      </c>
      <c r="AP8" s="4">
        <v>2</v>
      </c>
      <c r="AQ8" s="4" t="s">
        <v>683</v>
      </c>
      <c r="AR8" s="4" t="s">
        <v>684</v>
      </c>
      <c r="AS8">
        <v>2</v>
      </c>
      <c r="AT8">
        <v>2</v>
      </c>
      <c r="AU8" s="33">
        <v>1222.999999999993</v>
      </c>
      <c r="AV8" s="36" t="s">
        <v>644</v>
      </c>
      <c r="AW8" s="4">
        <v>1220.000000000002</v>
      </c>
      <c r="AX8" s="4" t="str">
        <f>IFERROR(VLOOKUP(M8,Roster!$D$2:$E$27,2,FALSE),"")</f>
        <v>L</v>
      </c>
      <c r="AY8" s="4" t="str">
        <f t="shared" si="2"/>
        <v>2好2壞</v>
      </c>
      <c r="BI8" s="5" t="str">
        <f>Lineup!$G$2</f>
        <v>20210817</v>
      </c>
      <c r="BJ8" s="4" t="str">
        <f t="shared" si="3"/>
        <v>偏內角低</v>
      </c>
      <c r="BK8" s="4" t="str">
        <f t="shared" si="4"/>
        <v>1B1O</v>
      </c>
      <c r="BL8" s="4" t="str">
        <f>IFERROR(VLOOKUP('HomeAttackPlay-by-Play'!E8,Roster!$L$2:$M$27,2,FALSE),"")</f>
        <v>R</v>
      </c>
      <c r="BP8" s="48" t="str">
        <f>IF(BO8&lt;&gt;"",HYPERLINK(video!$F$29&amp;"\"&amp;"cam_1_"&amp;$BO8&amp;".avi","Play"),"")</f>
        <v/>
      </c>
      <c r="BQ8" s="48" t="str">
        <f>IF(BO8&lt;&gt;"",HYPERLINK(video!$F$29&amp;"\"&amp;"cam_2_"&amp;$BO8&amp;".avi","Play"),"")</f>
        <v/>
      </c>
      <c r="BR8" s="48" t="str">
        <f>IF(BO8&lt;&gt;"",HYPERLINK(video!$F$29&amp;"\"&amp;"cam_3_"&amp;$BO8&amp;".avi","Play"),"")</f>
        <v/>
      </c>
      <c r="BS8" s="48" t="str">
        <f>IF(BV8&lt;&gt;"",HYPERLINK(video!$F$25&amp;"\"&amp;"cam_4_"&amp;$BV8&amp;".avi","Play"),"")</f>
        <v/>
      </c>
      <c r="BT8" s="48" t="str">
        <f>IF(BV8&lt;&gt;"",HYPERLINK(video!$F$25&amp;"\"&amp;"cam_5_"&amp;$BV8&amp;".avi","Play"),"")</f>
        <v/>
      </c>
      <c r="BU8" s="48" t="str">
        <f>IF(BV8&lt;&gt;"",HYPERLINK(video!$F$25&amp;"\"&amp;"cam_6_"&amp;$BV8&amp;".avi","Play"),"")</f>
        <v/>
      </c>
      <c r="BY8" s="4">
        <f t="shared" si="0"/>
        <v>82.5</v>
      </c>
      <c r="BZ8" s="4">
        <f t="shared" si="1"/>
        <v>246</v>
      </c>
      <c r="CD8" s="5" t="str">
        <f>Lineup!$G$1</f>
        <v>一軍例行賽</v>
      </c>
      <c r="CE8" s="4">
        <f>Lineup!$I$1</f>
        <v>148</v>
      </c>
      <c r="CF8" s="5" t="str">
        <f>Lineup!$G$5</f>
        <v>王俊宏</v>
      </c>
      <c r="CG8" s="5" t="str">
        <f>Lineup!$G$4</f>
        <v>桃園</v>
      </c>
    </row>
    <row r="9" spans="1:226" x14ac:dyDescent="0.3">
      <c r="A9" s="43">
        <v>8</v>
      </c>
      <c r="B9" s="4">
        <v>0</v>
      </c>
      <c r="C9" s="4">
        <v>1</v>
      </c>
      <c r="D9" s="4">
        <v>1</v>
      </c>
      <c r="E9" s="4" t="s">
        <v>621</v>
      </c>
      <c r="F9" s="4" t="s">
        <v>341</v>
      </c>
      <c r="G9" s="4">
        <v>8</v>
      </c>
      <c r="H9" s="4">
        <v>5</v>
      </c>
      <c r="I9" s="4">
        <v>3</v>
      </c>
      <c r="J9" s="4">
        <v>2</v>
      </c>
      <c r="L9" s="4" t="s">
        <v>646</v>
      </c>
      <c r="M9" s="4" t="s">
        <v>352</v>
      </c>
      <c r="N9" s="4" t="s">
        <v>642</v>
      </c>
      <c r="O9" s="4">
        <v>36.75</v>
      </c>
      <c r="P9" s="4">
        <v>134.25</v>
      </c>
      <c r="Q9" s="4" t="s">
        <v>641</v>
      </c>
      <c r="AB9" s="4" t="s">
        <v>574</v>
      </c>
      <c r="AO9" s="4">
        <v>0</v>
      </c>
      <c r="AP9" s="4">
        <v>1</v>
      </c>
      <c r="AQ9" s="4" t="s">
        <v>652</v>
      </c>
      <c r="AS9">
        <v>0</v>
      </c>
      <c r="AT9">
        <v>0</v>
      </c>
      <c r="AU9" s="33">
        <v>1265.9999999999964</v>
      </c>
      <c r="AV9" s="36" t="s">
        <v>644</v>
      </c>
      <c r="AW9" s="4">
        <v>1263.0000000000057</v>
      </c>
      <c r="AX9" s="4" t="str">
        <f>IFERROR(VLOOKUP(M9,Roster!$D$2:$E$27,2,FALSE),"")</f>
        <v>R</v>
      </c>
      <c r="AY9" s="4" t="str">
        <f t="shared" si="2"/>
        <v>0好0壞</v>
      </c>
      <c r="BI9" s="5" t="str">
        <f>Lineup!$G$2</f>
        <v>20210817</v>
      </c>
      <c r="BJ9" s="4" t="str">
        <f t="shared" si="3"/>
        <v>偏外角偏低</v>
      </c>
      <c r="BK9" s="4" t="str">
        <f t="shared" si="4"/>
        <v>1B2O</v>
      </c>
      <c r="BL9" s="4" t="str">
        <f>IFERROR(VLOOKUP('HomeAttackPlay-by-Play'!E9,Roster!$L$2:$M$27,2,FALSE),"")</f>
        <v>R</v>
      </c>
      <c r="BP9" s="48" t="str">
        <f>IF(BO9&lt;&gt;"",HYPERLINK(video!$F$29&amp;"\"&amp;"cam_1_"&amp;$BO9&amp;".avi","Play"),"")</f>
        <v/>
      </c>
      <c r="BQ9" s="48" t="str">
        <f>IF(BO9&lt;&gt;"",HYPERLINK(video!$F$29&amp;"\"&amp;"cam_2_"&amp;$BO9&amp;".avi","Play"),"")</f>
        <v/>
      </c>
      <c r="BR9" s="48" t="str">
        <f>IF(BO9&lt;&gt;"",HYPERLINK(video!$F$29&amp;"\"&amp;"cam_3_"&amp;$BO9&amp;".avi","Play"),"")</f>
        <v/>
      </c>
      <c r="BS9" s="48" t="str">
        <f>IF(BV9&lt;&gt;"",HYPERLINK(video!$F$25&amp;"\"&amp;"cam_4_"&amp;$BV9&amp;".avi","Play"),"")</f>
        <v/>
      </c>
      <c r="BT9" s="48" t="str">
        <f>IF(BV9&lt;&gt;"",HYPERLINK(video!$F$25&amp;"\"&amp;"cam_5_"&amp;$BV9&amp;".avi","Play"),"")</f>
        <v/>
      </c>
      <c r="BU9" s="48" t="str">
        <f>IF(BV9&lt;&gt;"",HYPERLINK(video!$F$25&amp;"\"&amp;"cam_6_"&amp;$BV9&amp;".avi","Play"),"")</f>
        <v/>
      </c>
      <c r="BY9" s="4">
        <f t="shared" si="0"/>
        <v>51.75</v>
      </c>
      <c r="BZ9" s="4">
        <f t="shared" si="1"/>
        <v>246</v>
      </c>
      <c r="CD9" s="5" t="str">
        <f>Lineup!$G$1</f>
        <v>一軍例行賽</v>
      </c>
      <c r="CE9" s="4">
        <f>Lineup!$I$1</f>
        <v>148</v>
      </c>
      <c r="CF9" s="5" t="str">
        <f>Lineup!$G$5</f>
        <v>王俊宏</v>
      </c>
      <c r="CG9" s="5" t="str">
        <f>Lineup!$G$4</f>
        <v>桃園</v>
      </c>
    </row>
    <row r="10" spans="1:226" x14ac:dyDescent="0.3">
      <c r="A10" s="43">
        <v>9</v>
      </c>
      <c r="B10" s="4">
        <v>0</v>
      </c>
      <c r="C10" s="4">
        <v>1</v>
      </c>
      <c r="D10" s="4">
        <v>1</v>
      </c>
      <c r="E10" s="4" t="s">
        <v>621</v>
      </c>
      <c r="F10" s="4" t="s">
        <v>341</v>
      </c>
      <c r="G10" s="4">
        <v>9</v>
      </c>
      <c r="H10" s="4">
        <v>5</v>
      </c>
      <c r="I10" s="4">
        <v>4</v>
      </c>
      <c r="J10" s="4">
        <v>2</v>
      </c>
      <c r="K10" s="4">
        <v>150</v>
      </c>
      <c r="L10" s="4" t="s">
        <v>643</v>
      </c>
      <c r="M10" s="4" t="s">
        <v>352</v>
      </c>
      <c r="N10" s="4" t="s">
        <v>642</v>
      </c>
      <c r="O10" s="4">
        <v>66.75</v>
      </c>
      <c r="P10" s="4">
        <v>147</v>
      </c>
      <c r="Q10" s="4" t="s">
        <v>641</v>
      </c>
      <c r="AB10" s="4" t="s">
        <v>574</v>
      </c>
      <c r="AO10" s="4">
        <v>0</v>
      </c>
      <c r="AP10" s="4">
        <v>2</v>
      </c>
      <c r="AQ10" s="4" t="s">
        <v>653</v>
      </c>
      <c r="AS10">
        <v>0</v>
      </c>
      <c r="AT10">
        <v>1</v>
      </c>
      <c r="AU10" s="33">
        <v>1290.0000000000002</v>
      </c>
      <c r="AV10" s="36" t="s">
        <v>644</v>
      </c>
      <c r="AW10" s="4">
        <v>1285</v>
      </c>
      <c r="AX10" s="4" t="str">
        <f>IFERROR(VLOOKUP(M10,Roster!$D$2:$E$27,2,FALSE),"")</f>
        <v>R</v>
      </c>
      <c r="AY10" s="4" t="str">
        <f t="shared" si="2"/>
        <v>0好1壞</v>
      </c>
      <c r="BI10" s="5" t="str">
        <f>Lineup!$G$2</f>
        <v>20210817</v>
      </c>
      <c r="BJ10" s="4" t="str">
        <f t="shared" si="3"/>
        <v>中偏低</v>
      </c>
      <c r="BK10" s="4" t="str">
        <f t="shared" si="4"/>
        <v>1B2O</v>
      </c>
      <c r="BL10" s="4" t="str">
        <f>IFERROR(VLOOKUP('HomeAttackPlay-by-Play'!E10,Roster!$L$2:$M$27,2,FALSE),"")</f>
        <v>R</v>
      </c>
      <c r="BP10" s="48" t="str">
        <f>IF(BO10&lt;&gt;"",HYPERLINK(video!$F$29&amp;"\"&amp;"cam_1_"&amp;$BO10&amp;".avi","Play"),"")</f>
        <v/>
      </c>
      <c r="BQ10" s="48" t="str">
        <f>IF(BO10&lt;&gt;"",HYPERLINK(video!$F$29&amp;"\"&amp;"cam_2_"&amp;$BO10&amp;".avi","Play"),"")</f>
        <v/>
      </c>
      <c r="BR10" s="48" t="str">
        <f>IF(BO10&lt;&gt;"",HYPERLINK(video!$F$29&amp;"\"&amp;"cam_3_"&amp;$BO10&amp;".avi","Play"),"")</f>
        <v/>
      </c>
      <c r="BS10" s="48" t="str">
        <f>IF(BV10&lt;&gt;"",HYPERLINK(video!$F$25&amp;"\"&amp;"cam_4_"&amp;$BV10&amp;".avi","Play"),"")</f>
        <v/>
      </c>
      <c r="BT10" s="48" t="str">
        <f>IF(BV10&lt;&gt;"",HYPERLINK(video!$F$25&amp;"\"&amp;"cam_5_"&amp;$BV10&amp;".avi","Play"),"")</f>
        <v/>
      </c>
      <c r="BU10" s="48" t="str">
        <f>IF(BV10&lt;&gt;"",HYPERLINK(video!$F$25&amp;"\"&amp;"cam_6_"&amp;$BV10&amp;".avi","Play"),"")</f>
        <v/>
      </c>
      <c r="BY10" s="4">
        <f t="shared" si="0"/>
        <v>39</v>
      </c>
      <c r="BZ10" s="4">
        <f t="shared" si="1"/>
        <v>246</v>
      </c>
      <c r="CD10" s="5" t="str">
        <f>Lineup!$G$1</f>
        <v>一軍例行賽</v>
      </c>
      <c r="CE10" s="4">
        <f>Lineup!$I$1</f>
        <v>148</v>
      </c>
      <c r="CF10" s="5" t="str">
        <f>Lineup!$G$5</f>
        <v>王俊宏</v>
      </c>
      <c r="CG10" s="5" t="str">
        <f>Lineup!$G$4</f>
        <v>桃園</v>
      </c>
    </row>
    <row r="11" spans="1:226" x14ac:dyDescent="0.3">
      <c r="A11" s="43">
        <v>10</v>
      </c>
      <c r="B11" s="4">
        <v>0</v>
      </c>
      <c r="C11" s="4">
        <v>1</v>
      </c>
      <c r="D11" s="4">
        <v>1</v>
      </c>
      <c r="E11" s="4" t="s">
        <v>621</v>
      </c>
      <c r="F11" s="4" t="s">
        <v>341</v>
      </c>
      <c r="G11" s="4">
        <v>9</v>
      </c>
      <c r="H11" s="4">
        <v>4</v>
      </c>
      <c r="I11" s="4">
        <v>5</v>
      </c>
      <c r="J11" s="4">
        <v>3</v>
      </c>
      <c r="K11" s="4">
        <v>147</v>
      </c>
      <c r="L11" s="4" t="s">
        <v>664</v>
      </c>
      <c r="M11" s="4" t="s">
        <v>352</v>
      </c>
      <c r="N11" s="4" t="s">
        <v>642</v>
      </c>
      <c r="O11" s="4">
        <v>43.5</v>
      </c>
      <c r="P11" s="4">
        <v>132</v>
      </c>
      <c r="Q11" s="4" t="s">
        <v>641</v>
      </c>
      <c r="AA11" s="4" t="s">
        <v>687</v>
      </c>
      <c r="AE11" s="4" t="s">
        <v>661</v>
      </c>
      <c r="AF11" s="4" t="s">
        <v>661</v>
      </c>
      <c r="AG11" s="4" t="s">
        <v>661</v>
      </c>
      <c r="AJ11" s="4" t="s">
        <v>574</v>
      </c>
      <c r="AK11" s="4">
        <v>1</v>
      </c>
      <c r="AO11" s="4">
        <v>0</v>
      </c>
      <c r="AP11" s="4">
        <v>3</v>
      </c>
      <c r="AQ11" s="4" t="s">
        <v>686</v>
      </c>
      <c r="AR11" s="4" t="s">
        <v>688</v>
      </c>
      <c r="AS11">
        <v>0</v>
      </c>
      <c r="AT11">
        <v>2</v>
      </c>
      <c r="AU11" s="33">
        <v>1320.9999999999923</v>
      </c>
      <c r="AV11" s="36" t="s">
        <v>644</v>
      </c>
      <c r="AW11" s="4">
        <v>1312.0000000000005</v>
      </c>
      <c r="AX11" s="4" t="str">
        <f>IFERROR(VLOOKUP(M11,Roster!$D$2:$E$27,2,FALSE),"")</f>
        <v>R</v>
      </c>
      <c r="AY11" s="4" t="str">
        <f t="shared" si="2"/>
        <v>0好2壞</v>
      </c>
      <c r="BI11" s="5" t="str">
        <f>Lineup!$G$2</f>
        <v>20210817</v>
      </c>
      <c r="BJ11" s="4" t="str">
        <f t="shared" si="3"/>
        <v>偏外角偏低</v>
      </c>
      <c r="BK11" s="4" t="str">
        <f t="shared" si="4"/>
        <v>1B2O</v>
      </c>
      <c r="BL11" s="4" t="str">
        <f>IFERROR(VLOOKUP('HomeAttackPlay-by-Play'!E11,Roster!$L$2:$M$27,2,FALSE),"")</f>
        <v>R</v>
      </c>
      <c r="BP11" s="48" t="str">
        <f>IF(BO11&lt;&gt;"",HYPERLINK(video!$F$29&amp;"\"&amp;"cam_1_"&amp;$BO11&amp;".avi","Play"),"")</f>
        <v/>
      </c>
      <c r="BQ11" s="48" t="str">
        <f>IF(BO11&lt;&gt;"",HYPERLINK(video!$F$29&amp;"\"&amp;"cam_2_"&amp;$BO11&amp;".avi","Play"),"")</f>
        <v/>
      </c>
      <c r="BR11" s="48" t="str">
        <f>IF(BO11&lt;&gt;"",HYPERLINK(video!$F$29&amp;"\"&amp;"cam_3_"&amp;$BO11&amp;".avi","Play"),"")</f>
        <v/>
      </c>
      <c r="BS11" s="48" t="str">
        <f>IF(BV11&lt;&gt;"",HYPERLINK(video!$F$25&amp;"\"&amp;"cam_4_"&amp;$BV11&amp;".avi","Play"),"")</f>
        <v/>
      </c>
      <c r="BT11" s="48" t="str">
        <f>IF(BV11&lt;&gt;"",HYPERLINK(video!$F$25&amp;"\"&amp;"cam_5_"&amp;$BV11&amp;".avi","Play"),"")</f>
        <v/>
      </c>
      <c r="BU11" s="48" t="str">
        <f>IF(BV11&lt;&gt;"",HYPERLINK(video!$F$25&amp;"\"&amp;"cam_6_"&amp;$BV11&amp;".avi","Play"),"")</f>
        <v/>
      </c>
      <c r="BY11" s="4">
        <f t="shared" si="0"/>
        <v>54</v>
      </c>
      <c r="BZ11" s="4">
        <f t="shared" si="1"/>
        <v>246</v>
      </c>
      <c r="CD11" s="5" t="str">
        <f>Lineup!$G$1</f>
        <v>一軍例行賽</v>
      </c>
      <c r="CE11" s="4">
        <f>Lineup!$I$1</f>
        <v>148</v>
      </c>
      <c r="CF11" s="5" t="str">
        <f>Lineup!$G$5</f>
        <v>王俊宏</v>
      </c>
      <c r="CG11" s="5" t="str">
        <f>Lineup!$G$4</f>
        <v>桃園</v>
      </c>
    </row>
    <row r="12" spans="1:226" x14ac:dyDescent="0.3">
      <c r="A12" s="43">
        <v>11</v>
      </c>
      <c r="B12" s="4">
        <v>0</v>
      </c>
      <c r="C12" s="4">
        <v>3</v>
      </c>
      <c r="D12" s="4">
        <v>2</v>
      </c>
      <c r="E12" s="4" t="s">
        <v>621</v>
      </c>
      <c r="F12" s="4" t="s">
        <v>341</v>
      </c>
      <c r="G12" s="4">
        <v>10</v>
      </c>
      <c r="H12" s="4">
        <v>4</v>
      </c>
      <c r="I12" s="4">
        <v>6</v>
      </c>
      <c r="J12" s="4">
        <v>0</v>
      </c>
      <c r="L12" s="4" t="s">
        <v>643</v>
      </c>
      <c r="M12" s="4" t="s">
        <v>352</v>
      </c>
      <c r="N12" s="4" t="s">
        <v>642</v>
      </c>
      <c r="O12" s="4">
        <v>94.5</v>
      </c>
      <c r="P12" s="4">
        <v>50.25</v>
      </c>
      <c r="Q12" s="4" t="s">
        <v>641</v>
      </c>
      <c r="AO12" s="4">
        <v>0</v>
      </c>
      <c r="AP12" s="4">
        <v>1</v>
      </c>
      <c r="AQ12" s="4" t="s">
        <v>652</v>
      </c>
      <c r="AS12">
        <v>0</v>
      </c>
      <c r="AT12">
        <v>0</v>
      </c>
      <c r="AU12" s="33">
        <v>2541.0000000000041</v>
      </c>
      <c r="AV12" s="36" t="s">
        <v>644</v>
      </c>
      <c r="AW12" s="4">
        <v>2536</v>
      </c>
      <c r="AX12" s="4" t="str">
        <f>IFERROR(VLOOKUP(M12,Roster!$D$2:$E$27,2,FALSE),"")</f>
        <v>R</v>
      </c>
      <c r="AY12" s="4" t="str">
        <f t="shared" si="2"/>
        <v>0好0壞</v>
      </c>
      <c r="BI12" s="5" t="str">
        <f>Lineup!$G$2</f>
        <v>20210817</v>
      </c>
      <c r="BJ12" s="4" t="str">
        <f t="shared" si="3"/>
        <v>內角偏高</v>
      </c>
      <c r="BK12" s="4" t="str">
        <f t="shared" si="4"/>
        <v>B3O</v>
      </c>
      <c r="BL12" s="4" t="str">
        <f>IFERROR(VLOOKUP('HomeAttackPlay-by-Play'!E12,Roster!$L$2:$M$27,2,FALSE),"")</f>
        <v>R</v>
      </c>
      <c r="BP12" s="48" t="str">
        <f>IF(BO12&lt;&gt;"",HYPERLINK(video!$F$29&amp;"\"&amp;"cam_1_"&amp;$BO12&amp;".avi","Play"),"")</f>
        <v/>
      </c>
      <c r="BQ12" s="48" t="str">
        <f>IF(BO12&lt;&gt;"",HYPERLINK(video!$F$29&amp;"\"&amp;"cam_2_"&amp;$BO12&amp;".avi","Play"),"")</f>
        <v/>
      </c>
      <c r="BR12" s="48" t="str">
        <f>IF(BO12&lt;&gt;"",HYPERLINK(video!$F$29&amp;"\"&amp;"cam_3_"&amp;$BO12&amp;".avi","Play"),"")</f>
        <v/>
      </c>
      <c r="BS12" s="48" t="str">
        <f>IF(BV12&lt;&gt;"",HYPERLINK(video!$F$25&amp;"\"&amp;"cam_4_"&amp;$BV12&amp;".avi","Play"),"")</f>
        <v/>
      </c>
      <c r="BT12" s="48" t="str">
        <f>IF(BV12&lt;&gt;"",HYPERLINK(video!$F$25&amp;"\"&amp;"cam_5_"&amp;$BV12&amp;".avi","Play"),"")</f>
        <v/>
      </c>
      <c r="BU12" s="48" t="str">
        <f>IF(BV12&lt;&gt;"",HYPERLINK(video!$F$25&amp;"\"&amp;"cam_6_"&amp;$BV12&amp;".avi","Play"),"")</f>
        <v/>
      </c>
      <c r="BY12" s="4">
        <f t="shared" si="0"/>
        <v>135.75</v>
      </c>
      <c r="BZ12" s="4">
        <f t="shared" si="1"/>
        <v>246</v>
      </c>
      <c r="CD12" s="5" t="str">
        <f>Lineup!$G$1</f>
        <v>一軍例行賽</v>
      </c>
      <c r="CE12" s="4">
        <f>Lineup!$I$1</f>
        <v>148</v>
      </c>
      <c r="CF12" s="5" t="str">
        <f>Lineup!$G$5</f>
        <v>王俊宏</v>
      </c>
      <c r="CG12" s="5" t="str">
        <f>Lineup!$G$4</f>
        <v>桃園</v>
      </c>
    </row>
    <row r="13" spans="1:226" x14ac:dyDescent="0.3">
      <c r="A13" s="43">
        <v>12</v>
      </c>
      <c r="B13" s="4">
        <v>0</v>
      </c>
      <c r="C13" s="4">
        <v>3</v>
      </c>
      <c r="D13" s="4">
        <v>2</v>
      </c>
      <c r="E13" s="4" t="s">
        <v>621</v>
      </c>
      <c r="F13" s="4" t="s">
        <v>341</v>
      </c>
      <c r="G13" s="4">
        <v>11</v>
      </c>
      <c r="H13" s="4">
        <v>5</v>
      </c>
      <c r="I13" s="4">
        <v>6</v>
      </c>
      <c r="J13" s="4">
        <v>0</v>
      </c>
      <c r="K13" s="4">
        <v>150</v>
      </c>
      <c r="L13" s="4" t="s">
        <v>643</v>
      </c>
      <c r="M13" s="4" t="s">
        <v>352</v>
      </c>
      <c r="N13" s="4" t="s">
        <v>649</v>
      </c>
      <c r="O13" s="4">
        <v>94.5</v>
      </c>
      <c r="P13" s="4">
        <v>102</v>
      </c>
      <c r="Q13" s="4" t="s">
        <v>639</v>
      </c>
      <c r="R13" s="5" t="s">
        <v>702</v>
      </c>
      <c r="S13" s="4">
        <v>219.75</v>
      </c>
      <c r="T13" s="4">
        <v>46.5</v>
      </c>
      <c r="U13" s="4" t="s">
        <v>383</v>
      </c>
      <c r="AD13" s="4" t="s">
        <v>352</v>
      </c>
      <c r="AM13" s="4">
        <v>1</v>
      </c>
      <c r="AO13" s="4">
        <v>1</v>
      </c>
      <c r="AP13" s="4">
        <v>1</v>
      </c>
      <c r="AQ13" s="4" t="s">
        <v>645</v>
      </c>
      <c r="AS13">
        <v>0</v>
      </c>
      <c r="AT13">
        <v>1</v>
      </c>
      <c r="AU13" s="33">
        <v>2568.9999999999955</v>
      </c>
      <c r="AV13" s="36" t="s">
        <v>644</v>
      </c>
      <c r="AW13" s="4">
        <v>2549.9999999999959</v>
      </c>
      <c r="AX13" s="4" t="str">
        <f>IFERROR(VLOOKUP(M13,Roster!$D$2:$E$27,2,FALSE),"")</f>
        <v>R</v>
      </c>
      <c r="AY13" s="4" t="str">
        <f t="shared" si="2"/>
        <v>0好1壞</v>
      </c>
      <c r="BI13" s="5" t="str">
        <f>Lineup!$G$2</f>
        <v>20210817</v>
      </c>
      <c r="BJ13" s="4" t="str">
        <f t="shared" si="3"/>
        <v>內角中</v>
      </c>
      <c r="BK13" s="4" t="str">
        <f t="shared" si="4"/>
        <v>B0O</v>
      </c>
      <c r="BL13" s="4" t="str">
        <f>IFERROR(VLOOKUP('HomeAttackPlay-by-Play'!E13,Roster!$L$2:$M$27,2,FALSE),"")</f>
        <v>R</v>
      </c>
      <c r="BP13" s="48" t="str">
        <f>IF(BO13&lt;&gt;"",HYPERLINK(video!$F$29&amp;"\"&amp;"cam_1_"&amp;$BO13&amp;".avi","Play"),"")</f>
        <v/>
      </c>
      <c r="BQ13" s="48" t="str">
        <f>IF(BO13&lt;&gt;"",HYPERLINK(video!$F$29&amp;"\"&amp;"cam_2_"&amp;$BO13&amp;".avi","Play"),"")</f>
        <v/>
      </c>
      <c r="BR13" s="48" t="str">
        <f>IF(BO13&lt;&gt;"",HYPERLINK(video!$F$29&amp;"\"&amp;"cam_3_"&amp;$BO13&amp;".avi","Play"),"")</f>
        <v/>
      </c>
      <c r="BS13" s="48" t="str">
        <f>IF(BV13&lt;&gt;"",HYPERLINK(video!$F$25&amp;"\"&amp;"cam_4_"&amp;$BV13&amp;".avi","Play"),"")</f>
        <v/>
      </c>
      <c r="BT13" s="48" t="str">
        <f>IF(BV13&lt;&gt;"",HYPERLINK(video!$F$25&amp;"\"&amp;"cam_5_"&amp;$BV13&amp;".avi","Play"),"")</f>
        <v/>
      </c>
      <c r="BU13" s="48" t="str">
        <f>IF(BV13&lt;&gt;"",HYPERLINK(video!$F$25&amp;"\"&amp;"cam_6_"&amp;$BV13&amp;".avi","Play"),"")</f>
        <v/>
      </c>
      <c r="BY13" s="4">
        <f t="shared" si="0"/>
        <v>84</v>
      </c>
      <c r="BZ13" s="4">
        <f t="shared" si="1"/>
        <v>199.5</v>
      </c>
      <c r="CD13" s="5" t="str">
        <f>Lineup!$G$1</f>
        <v>一軍例行賽</v>
      </c>
      <c r="CE13" s="4">
        <f>Lineup!$I$1</f>
        <v>148</v>
      </c>
      <c r="CF13" s="5" t="str">
        <f>Lineup!$G$5</f>
        <v>王俊宏</v>
      </c>
      <c r="CG13" s="5" t="str">
        <f>Lineup!$G$4</f>
        <v>桃園</v>
      </c>
    </row>
    <row r="14" spans="1:226" x14ac:dyDescent="0.3">
      <c r="A14" s="43">
        <v>13</v>
      </c>
      <c r="B14" s="4">
        <v>0</v>
      </c>
      <c r="C14" s="4">
        <v>3</v>
      </c>
      <c r="D14" s="4">
        <v>2</v>
      </c>
      <c r="E14" s="4" t="s">
        <v>621</v>
      </c>
      <c r="F14" s="4" t="s">
        <v>341</v>
      </c>
      <c r="G14" s="4">
        <v>12</v>
      </c>
      <c r="H14" s="4">
        <v>5</v>
      </c>
      <c r="I14" s="4">
        <v>7</v>
      </c>
      <c r="J14" s="4">
        <v>0</v>
      </c>
      <c r="L14" s="4" t="s">
        <v>643</v>
      </c>
      <c r="M14" s="4" t="s">
        <v>355</v>
      </c>
      <c r="N14" s="4" t="s">
        <v>642</v>
      </c>
      <c r="O14" s="4">
        <v>124.5</v>
      </c>
      <c r="P14" s="4">
        <v>65.25</v>
      </c>
      <c r="Q14" s="4" t="s">
        <v>641</v>
      </c>
      <c r="AD14" s="4" t="s">
        <v>352</v>
      </c>
      <c r="AO14" s="4">
        <v>0</v>
      </c>
      <c r="AP14" s="4">
        <v>1</v>
      </c>
      <c r="AQ14" s="4" t="s">
        <v>652</v>
      </c>
      <c r="AS14">
        <v>0</v>
      </c>
      <c r="AT14">
        <v>0</v>
      </c>
      <c r="AU14" s="33">
        <v>2617.0000000000032</v>
      </c>
      <c r="AV14" s="36" t="s">
        <v>644</v>
      </c>
      <c r="AW14" s="4">
        <v>2614</v>
      </c>
      <c r="AX14" s="4" t="str">
        <f>IFERROR(VLOOKUP(M14,Roster!$D$2:$E$27,2,FALSE),"")</f>
        <v>L</v>
      </c>
      <c r="AY14" s="4" t="str">
        <f t="shared" si="2"/>
        <v>0好0壞</v>
      </c>
      <c r="BI14" s="5" t="str">
        <f>Lineup!$G$2</f>
        <v>20210817</v>
      </c>
      <c r="BJ14" s="4" t="str">
        <f t="shared" si="3"/>
        <v>偏外角高</v>
      </c>
      <c r="BK14" s="4" t="str">
        <f t="shared" si="4"/>
        <v>3B0O</v>
      </c>
      <c r="BL14" s="4" t="str">
        <f>IFERROR(VLOOKUP('HomeAttackPlay-by-Play'!E14,Roster!$L$2:$M$27,2,FALSE),"")</f>
        <v>R</v>
      </c>
      <c r="BP14" s="48" t="str">
        <f>IF(BO14&lt;&gt;"",HYPERLINK(video!$F$29&amp;"\"&amp;"cam_1_"&amp;$BO14&amp;".avi","Play"),"")</f>
        <v/>
      </c>
      <c r="BQ14" s="48" t="str">
        <f>IF(BO14&lt;&gt;"",HYPERLINK(video!$F$29&amp;"\"&amp;"cam_2_"&amp;$BO14&amp;".avi","Play"),"")</f>
        <v/>
      </c>
      <c r="BR14" s="48" t="str">
        <f>IF(BO14&lt;&gt;"",HYPERLINK(video!$F$29&amp;"\"&amp;"cam_3_"&amp;$BO14&amp;".avi","Play"),"")</f>
        <v/>
      </c>
      <c r="BS14" s="48" t="str">
        <f>IF(BV14&lt;&gt;"",HYPERLINK(video!$F$25&amp;"\"&amp;"cam_4_"&amp;$BV14&amp;".avi","Play"),"")</f>
        <v/>
      </c>
      <c r="BT14" s="48" t="str">
        <f>IF(BV14&lt;&gt;"",HYPERLINK(video!$F$25&amp;"\"&amp;"cam_5_"&amp;$BV14&amp;".avi","Play"),"")</f>
        <v/>
      </c>
      <c r="BU14" s="48" t="str">
        <f>IF(BV14&lt;&gt;"",HYPERLINK(video!$F$25&amp;"\"&amp;"cam_6_"&amp;$BV14&amp;".avi","Play"),"")</f>
        <v/>
      </c>
      <c r="BY14" s="4">
        <f t="shared" si="0"/>
        <v>120.75</v>
      </c>
      <c r="BZ14" s="4">
        <f t="shared" si="1"/>
        <v>246</v>
      </c>
      <c r="CD14" s="5" t="str">
        <f>Lineup!$G$1</f>
        <v>一軍例行賽</v>
      </c>
      <c r="CE14" s="4">
        <f>Lineup!$I$1</f>
        <v>148</v>
      </c>
      <c r="CF14" s="5" t="str">
        <f>Lineup!$G$5</f>
        <v>王俊宏</v>
      </c>
      <c r="CG14" s="5" t="str">
        <f>Lineup!$G$4</f>
        <v>桃園</v>
      </c>
    </row>
    <row r="15" spans="1:226" x14ac:dyDescent="0.3">
      <c r="A15" s="43">
        <v>14</v>
      </c>
      <c r="B15" s="4">
        <v>0</v>
      </c>
      <c r="C15" s="4">
        <v>3</v>
      </c>
      <c r="D15" s="4">
        <v>2</v>
      </c>
      <c r="E15" s="4" t="s">
        <v>621</v>
      </c>
      <c r="F15" s="4" t="s">
        <v>341</v>
      </c>
      <c r="G15" s="4">
        <v>13</v>
      </c>
      <c r="H15" s="4">
        <v>6</v>
      </c>
      <c r="I15" s="4">
        <v>7</v>
      </c>
      <c r="J15" s="4">
        <v>0</v>
      </c>
      <c r="K15" s="4">
        <v>149</v>
      </c>
      <c r="L15" s="4" t="s">
        <v>643</v>
      </c>
      <c r="M15" s="4" t="s">
        <v>355</v>
      </c>
      <c r="N15" s="4" t="s">
        <v>649</v>
      </c>
      <c r="O15" s="4">
        <v>102.75</v>
      </c>
      <c r="P15" s="4">
        <v>74.25</v>
      </c>
      <c r="Q15" s="4" t="s">
        <v>639</v>
      </c>
      <c r="R15" s="5" t="s">
        <v>657</v>
      </c>
      <c r="AD15" s="4" t="s">
        <v>352</v>
      </c>
      <c r="AO15" s="4">
        <v>1</v>
      </c>
      <c r="AP15" s="4">
        <v>1</v>
      </c>
      <c r="AQ15" s="4" t="s">
        <v>645</v>
      </c>
      <c r="AS15">
        <v>0</v>
      </c>
      <c r="AT15">
        <v>1</v>
      </c>
      <c r="AU15" s="33">
        <v>2633.9999999999991</v>
      </c>
      <c r="AV15" s="36" t="s">
        <v>644</v>
      </c>
      <c r="AW15" s="4">
        <v>2629.9999999999923</v>
      </c>
      <c r="AX15" s="4" t="str">
        <f>IFERROR(VLOOKUP(M15,Roster!$D$2:$E$27,2,FALSE),"")</f>
        <v>L</v>
      </c>
      <c r="AY15" s="4" t="str">
        <f t="shared" si="2"/>
        <v>0好1壞</v>
      </c>
      <c r="BI15" s="5" t="str">
        <f>Lineup!$G$2</f>
        <v>20210817</v>
      </c>
      <c r="BJ15" s="4" t="str">
        <f t="shared" si="3"/>
        <v>外角高</v>
      </c>
      <c r="BK15" s="4" t="str">
        <f t="shared" si="4"/>
        <v>3B0O</v>
      </c>
      <c r="BL15" s="4" t="str">
        <f>IFERROR(VLOOKUP('HomeAttackPlay-by-Play'!E15,Roster!$L$2:$M$27,2,FALSE),"")</f>
        <v>R</v>
      </c>
      <c r="BP15" s="48" t="str">
        <f>IF(BO15&lt;&gt;"",HYPERLINK(video!$F$29&amp;"\"&amp;"cam_1_"&amp;$BO15&amp;".avi","Play"),"")</f>
        <v/>
      </c>
      <c r="BQ15" s="48" t="str">
        <f>IF(BO15&lt;&gt;"",HYPERLINK(video!$F$29&amp;"\"&amp;"cam_2_"&amp;$BO15&amp;".avi","Play"),"")</f>
        <v/>
      </c>
      <c r="BR15" s="48" t="str">
        <f>IF(BO15&lt;&gt;"",HYPERLINK(video!$F$29&amp;"\"&amp;"cam_3_"&amp;$BO15&amp;".avi","Play"),"")</f>
        <v/>
      </c>
      <c r="BS15" s="48" t="str">
        <f>IF(BV15&lt;&gt;"",HYPERLINK(video!$F$25&amp;"\"&amp;"cam_4_"&amp;$BV15&amp;".avi","Play"),"")</f>
        <v/>
      </c>
      <c r="BT15" s="48" t="str">
        <f>IF(BV15&lt;&gt;"",HYPERLINK(video!$F$25&amp;"\"&amp;"cam_5_"&amp;$BV15&amp;".avi","Play"),"")</f>
        <v/>
      </c>
      <c r="BU15" s="48" t="str">
        <f>IF(BV15&lt;&gt;"",HYPERLINK(video!$F$25&amp;"\"&amp;"cam_6_"&amp;$BV15&amp;".avi","Play"),"")</f>
        <v/>
      </c>
      <c r="BY15" s="4">
        <f t="shared" si="0"/>
        <v>111.75</v>
      </c>
      <c r="BZ15" s="4">
        <f t="shared" si="1"/>
        <v>246</v>
      </c>
      <c r="CD15" s="5" t="str">
        <f>Lineup!$G$1</f>
        <v>一軍例行賽</v>
      </c>
      <c r="CE15" s="4">
        <f>Lineup!$I$1</f>
        <v>148</v>
      </c>
      <c r="CF15" s="5" t="str">
        <f>Lineup!$G$5</f>
        <v>王俊宏</v>
      </c>
      <c r="CG15" s="5" t="str">
        <f>Lineup!$G$4</f>
        <v>桃園</v>
      </c>
    </row>
    <row r="16" spans="1:226" x14ac:dyDescent="0.3">
      <c r="A16" s="43">
        <v>15</v>
      </c>
      <c r="B16" s="4">
        <v>0</v>
      </c>
      <c r="C16" s="4">
        <v>3</v>
      </c>
      <c r="D16" s="4">
        <v>2</v>
      </c>
      <c r="E16" s="4" t="s">
        <v>621</v>
      </c>
      <c r="F16" s="4" t="s">
        <v>341</v>
      </c>
      <c r="G16" s="4">
        <v>14</v>
      </c>
      <c r="H16" s="4">
        <v>7</v>
      </c>
      <c r="I16" s="4">
        <v>7</v>
      </c>
      <c r="J16" s="4">
        <v>0</v>
      </c>
      <c r="K16" s="4">
        <v>139</v>
      </c>
      <c r="L16" s="4" t="s">
        <v>646</v>
      </c>
      <c r="M16" s="4" t="s">
        <v>355</v>
      </c>
      <c r="N16" s="4" t="s">
        <v>649</v>
      </c>
      <c r="O16" s="4">
        <v>40.5</v>
      </c>
      <c r="P16" s="4">
        <v>114</v>
      </c>
      <c r="Q16" s="4" t="s">
        <v>639</v>
      </c>
      <c r="R16" s="5" t="s">
        <v>690</v>
      </c>
      <c r="AD16" s="4" t="s">
        <v>352</v>
      </c>
      <c r="AO16" s="4">
        <v>2</v>
      </c>
      <c r="AP16" s="4">
        <v>1</v>
      </c>
      <c r="AQ16" s="4" t="s">
        <v>647</v>
      </c>
      <c r="AS16">
        <v>1</v>
      </c>
      <c r="AT16">
        <v>1</v>
      </c>
      <c r="AU16" s="33">
        <v>2655.99999999999</v>
      </c>
      <c r="AV16" s="36" t="s">
        <v>644</v>
      </c>
      <c r="AW16" s="4">
        <v>2651.9999999999927</v>
      </c>
      <c r="AX16" s="4" t="str">
        <f>IFERROR(VLOOKUP(M16,Roster!$D$2:$E$27,2,FALSE),"")</f>
        <v>L</v>
      </c>
      <c r="AY16" s="4" t="str">
        <f t="shared" si="2"/>
        <v>1好1壞</v>
      </c>
      <c r="BI16" s="5" t="str">
        <f>Lineup!$G$2</f>
        <v>20210817</v>
      </c>
      <c r="BJ16" s="4" t="str">
        <f t="shared" si="3"/>
        <v>偏內角低</v>
      </c>
      <c r="BK16" s="4" t="str">
        <f t="shared" si="4"/>
        <v>3B0O</v>
      </c>
      <c r="BL16" s="4" t="str">
        <f>IFERROR(VLOOKUP('HomeAttackPlay-by-Play'!E16,Roster!$L$2:$M$27,2,FALSE),"")</f>
        <v>R</v>
      </c>
      <c r="BP16" s="48" t="str">
        <f>IF(BO16&lt;&gt;"",HYPERLINK(video!$F$29&amp;"\"&amp;"cam_1_"&amp;$BO16&amp;".avi","Play"),"")</f>
        <v/>
      </c>
      <c r="BQ16" s="48" t="str">
        <f>IF(BO16&lt;&gt;"",HYPERLINK(video!$F$29&amp;"\"&amp;"cam_2_"&amp;$BO16&amp;".avi","Play"),"")</f>
        <v/>
      </c>
      <c r="BR16" s="48" t="str">
        <f>IF(BO16&lt;&gt;"",HYPERLINK(video!$F$29&amp;"\"&amp;"cam_3_"&amp;$BO16&amp;".avi","Play"),"")</f>
        <v/>
      </c>
      <c r="BS16" s="48" t="str">
        <f>IF(BV16&lt;&gt;"",HYPERLINK(video!$F$25&amp;"\"&amp;"cam_4_"&amp;$BV16&amp;".avi","Play"),"")</f>
        <v/>
      </c>
      <c r="BT16" s="48" t="str">
        <f>IF(BV16&lt;&gt;"",HYPERLINK(video!$F$25&amp;"\"&amp;"cam_5_"&amp;$BV16&amp;".avi","Play"),"")</f>
        <v/>
      </c>
      <c r="BU16" s="48" t="str">
        <f>IF(BV16&lt;&gt;"",HYPERLINK(video!$F$25&amp;"\"&amp;"cam_6_"&amp;$BV16&amp;".avi","Play"),"")</f>
        <v/>
      </c>
      <c r="BY16" s="4">
        <f t="shared" si="0"/>
        <v>72</v>
      </c>
      <c r="BZ16" s="4">
        <f t="shared" si="1"/>
        <v>246</v>
      </c>
      <c r="CD16" s="5" t="str">
        <f>Lineup!$G$1</f>
        <v>一軍例行賽</v>
      </c>
      <c r="CE16" s="4">
        <f>Lineup!$I$1</f>
        <v>148</v>
      </c>
      <c r="CF16" s="5" t="str">
        <f>Lineup!$G$5</f>
        <v>王俊宏</v>
      </c>
      <c r="CG16" s="5" t="str">
        <f>Lineup!$G$4</f>
        <v>桃園</v>
      </c>
    </row>
    <row r="17" spans="1:85" x14ac:dyDescent="0.3">
      <c r="A17" s="43">
        <v>16</v>
      </c>
      <c r="B17" s="4">
        <v>0</v>
      </c>
      <c r="C17" s="4">
        <v>3</v>
      </c>
      <c r="D17" s="4">
        <v>2</v>
      </c>
      <c r="E17" s="4" t="s">
        <v>621</v>
      </c>
      <c r="F17" s="4" t="s">
        <v>341</v>
      </c>
      <c r="G17" s="4">
        <v>15</v>
      </c>
      <c r="H17" s="4">
        <v>7</v>
      </c>
      <c r="I17" s="4">
        <v>8</v>
      </c>
      <c r="J17" s="4">
        <v>0</v>
      </c>
      <c r="K17" s="4">
        <v>141</v>
      </c>
      <c r="L17" s="4" t="s">
        <v>643</v>
      </c>
      <c r="M17" s="4" t="s">
        <v>355</v>
      </c>
      <c r="N17" s="4" t="s">
        <v>642</v>
      </c>
      <c r="O17" s="4">
        <v>102.75</v>
      </c>
      <c r="P17" s="4">
        <v>144</v>
      </c>
      <c r="Q17" s="4" t="s">
        <v>641</v>
      </c>
      <c r="AD17" s="4" t="s">
        <v>352</v>
      </c>
      <c r="AO17" s="4">
        <v>2</v>
      </c>
      <c r="AP17" s="4">
        <v>2</v>
      </c>
      <c r="AQ17" s="4" t="s">
        <v>655</v>
      </c>
      <c r="AS17">
        <v>2</v>
      </c>
      <c r="AT17">
        <v>1</v>
      </c>
      <c r="AU17" s="33">
        <v>2678.9999999999968</v>
      </c>
      <c r="AV17" s="36" t="s">
        <v>644</v>
      </c>
      <c r="AW17" s="4">
        <v>2674.9999999999895</v>
      </c>
      <c r="AX17" s="4" t="str">
        <f>IFERROR(VLOOKUP(M17,Roster!$D$2:$E$27,2,FALSE),"")</f>
        <v>L</v>
      </c>
      <c r="AY17" s="4" t="str">
        <f t="shared" si="2"/>
        <v>2好1壞</v>
      </c>
      <c r="BI17" s="5" t="str">
        <f>Lineup!$G$2</f>
        <v>20210817</v>
      </c>
      <c r="BJ17" s="4" t="str">
        <f t="shared" si="3"/>
        <v>外角偏低</v>
      </c>
      <c r="BK17" s="4" t="str">
        <f t="shared" si="4"/>
        <v>3B0O</v>
      </c>
      <c r="BL17" s="4" t="str">
        <f>IFERROR(VLOOKUP('HomeAttackPlay-by-Play'!E17,Roster!$L$2:$M$27,2,FALSE),"")</f>
        <v>R</v>
      </c>
      <c r="BP17" s="48" t="str">
        <f>IF(BO17&lt;&gt;"",HYPERLINK(video!$F$29&amp;"\"&amp;"cam_1_"&amp;$BO17&amp;".avi","Play"),"")</f>
        <v/>
      </c>
      <c r="BQ17" s="48" t="str">
        <f>IF(BO17&lt;&gt;"",HYPERLINK(video!$F$29&amp;"\"&amp;"cam_2_"&amp;$BO17&amp;".avi","Play"),"")</f>
        <v/>
      </c>
      <c r="BR17" s="48" t="str">
        <f>IF(BO17&lt;&gt;"",HYPERLINK(video!$F$29&amp;"\"&amp;"cam_3_"&amp;$BO17&amp;".avi","Play"),"")</f>
        <v/>
      </c>
      <c r="BS17" s="48" t="str">
        <f>IF(BV17&lt;&gt;"",HYPERLINK(video!$F$25&amp;"\"&amp;"cam_4_"&amp;$BV17&amp;".avi","Play"),"")</f>
        <v/>
      </c>
      <c r="BT17" s="48" t="str">
        <f>IF(BV17&lt;&gt;"",HYPERLINK(video!$F$25&amp;"\"&amp;"cam_5_"&amp;$BV17&amp;".avi","Play"),"")</f>
        <v/>
      </c>
      <c r="BU17" s="48" t="str">
        <f>IF(BV17&lt;&gt;"",HYPERLINK(video!$F$25&amp;"\"&amp;"cam_6_"&amp;$BV17&amp;".avi","Play"),"")</f>
        <v/>
      </c>
      <c r="BY17" s="4">
        <f t="shared" si="0"/>
        <v>42</v>
      </c>
      <c r="BZ17" s="4">
        <f t="shared" si="1"/>
        <v>246</v>
      </c>
      <c r="CD17" s="5" t="str">
        <f>Lineup!$G$1</f>
        <v>一軍例行賽</v>
      </c>
      <c r="CE17" s="4">
        <f>Lineup!$I$1</f>
        <v>148</v>
      </c>
      <c r="CF17" s="5" t="str">
        <f>Lineup!$G$5</f>
        <v>王俊宏</v>
      </c>
      <c r="CG17" s="5" t="str">
        <f>Lineup!$G$4</f>
        <v>桃園</v>
      </c>
    </row>
    <row r="18" spans="1:85" x14ac:dyDescent="0.3">
      <c r="A18" s="43">
        <v>17</v>
      </c>
      <c r="B18" s="4">
        <v>1</v>
      </c>
      <c r="C18" s="4">
        <v>3</v>
      </c>
      <c r="D18" s="4">
        <v>2</v>
      </c>
      <c r="E18" s="4" t="s">
        <v>621</v>
      </c>
      <c r="F18" s="4" t="s">
        <v>341</v>
      </c>
      <c r="G18" s="4">
        <v>16</v>
      </c>
      <c r="H18" s="4">
        <v>8</v>
      </c>
      <c r="I18" s="4">
        <v>8</v>
      </c>
      <c r="J18" s="4">
        <v>0</v>
      </c>
      <c r="K18" s="4">
        <v>151</v>
      </c>
      <c r="L18" s="4" t="s">
        <v>643</v>
      </c>
      <c r="M18" s="4" t="s">
        <v>355</v>
      </c>
      <c r="N18" s="4" t="s">
        <v>649</v>
      </c>
      <c r="O18" s="4">
        <v>72</v>
      </c>
      <c r="P18" s="4">
        <v>83.25</v>
      </c>
      <c r="Q18" s="4" t="s">
        <v>639</v>
      </c>
      <c r="R18" s="5" t="s">
        <v>656</v>
      </c>
      <c r="S18" s="4">
        <v>118.5</v>
      </c>
      <c r="T18" s="4">
        <v>120.75</v>
      </c>
      <c r="U18" s="4" t="s">
        <v>396</v>
      </c>
      <c r="AB18" s="4" t="s">
        <v>355</v>
      </c>
      <c r="AE18" s="4" t="s">
        <v>703</v>
      </c>
      <c r="AF18" s="4" t="s">
        <v>661</v>
      </c>
      <c r="AG18" s="4" t="s">
        <v>661</v>
      </c>
      <c r="AM18" s="4">
        <v>1</v>
      </c>
      <c r="AO18" s="4">
        <v>3</v>
      </c>
      <c r="AP18" s="4">
        <v>2</v>
      </c>
      <c r="AQ18" s="4" t="s">
        <v>683</v>
      </c>
      <c r="AS18">
        <v>2</v>
      </c>
      <c r="AT18">
        <v>2</v>
      </c>
      <c r="AU18" s="33">
        <v>2701.0000000000064</v>
      </c>
      <c r="AV18" s="36" t="s">
        <v>644</v>
      </c>
      <c r="AW18" s="4">
        <v>2690.9999999999986</v>
      </c>
      <c r="AX18" s="4" t="str">
        <f>IFERROR(VLOOKUP(M18,Roster!$D$2:$E$27,2,FALSE),"")</f>
        <v>L</v>
      </c>
      <c r="AY18" s="4" t="str">
        <f t="shared" si="2"/>
        <v>2好2壞</v>
      </c>
      <c r="BG18" s="13"/>
      <c r="BI18" s="5" t="str">
        <f>Lineup!$G$2</f>
        <v>20210817</v>
      </c>
      <c r="BJ18" s="4" t="str">
        <f t="shared" si="3"/>
        <v>中中</v>
      </c>
      <c r="BK18" s="4" t="str">
        <f t="shared" si="4"/>
        <v>3B0O</v>
      </c>
      <c r="BL18" s="4" t="str">
        <f>IFERROR(VLOOKUP('HomeAttackPlay-by-Play'!E18,Roster!$L$2:$M$27,2,FALSE),"")</f>
        <v>R</v>
      </c>
      <c r="BP18" s="48" t="str">
        <f>IF(BO18&lt;&gt;"",HYPERLINK(video!$F$29&amp;"\"&amp;"cam_1_"&amp;$BO18&amp;".avi","Play"),"")</f>
        <v/>
      </c>
      <c r="BQ18" s="48" t="str">
        <f>IF(BO18&lt;&gt;"",HYPERLINK(video!$F$29&amp;"\"&amp;"cam_2_"&amp;$BO18&amp;".avi","Play"),"")</f>
        <v/>
      </c>
      <c r="BR18" s="48" t="str">
        <f>IF(BO18&lt;&gt;"",HYPERLINK(video!$F$29&amp;"\"&amp;"cam_3_"&amp;$BO18&amp;".avi","Play"),"")</f>
        <v/>
      </c>
      <c r="BS18" s="48" t="str">
        <f>IF(BV18&lt;&gt;"",HYPERLINK(video!$F$25&amp;"\"&amp;"cam_4_"&amp;$BV18&amp;".avi","Play"),"")</f>
        <v/>
      </c>
      <c r="BT18" s="48" t="str">
        <f>IF(BV18&lt;&gt;"",HYPERLINK(video!$F$25&amp;"\"&amp;"cam_5_"&amp;$BV18&amp;".avi","Play"),"")</f>
        <v/>
      </c>
      <c r="BU18" s="48" t="str">
        <f>IF(BV18&lt;&gt;"",HYPERLINK(video!$F$25&amp;"\"&amp;"cam_6_"&amp;$BV18&amp;".avi","Play"),"")</f>
        <v/>
      </c>
      <c r="BY18" s="4">
        <f t="shared" si="0"/>
        <v>102.75</v>
      </c>
      <c r="BZ18" s="4">
        <f t="shared" si="1"/>
        <v>125.25</v>
      </c>
      <c r="CD18" s="5" t="str">
        <f>Lineup!$G$1</f>
        <v>一軍例行賽</v>
      </c>
      <c r="CE18" s="4">
        <f>Lineup!$I$1</f>
        <v>148</v>
      </c>
      <c r="CF18" s="5" t="str">
        <f>Lineup!$G$5</f>
        <v>王俊宏</v>
      </c>
      <c r="CG18" s="5" t="str">
        <f>Lineup!$G$4</f>
        <v>桃園</v>
      </c>
    </row>
    <row r="19" spans="1:85" x14ac:dyDescent="0.3">
      <c r="A19" s="43">
        <v>18</v>
      </c>
      <c r="B19" s="4">
        <v>1</v>
      </c>
      <c r="C19" s="4">
        <v>3</v>
      </c>
      <c r="D19" s="4">
        <v>2</v>
      </c>
      <c r="E19" s="4" t="s">
        <v>621</v>
      </c>
      <c r="F19" s="4" t="s">
        <v>341</v>
      </c>
      <c r="G19" s="4">
        <v>17</v>
      </c>
      <c r="H19" s="4">
        <v>8</v>
      </c>
      <c r="I19" s="4">
        <v>9</v>
      </c>
      <c r="J19" s="4">
        <v>0</v>
      </c>
      <c r="L19" s="4" t="s">
        <v>643</v>
      </c>
      <c r="M19" s="4" t="s">
        <v>535</v>
      </c>
      <c r="N19" s="4" t="s">
        <v>642</v>
      </c>
      <c r="O19" s="4">
        <v>101.25</v>
      </c>
      <c r="P19" s="4">
        <v>159</v>
      </c>
      <c r="Q19" s="4" t="s">
        <v>641</v>
      </c>
      <c r="AB19" s="4" t="s">
        <v>355</v>
      </c>
      <c r="AO19" s="4">
        <v>0</v>
      </c>
      <c r="AP19" s="4">
        <v>1</v>
      </c>
      <c r="AQ19" s="4" t="s">
        <v>652</v>
      </c>
      <c r="AS19">
        <v>0</v>
      </c>
      <c r="AT19">
        <v>0</v>
      </c>
      <c r="AU19" s="33">
        <v>2746.9999999999914</v>
      </c>
      <c r="AV19" s="36" t="s">
        <v>644</v>
      </c>
      <c r="AW19" s="4">
        <v>2741.9999999999968</v>
      </c>
      <c r="AX19" s="4" t="str">
        <f>IFERROR(VLOOKUP(M19,Roster!$D$2:$E$27,2,FALSE),"")</f>
        <v>L</v>
      </c>
      <c r="AY19" s="4" t="str">
        <f t="shared" si="2"/>
        <v>0好0壞</v>
      </c>
      <c r="BI19" s="5" t="str">
        <f>Lineup!$G$2</f>
        <v>20210817</v>
      </c>
      <c r="BJ19" s="4" t="str">
        <f t="shared" si="3"/>
        <v>外角偏低</v>
      </c>
      <c r="BK19" s="4" t="str">
        <f t="shared" si="4"/>
        <v>1B0O</v>
      </c>
      <c r="BL19" s="4" t="str">
        <f>IFERROR(VLOOKUP('HomeAttackPlay-by-Play'!E19,Roster!$L$2:$M$27,2,FALSE),"")</f>
        <v>R</v>
      </c>
      <c r="BP19" s="48" t="str">
        <f>IF(BO19&lt;&gt;"",HYPERLINK(video!$F$29&amp;"\"&amp;"cam_1_"&amp;$BO19&amp;".avi","Play"),"")</f>
        <v/>
      </c>
      <c r="BQ19" s="48" t="str">
        <f>IF(BO19&lt;&gt;"",HYPERLINK(video!$F$29&amp;"\"&amp;"cam_2_"&amp;$BO19&amp;".avi","Play"),"")</f>
        <v/>
      </c>
      <c r="BR19" s="48" t="str">
        <f>IF(BO19&lt;&gt;"",HYPERLINK(video!$F$29&amp;"\"&amp;"cam_3_"&amp;$BO19&amp;".avi","Play"),"")</f>
        <v/>
      </c>
      <c r="BS19" s="48" t="str">
        <f>IF(BV19&lt;&gt;"",HYPERLINK(video!$F$25&amp;"\"&amp;"cam_4_"&amp;$BV19&amp;".avi","Play"),"")</f>
        <v/>
      </c>
      <c r="BT19" s="48" t="str">
        <f>IF(BV19&lt;&gt;"",HYPERLINK(video!$F$25&amp;"\"&amp;"cam_5_"&amp;$BV19&amp;".avi","Play"),"")</f>
        <v/>
      </c>
      <c r="BU19" s="48" t="str">
        <f>IF(BV19&lt;&gt;"",HYPERLINK(video!$F$25&amp;"\"&amp;"cam_6_"&amp;$BV19&amp;".avi","Play"),"")</f>
        <v/>
      </c>
      <c r="BY19" s="4">
        <f t="shared" si="0"/>
        <v>27</v>
      </c>
      <c r="BZ19" s="4">
        <f t="shared" si="1"/>
        <v>246</v>
      </c>
      <c r="CD19" s="5" t="str">
        <f>Lineup!$G$1</f>
        <v>一軍例行賽</v>
      </c>
      <c r="CE19" s="4">
        <f>Lineup!$I$1</f>
        <v>148</v>
      </c>
      <c r="CF19" s="5" t="str">
        <f>Lineup!$G$5</f>
        <v>王俊宏</v>
      </c>
      <c r="CG19" s="5" t="str">
        <f>Lineup!$G$4</f>
        <v>桃園</v>
      </c>
    </row>
    <row r="20" spans="1:85" x14ac:dyDescent="0.3">
      <c r="A20" s="43">
        <v>19</v>
      </c>
      <c r="B20" s="4">
        <v>1</v>
      </c>
      <c r="C20" s="4">
        <v>3</v>
      </c>
      <c r="D20" s="4">
        <v>2</v>
      </c>
      <c r="E20" s="4" t="s">
        <v>621</v>
      </c>
      <c r="F20" s="4" t="s">
        <v>341</v>
      </c>
      <c r="G20" s="4">
        <v>18</v>
      </c>
      <c r="H20" s="4">
        <v>9</v>
      </c>
      <c r="I20" s="4">
        <v>9</v>
      </c>
      <c r="J20" s="4">
        <v>0</v>
      </c>
      <c r="K20" s="4">
        <v>136</v>
      </c>
      <c r="L20" s="4" t="s">
        <v>646</v>
      </c>
      <c r="M20" s="4" t="s">
        <v>535</v>
      </c>
      <c r="N20" s="4" t="s">
        <v>642</v>
      </c>
      <c r="O20" s="4">
        <v>99</v>
      </c>
      <c r="P20" s="4">
        <v>74.25</v>
      </c>
      <c r="Q20" s="4" t="s">
        <v>639</v>
      </c>
      <c r="AB20" s="4" t="s">
        <v>355</v>
      </c>
      <c r="AO20" s="4">
        <v>1</v>
      </c>
      <c r="AP20" s="4">
        <v>1</v>
      </c>
      <c r="AQ20" s="4" t="s">
        <v>645</v>
      </c>
      <c r="AS20">
        <v>0</v>
      </c>
      <c r="AT20">
        <v>1</v>
      </c>
      <c r="AU20" s="33">
        <v>2769.9999999999886</v>
      </c>
      <c r="AV20" s="36" t="s">
        <v>644</v>
      </c>
      <c r="AW20" s="4">
        <v>2766</v>
      </c>
      <c r="AX20" s="4" t="str">
        <f>IFERROR(VLOOKUP(M20,Roster!$D$2:$E$27,2,FALSE),"")</f>
        <v>L</v>
      </c>
      <c r="AY20" s="4" t="str">
        <f t="shared" si="2"/>
        <v>0好1壞</v>
      </c>
      <c r="BI20" s="5" t="str">
        <f>Lineup!$G$2</f>
        <v>20210817</v>
      </c>
      <c r="BJ20" s="4" t="str">
        <f t="shared" si="3"/>
        <v>外角高</v>
      </c>
      <c r="BK20" s="4" t="str">
        <f t="shared" si="4"/>
        <v>1B0O</v>
      </c>
      <c r="BL20" s="4" t="str">
        <f>IFERROR(VLOOKUP('HomeAttackPlay-by-Play'!E20,Roster!$L$2:$M$27,2,FALSE),"")</f>
        <v>R</v>
      </c>
      <c r="BP20" s="48" t="str">
        <f>IF(BO20&lt;&gt;"",HYPERLINK(video!$F$29&amp;"\"&amp;"cam_1_"&amp;$BO20&amp;".avi","Play"),"")</f>
        <v/>
      </c>
      <c r="BQ20" s="48" t="str">
        <f>IF(BO20&lt;&gt;"",HYPERLINK(video!$F$29&amp;"\"&amp;"cam_2_"&amp;$BO20&amp;".avi","Play"),"")</f>
        <v/>
      </c>
      <c r="BR20" s="48" t="str">
        <f>IF(BO20&lt;&gt;"",HYPERLINK(video!$F$29&amp;"\"&amp;"cam_3_"&amp;$BO20&amp;".avi","Play"),"")</f>
        <v/>
      </c>
      <c r="BS20" s="48" t="str">
        <f>IF(BV20&lt;&gt;"",HYPERLINK(video!$F$25&amp;"\"&amp;"cam_4_"&amp;$BV20&amp;".avi","Play"),"")</f>
        <v/>
      </c>
      <c r="BT20" s="48" t="str">
        <f>IF(BV20&lt;&gt;"",HYPERLINK(video!$F$25&amp;"\"&amp;"cam_5_"&amp;$BV20&amp;".avi","Play"),"")</f>
        <v/>
      </c>
      <c r="BU20" s="48" t="str">
        <f>IF(BV20&lt;&gt;"",HYPERLINK(video!$F$25&amp;"\"&amp;"cam_6_"&amp;$BV20&amp;".avi","Play"),"")</f>
        <v/>
      </c>
      <c r="BY20" s="4">
        <f t="shared" si="0"/>
        <v>111.75</v>
      </c>
      <c r="BZ20" s="4">
        <f t="shared" si="1"/>
        <v>246</v>
      </c>
      <c r="CD20" s="5" t="str">
        <f>Lineup!$G$1</f>
        <v>一軍例行賽</v>
      </c>
      <c r="CE20" s="4">
        <f>Lineup!$I$1</f>
        <v>148</v>
      </c>
      <c r="CF20" s="5" t="str">
        <f>Lineup!$G$5</f>
        <v>王俊宏</v>
      </c>
      <c r="CG20" s="5" t="str">
        <f>Lineup!$G$4</f>
        <v>桃園</v>
      </c>
    </row>
    <row r="21" spans="1:85" x14ac:dyDescent="0.3">
      <c r="A21" s="43">
        <v>20</v>
      </c>
      <c r="B21" s="4">
        <v>1</v>
      </c>
      <c r="C21" s="4">
        <v>3</v>
      </c>
      <c r="D21" s="4">
        <v>2</v>
      </c>
      <c r="E21" s="4" t="s">
        <v>621</v>
      </c>
      <c r="F21" s="4" t="s">
        <v>341</v>
      </c>
      <c r="G21" s="4">
        <v>19</v>
      </c>
      <c r="H21" s="4">
        <v>10</v>
      </c>
      <c r="I21" s="4">
        <v>9</v>
      </c>
      <c r="J21" s="4">
        <v>1</v>
      </c>
      <c r="K21" s="4">
        <v>150</v>
      </c>
      <c r="L21" s="4" t="s">
        <v>643</v>
      </c>
      <c r="M21" s="4" t="s">
        <v>535</v>
      </c>
      <c r="N21" s="4" t="s">
        <v>649</v>
      </c>
      <c r="O21" s="4">
        <v>92.25</v>
      </c>
      <c r="P21" s="4">
        <v>123</v>
      </c>
      <c r="Q21" s="4" t="s">
        <v>109</v>
      </c>
      <c r="R21" s="5" t="s">
        <v>676</v>
      </c>
      <c r="S21" s="4">
        <v>98.25</v>
      </c>
      <c r="T21" s="4">
        <v>105.75</v>
      </c>
      <c r="U21" s="4" t="s">
        <v>396</v>
      </c>
      <c r="AB21" s="4" t="s">
        <v>355</v>
      </c>
      <c r="AE21" s="4" t="s">
        <v>661</v>
      </c>
      <c r="AF21" s="4" t="s">
        <v>661</v>
      </c>
      <c r="AG21" s="4" t="s">
        <v>661</v>
      </c>
      <c r="AH21" s="4" t="s">
        <v>535</v>
      </c>
      <c r="AK21" s="4">
        <v>1</v>
      </c>
      <c r="AM21" s="4">
        <v>1</v>
      </c>
      <c r="AO21" s="4">
        <v>2</v>
      </c>
      <c r="AP21" s="4">
        <v>1</v>
      </c>
      <c r="AQ21" s="4" t="s">
        <v>647</v>
      </c>
      <c r="AR21" s="4" t="s">
        <v>704</v>
      </c>
      <c r="AS21">
        <v>1</v>
      </c>
      <c r="AT21">
        <v>1</v>
      </c>
      <c r="AU21" s="33">
        <v>2808.0000000000073</v>
      </c>
      <c r="AV21" s="36" t="s">
        <v>644</v>
      </c>
      <c r="AW21" s="4">
        <v>2794.9999999999991</v>
      </c>
      <c r="AX21" s="4" t="str">
        <f>IFERROR(VLOOKUP(M21,Roster!$D$2:$E$27,2,FALSE),"")</f>
        <v>L</v>
      </c>
      <c r="AY21" s="4" t="str">
        <f t="shared" si="2"/>
        <v>1好1壞</v>
      </c>
      <c r="BI21" s="5" t="str">
        <f>Lineup!$G$2</f>
        <v>20210817</v>
      </c>
      <c r="BJ21" s="4" t="str">
        <f t="shared" si="3"/>
        <v>外角低</v>
      </c>
      <c r="BK21" s="4" t="str">
        <f t="shared" si="4"/>
        <v>1B0O</v>
      </c>
      <c r="BL21" s="4" t="str">
        <f>IFERROR(VLOOKUP('HomeAttackPlay-by-Play'!E21,Roster!$L$2:$M$27,2,FALSE),"")</f>
        <v>R</v>
      </c>
      <c r="BP21" s="48" t="str">
        <f>IF(BO21&lt;&gt;"",HYPERLINK(video!$F$29&amp;"\"&amp;"cam_1_"&amp;$BO21&amp;".avi","Play"),"")</f>
        <v/>
      </c>
      <c r="BQ21" s="48" t="str">
        <f>IF(BO21&lt;&gt;"",HYPERLINK(video!$F$29&amp;"\"&amp;"cam_2_"&amp;$BO21&amp;".avi","Play"),"")</f>
        <v/>
      </c>
      <c r="BR21" s="48" t="str">
        <f>IF(BO21&lt;&gt;"",HYPERLINK(video!$F$29&amp;"\"&amp;"cam_3_"&amp;$BO21&amp;".avi","Play"),"")</f>
        <v/>
      </c>
      <c r="BS21" s="48" t="str">
        <f>IF(BV21&lt;&gt;"",HYPERLINK(video!$F$25&amp;"\"&amp;"cam_4_"&amp;$BV21&amp;".avi","Play"),"")</f>
        <v/>
      </c>
      <c r="BT21" s="48" t="str">
        <f>IF(BV21&lt;&gt;"",HYPERLINK(video!$F$25&amp;"\"&amp;"cam_5_"&amp;$BV21&amp;".avi","Play"),"")</f>
        <v/>
      </c>
      <c r="BU21" s="48" t="str">
        <f>IF(BV21&lt;&gt;"",HYPERLINK(video!$F$25&amp;"\"&amp;"cam_6_"&amp;$BV21&amp;".avi","Play"),"")</f>
        <v/>
      </c>
      <c r="BY21" s="4">
        <f t="shared" si="0"/>
        <v>63</v>
      </c>
      <c r="BZ21" s="4">
        <f t="shared" si="1"/>
        <v>140.25</v>
      </c>
      <c r="CD21" s="5" t="str">
        <f>Lineup!$G$1</f>
        <v>一軍例行賽</v>
      </c>
      <c r="CE21" s="4">
        <f>Lineup!$I$1</f>
        <v>148</v>
      </c>
      <c r="CF21" s="5" t="str">
        <f>Lineup!$G$5</f>
        <v>王俊宏</v>
      </c>
      <c r="CG21" s="5" t="str">
        <f>Lineup!$G$4</f>
        <v>桃園</v>
      </c>
    </row>
    <row r="22" spans="1:85" x14ac:dyDescent="0.3">
      <c r="A22" s="43">
        <v>21</v>
      </c>
      <c r="B22" s="4">
        <v>1</v>
      </c>
      <c r="C22" s="4">
        <v>3</v>
      </c>
      <c r="D22" s="4">
        <v>2</v>
      </c>
      <c r="E22" s="4" t="s">
        <v>621</v>
      </c>
      <c r="F22" s="4" t="s">
        <v>341</v>
      </c>
      <c r="G22" s="4">
        <v>20</v>
      </c>
      <c r="H22" s="4">
        <v>11</v>
      </c>
      <c r="I22" s="4">
        <v>9</v>
      </c>
      <c r="J22" s="4">
        <v>1</v>
      </c>
      <c r="K22" s="4">
        <v>136</v>
      </c>
      <c r="L22" s="4" t="s">
        <v>646</v>
      </c>
      <c r="M22" s="4" t="s">
        <v>543</v>
      </c>
      <c r="N22" s="4" t="s">
        <v>649</v>
      </c>
      <c r="O22" s="4">
        <v>63.75</v>
      </c>
      <c r="P22" s="4">
        <v>99</v>
      </c>
      <c r="Q22" s="4" t="s">
        <v>639</v>
      </c>
      <c r="R22" s="5" t="s">
        <v>657</v>
      </c>
      <c r="AB22" s="4" t="s">
        <v>355</v>
      </c>
      <c r="AO22" s="4">
        <v>1</v>
      </c>
      <c r="AP22" s="4">
        <v>0</v>
      </c>
      <c r="AQ22" s="4" t="s">
        <v>640</v>
      </c>
      <c r="AS22">
        <v>0</v>
      </c>
      <c r="AT22">
        <v>0</v>
      </c>
      <c r="AU22" s="33">
        <v>2857.0000000000023</v>
      </c>
      <c r="AV22" s="36" t="s">
        <v>644</v>
      </c>
      <c r="AW22" s="4">
        <v>2853.9999999999923</v>
      </c>
      <c r="AX22" s="4" t="str">
        <f>IFERROR(VLOOKUP(M22,Roster!$D$2:$E$27,2,FALSE),"")</f>
        <v>R</v>
      </c>
      <c r="AY22" s="4" t="str">
        <f t="shared" si="2"/>
        <v>0好0壞</v>
      </c>
      <c r="BI22" s="5" t="str">
        <f>Lineup!$G$2</f>
        <v>20210817</v>
      </c>
      <c r="BJ22" s="4" t="str">
        <f t="shared" si="3"/>
        <v>外角中</v>
      </c>
      <c r="BK22" s="4" t="str">
        <f t="shared" si="4"/>
        <v>1B1O</v>
      </c>
      <c r="BL22" s="4" t="str">
        <f>IFERROR(VLOOKUP('HomeAttackPlay-by-Play'!E22,Roster!$L$2:$M$27,2,FALSE),"")</f>
        <v>R</v>
      </c>
      <c r="BP22" s="48" t="str">
        <f>IF(BO22&lt;&gt;"",HYPERLINK(video!$F$29&amp;"\"&amp;"cam_1_"&amp;$BO22&amp;".avi","Play"),"")</f>
        <v/>
      </c>
      <c r="BQ22" s="48" t="str">
        <f>IF(BO22&lt;&gt;"",HYPERLINK(video!$F$29&amp;"\"&amp;"cam_2_"&amp;$BO22&amp;".avi","Play"),"")</f>
        <v/>
      </c>
      <c r="BR22" s="48" t="str">
        <f>IF(BO22&lt;&gt;"",HYPERLINK(video!$F$29&amp;"\"&amp;"cam_3_"&amp;$BO22&amp;".avi","Play"),"")</f>
        <v/>
      </c>
      <c r="BS22" s="48" t="str">
        <f>IF(BV22&lt;&gt;"",HYPERLINK(video!$F$25&amp;"\"&amp;"cam_4_"&amp;$BV22&amp;".avi","Play"),"")</f>
        <v/>
      </c>
      <c r="BT22" s="48" t="str">
        <f>IF(BV22&lt;&gt;"",HYPERLINK(video!$F$25&amp;"\"&amp;"cam_5_"&amp;$BV22&amp;".avi","Play"),"")</f>
        <v/>
      </c>
      <c r="BU22" s="48" t="str">
        <f>IF(BV22&lt;&gt;"",HYPERLINK(video!$F$25&amp;"\"&amp;"cam_6_"&amp;$BV22&amp;".avi","Play"),"")</f>
        <v/>
      </c>
      <c r="BY22" s="4">
        <f t="shared" si="0"/>
        <v>87</v>
      </c>
      <c r="BZ22" s="4">
        <f t="shared" si="1"/>
        <v>246</v>
      </c>
      <c r="CD22" s="5" t="str">
        <f>Lineup!$G$1</f>
        <v>一軍例行賽</v>
      </c>
      <c r="CE22" s="4">
        <f>Lineup!$I$1</f>
        <v>148</v>
      </c>
      <c r="CF22" s="5" t="str">
        <f>Lineup!$G$5</f>
        <v>王俊宏</v>
      </c>
      <c r="CG22" s="5" t="str">
        <f>Lineup!$G$4</f>
        <v>桃園</v>
      </c>
    </row>
    <row r="23" spans="1:85" x14ac:dyDescent="0.3">
      <c r="A23" s="43">
        <v>22</v>
      </c>
      <c r="B23" s="4">
        <v>1</v>
      </c>
      <c r="C23" s="4">
        <v>3</v>
      </c>
      <c r="D23" s="4">
        <v>2</v>
      </c>
      <c r="E23" s="4" t="s">
        <v>621</v>
      </c>
      <c r="F23" s="4" t="s">
        <v>341</v>
      </c>
      <c r="G23" s="4">
        <v>21</v>
      </c>
      <c r="H23" s="4">
        <v>12</v>
      </c>
      <c r="I23" s="4">
        <v>9</v>
      </c>
      <c r="J23" s="4">
        <v>1</v>
      </c>
      <c r="K23" s="4">
        <v>128</v>
      </c>
      <c r="L23" s="4" t="s">
        <v>665</v>
      </c>
      <c r="M23" s="4" t="s">
        <v>543</v>
      </c>
      <c r="N23" s="4" t="s">
        <v>649</v>
      </c>
      <c r="O23" s="4">
        <v>66</v>
      </c>
      <c r="P23" s="4">
        <v>123</v>
      </c>
      <c r="Q23" s="4" t="s">
        <v>639</v>
      </c>
      <c r="R23" s="5" t="s">
        <v>657</v>
      </c>
      <c r="AB23" s="4" t="s">
        <v>355</v>
      </c>
      <c r="AO23" s="4">
        <v>2</v>
      </c>
      <c r="AP23" s="4">
        <v>0</v>
      </c>
      <c r="AQ23" s="4" t="s">
        <v>662</v>
      </c>
      <c r="AS23">
        <v>1</v>
      </c>
      <c r="AT23">
        <v>0</v>
      </c>
      <c r="AU23" s="33">
        <v>2884.9999999999936</v>
      </c>
      <c r="AV23" s="36" t="s">
        <v>644</v>
      </c>
      <c r="AW23" s="4">
        <v>2879.9999999999995</v>
      </c>
      <c r="AX23" s="4" t="str">
        <f>IFERROR(VLOOKUP(M23,Roster!$D$2:$E$27,2,FALSE),"")</f>
        <v>R</v>
      </c>
      <c r="AY23" s="4" t="str">
        <f t="shared" si="2"/>
        <v>1好0壞</v>
      </c>
      <c r="BI23" s="5" t="str">
        <f>Lineup!$G$2</f>
        <v>20210817</v>
      </c>
      <c r="BJ23" s="4" t="str">
        <f t="shared" si="3"/>
        <v>中低</v>
      </c>
      <c r="BK23" s="4" t="str">
        <f t="shared" si="4"/>
        <v>1B1O</v>
      </c>
      <c r="BL23" s="4" t="str">
        <f>IFERROR(VLOOKUP('HomeAttackPlay-by-Play'!E23,Roster!$L$2:$M$27,2,FALSE),"")</f>
        <v>R</v>
      </c>
      <c r="BP23" s="48" t="str">
        <f>IF(BO23&lt;&gt;"",HYPERLINK(video!$F$29&amp;"\"&amp;"cam_1_"&amp;$BO23&amp;".avi","Play"),"")</f>
        <v/>
      </c>
      <c r="BQ23" s="48" t="str">
        <f>IF(BO23&lt;&gt;"",HYPERLINK(video!$F$29&amp;"\"&amp;"cam_2_"&amp;$BO23&amp;".avi","Play"),"")</f>
        <v/>
      </c>
      <c r="BR23" s="48" t="str">
        <f>IF(BO23&lt;&gt;"",HYPERLINK(video!$F$29&amp;"\"&amp;"cam_3_"&amp;$BO23&amp;".avi","Play"),"")</f>
        <v/>
      </c>
      <c r="BS23" s="48" t="str">
        <f>IF(BV23&lt;&gt;"",HYPERLINK(video!$F$25&amp;"\"&amp;"cam_4_"&amp;$BV23&amp;".avi","Play"),"")</f>
        <v/>
      </c>
      <c r="BT23" s="48" t="str">
        <f>IF(BV23&lt;&gt;"",HYPERLINK(video!$F$25&amp;"\"&amp;"cam_5_"&amp;$BV23&amp;".avi","Play"),"")</f>
        <v/>
      </c>
      <c r="BU23" s="48" t="str">
        <f>IF(BV23&lt;&gt;"",HYPERLINK(video!$F$25&amp;"\"&amp;"cam_6_"&amp;$BV23&amp;".avi","Play"),"")</f>
        <v/>
      </c>
      <c r="BY23" s="4">
        <f t="shared" si="0"/>
        <v>63</v>
      </c>
      <c r="BZ23" s="4">
        <f t="shared" si="1"/>
        <v>246</v>
      </c>
      <c r="CD23" s="5" t="str">
        <f>Lineup!$G$1</f>
        <v>一軍例行賽</v>
      </c>
      <c r="CE23" s="4">
        <f>Lineup!$I$1</f>
        <v>148</v>
      </c>
      <c r="CF23" s="5" t="str">
        <f>Lineup!$G$5</f>
        <v>王俊宏</v>
      </c>
      <c r="CG23" s="5" t="str">
        <f>Lineup!$G$4</f>
        <v>桃園</v>
      </c>
    </row>
    <row r="24" spans="1:85" x14ac:dyDescent="0.3">
      <c r="A24" s="43">
        <v>23</v>
      </c>
      <c r="B24" s="4">
        <v>1</v>
      </c>
      <c r="C24" s="4">
        <v>3</v>
      </c>
      <c r="D24" s="4">
        <v>2</v>
      </c>
      <c r="E24" s="4" t="s">
        <v>621</v>
      </c>
      <c r="F24" s="4" t="s">
        <v>341</v>
      </c>
      <c r="G24" s="4">
        <v>22</v>
      </c>
      <c r="H24" s="4">
        <v>12</v>
      </c>
      <c r="I24" s="4">
        <v>10</v>
      </c>
      <c r="J24" s="4">
        <v>1</v>
      </c>
      <c r="K24" s="4">
        <v>132</v>
      </c>
      <c r="L24" s="4" t="s">
        <v>646</v>
      </c>
      <c r="M24" s="4" t="s">
        <v>543</v>
      </c>
      <c r="N24" s="4" t="s">
        <v>642</v>
      </c>
      <c r="O24" s="4">
        <v>29.25</v>
      </c>
      <c r="P24" s="4">
        <v>112.5</v>
      </c>
      <c r="Q24" s="4" t="s">
        <v>641</v>
      </c>
      <c r="AB24" s="4" t="s">
        <v>355</v>
      </c>
      <c r="AO24" s="4">
        <v>2</v>
      </c>
      <c r="AP24" s="4">
        <v>1</v>
      </c>
      <c r="AQ24" s="4" t="s">
        <v>647</v>
      </c>
      <c r="AS24">
        <v>2</v>
      </c>
      <c r="AT24">
        <v>0</v>
      </c>
      <c r="AU24" s="33">
        <v>2917.0000000000018</v>
      </c>
      <c r="AV24" s="36" t="s">
        <v>644</v>
      </c>
      <c r="AW24" s="4">
        <v>2912.999999999995</v>
      </c>
      <c r="AX24" s="4" t="str">
        <f>IFERROR(VLOOKUP(M24,Roster!$D$2:$E$27,2,FALSE),"")</f>
        <v>R</v>
      </c>
      <c r="AY24" s="4" t="str">
        <f t="shared" si="2"/>
        <v>2好0壞</v>
      </c>
      <c r="BI24" s="5" t="str">
        <f>Lineup!$G$2</f>
        <v>20210817</v>
      </c>
      <c r="BJ24" s="4" t="str">
        <f t="shared" si="3"/>
        <v>偏外角低</v>
      </c>
      <c r="BK24" s="4" t="str">
        <f t="shared" si="4"/>
        <v>1B1O</v>
      </c>
      <c r="BL24" s="4" t="str">
        <f>IFERROR(VLOOKUP('HomeAttackPlay-by-Play'!E24,Roster!$L$2:$M$27,2,FALSE),"")</f>
        <v>R</v>
      </c>
      <c r="BP24" s="48" t="str">
        <f>IF(BO24&lt;&gt;"",HYPERLINK(video!$F$29&amp;"\"&amp;"cam_1_"&amp;$BO24&amp;".avi","Play"),"")</f>
        <v/>
      </c>
      <c r="BQ24" s="48" t="str">
        <f>IF(BO24&lt;&gt;"",HYPERLINK(video!$F$29&amp;"\"&amp;"cam_2_"&amp;$BO24&amp;".avi","Play"),"")</f>
        <v/>
      </c>
      <c r="BR24" s="48" t="str">
        <f>IF(BO24&lt;&gt;"",HYPERLINK(video!$F$29&amp;"\"&amp;"cam_3_"&amp;$BO24&amp;".avi","Play"),"")</f>
        <v/>
      </c>
      <c r="BS24" s="48" t="str">
        <f>IF(BV24&lt;&gt;"",HYPERLINK(video!$F$25&amp;"\"&amp;"cam_4_"&amp;$BV24&amp;".avi","Play"),"")</f>
        <v/>
      </c>
      <c r="BT24" s="48" t="str">
        <f>IF(BV24&lt;&gt;"",HYPERLINK(video!$F$25&amp;"\"&amp;"cam_5_"&amp;$BV24&amp;".avi","Play"),"")</f>
        <v/>
      </c>
      <c r="BU24" s="48" t="str">
        <f>IF(BV24&lt;&gt;"",HYPERLINK(video!$F$25&amp;"\"&amp;"cam_6_"&amp;$BV24&amp;".avi","Play"),"")</f>
        <v/>
      </c>
      <c r="BY24" s="4">
        <f t="shared" si="0"/>
        <v>73.5</v>
      </c>
      <c r="BZ24" s="4">
        <f t="shared" si="1"/>
        <v>246</v>
      </c>
      <c r="CD24" s="5" t="str">
        <f>Lineup!$G$1</f>
        <v>一軍例行賽</v>
      </c>
      <c r="CE24" s="4">
        <f>Lineup!$I$1</f>
        <v>148</v>
      </c>
      <c r="CF24" s="5" t="str">
        <f>Lineup!$G$5</f>
        <v>王俊宏</v>
      </c>
      <c r="CG24" s="5" t="str">
        <f>Lineup!$G$4</f>
        <v>桃園</v>
      </c>
    </row>
    <row r="25" spans="1:85" x14ac:dyDescent="0.3">
      <c r="A25" s="43">
        <v>24</v>
      </c>
      <c r="B25" s="4">
        <v>1</v>
      </c>
      <c r="C25" s="4">
        <v>3</v>
      </c>
      <c r="D25" s="4">
        <v>2</v>
      </c>
      <c r="E25" s="4" t="s">
        <v>621</v>
      </c>
      <c r="F25" s="4" t="s">
        <v>341</v>
      </c>
      <c r="G25" s="4">
        <v>23</v>
      </c>
      <c r="H25" s="4">
        <v>13</v>
      </c>
      <c r="I25" s="4">
        <v>10</v>
      </c>
      <c r="J25" s="4">
        <v>2</v>
      </c>
      <c r="K25" s="4">
        <v>149</v>
      </c>
      <c r="L25" s="4" t="s">
        <v>643</v>
      </c>
      <c r="M25" s="4" t="s">
        <v>543</v>
      </c>
      <c r="N25" s="4" t="s">
        <v>649</v>
      </c>
      <c r="O25" s="4">
        <v>46.5</v>
      </c>
      <c r="P25" s="4">
        <v>61.5</v>
      </c>
      <c r="Q25" s="4" t="s">
        <v>639</v>
      </c>
      <c r="R25" s="5" t="s">
        <v>685</v>
      </c>
      <c r="AB25" s="4" t="s">
        <v>355</v>
      </c>
      <c r="AI25" s="4" t="s">
        <v>543</v>
      </c>
      <c r="AK25" s="4">
        <v>1</v>
      </c>
      <c r="AM25" s="4">
        <v>1</v>
      </c>
      <c r="AO25" s="4">
        <v>3</v>
      </c>
      <c r="AP25" s="4">
        <v>1</v>
      </c>
      <c r="AQ25" s="4" t="s">
        <v>648</v>
      </c>
      <c r="AR25" s="4" t="s">
        <v>705</v>
      </c>
      <c r="AS25">
        <v>2</v>
      </c>
      <c r="AT25">
        <v>1</v>
      </c>
      <c r="AU25" s="33">
        <v>2945.0000000000032</v>
      </c>
      <c r="AV25" s="36" t="s">
        <v>644</v>
      </c>
      <c r="AW25" s="4">
        <v>2938.9999999999927</v>
      </c>
      <c r="AX25" s="4" t="str">
        <f>IFERROR(VLOOKUP(M25,Roster!$D$2:$E$27,2,FALSE),"")</f>
        <v>R</v>
      </c>
      <c r="AY25" s="4" t="str">
        <f t="shared" si="2"/>
        <v>2好1壞</v>
      </c>
      <c r="BI25" s="5" t="str">
        <f>Lineup!$G$2</f>
        <v>20210817</v>
      </c>
      <c r="BJ25" s="4" t="str">
        <f t="shared" si="3"/>
        <v>偏外角高</v>
      </c>
      <c r="BK25" s="4" t="str">
        <f t="shared" si="4"/>
        <v>1B1O</v>
      </c>
      <c r="BL25" s="4" t="str">
        <f>IFERROR(VLOOKUP('HomeAttackPlay-by-Play'!E25,Roster!$L$2:$M$27,2,FALSE),"")</f>
        <v>R</v>
      </c>
      <c r="BP25" s="48" t="str">
        <f>IF(BO25&lt;&gt;"",HYPERLINK(video!$F$29&amp;"\"&amp;"cam_1_"&amp;$BO25&amp;".avi","Play"),"")</f>
        <v/>
      </c>
      <c r="BQ25" s="48" t="str">
        <f>IF(BO25&lt;&gt;"",HYPERLINK(video!$F$29&amp;"\"&amp;"cam_2_"&amp;$BO25&amp;".avi","Play"),"")</f>
        <v/>
      </c>
      <c r="BR25" s="48" t="str">
        <f>IF(BO25&lt;&gt;"",HYPERLINK(video!$F$29&amp;"\"&amp;"cam_3_"&amp;$BO25&amp;".avi","Play"),"")</f>
        <v/>
      </c>
      <c r="BS25" s="48" t="str">
        <f>IF(BV25&lt;&gt;"",HYPERLINK(video!$F$25&amp;"\"&amp;"cam_4_"&amp;$BV25&amp;".avi","Play"),"")</f>
        <v/>
      </c>
      <c r="BT25" s="48" t="str">
        <f>IF(BV25&lt;&gt;"",HYPERLINK(video!$F$25&amp;"\"&amp;"cam_5_"&amp;$BV25&amp;".avi","Play"),"")</f>
        <v/>
      </c>
      <c r="BU25" s="48" t="str">
        <f>IF(BV25&lt;&gt;"",HYPERLINK(video!$F$25&amp;"\"&amp;"cam_6_"&amp;$BV25&amp;".avi","Play"),"")</f>
        <v/>
      </c>
      <c r="BY25" s="4">
        <f t="shared" si="0"/>
        <v>124.5</v>
      </c>
      <c r="BZ25" s="4">
        <f t="shared" si="1"/>
        <v>246</v>
      </c>
      <c r="CD25" s="5" t="str">
        <f>Lineup!$G$1</f>
        <v>一軍例行賽</v>
      </c>
      <c r="CE25" s="4">
        <f>Lineup!$I$1</f>
        <v>148</v>
      </c>
      <c r="CF25" s="5" t="str">
        <f>Lineup!$G$5</f>
        <v>王俊宏</v>
      </c>
      <c r="CG25" s="5" t="str">
        <f>Lineup!$G$4</f>
        <v>桃園</v>
      </c>
    </row>
    <row r="26" spans="1:85" x14ac:dyDescent="0.3">
      <c r="A26" s="43">
        <v>25</v>
      </c>
      <c r="B26" s="4">
        <v>1</v>
      </c>
      <c r="C26" s="4">
        <v>3</v>
      </c>
      <c r="D26" s="4">
        <v>2</v>
      </c>
      <c r="E26" s="4" t="s">
        <v>621</v>
      </c>
      <c r="F26" s="4" t="s">
        <v>341</v>
      </c>
      <c r="G26" s="4">
        <v>24</v>
      </c>
      <c r="H26" s="4">
        <v>13</v>
      </c>
      <c r="I26" s="4">
        <v>11</v>
      </c>
      <c r="J26" s="4">
        <v>2</v>
      </c>
      <c r="K26" s="4">
        <v>149</v>
      </c>
      <c r="L26" s="4" t="s">
        <v>643</v>
      </c>
      <c r="M26" s="4" t="s">
        <v>376</v>
      </c>
      <c r="N26" s="4" t="s">
        <v>642</v>
      </c>
      <c r="O26" s="4">
        <v>34.5</v>
      </c>
      <c r="P26" s="4">
        <v>110.25</v>
      </c>
      <c r="Q26" s="4" t="s">
        <v>641</v>
      </c>
      <c r="AB26" s="4" t="s">
        <v>355</v>
      </c>
      <c r="AO26" s="4">
        <v>0</v>
      </c>
      <c r="AP26" s="4">
        <v>1</v>
      </c>
      <c r="AQ26" s="4" t="s">
        <v>652</v>
      </c>
      <c r="AS26">
        <v>0</v>
      </c>
      <c r="AT26">
        <v>0</v>
      </c>
      <c r="AU26" s="33">
        <v>2987.9999999999973</v>
      </c>
      <c r="AV26" s="36" t="s">
        <v>644</v>
      </c>
      <c r="AW26" s="4">
        <v>2981.9999999999959</v>
      </c>
      <c r="AX26" s="4" t="str">
        <f>IFERROR(VLOOKUP(M26,Roster!$D$2:$E$27,2,FALSE),"")</f>
        <v>R</v>
      </c>
      <c r="AY26" s="4" t="str">
        <f t="shared" si="2"/>
        <v>0好0壞</v>
      </c>
      <c r="BI26" s="5" t="str">
        <f>Lineup!$G$2</f>
        <v>20210817</v>
      </c>
      <c r="BJ26" s="4" t="str">
        <f t="shared" si="3"/>
        <v>偏外角低</v>
      </c>
      <c r="BK26" s="4" t="str">
        <f t="shared" si="4"/>
        <v>1B2O</v>
      </c>
      <c r="BL26" s="4" t="str">
        <f>IFERROR(VLOOKUP('HomeAttackPlay-by-Play'!E26,Roster!$L$2:$M$27,2,FALSE),"")</f>
        <v>R</v>
      </c>
      <c r="BP26" s="48" t="str">
        <f>IF(BO26&lt;&gt;"",HYPERLINK(video!$F$29&amp;"\"&amp;"cam_1_"&amp;$BO26&amp;".avi","Play"),"")</f>
        <v/>
      </c>
      <c r="BQ26" s="48" t="str">
        <f>IF(BO26&lt;&gt;"",HYPERLINK(video!$F$29&amp;"\"&amp;"cam_2_"&amp;$BO26&amp;".avi","Play"),"")</f>
        <v/>
      </c>
      <c r="BR26" s="48" t="str">
        <f>IF(BO26&lt;&gt;"",HYPERLINK(video!$F$29&amp;"\"&amp;"cam_3_"&amp;$BO26&amp;".avi","Play"),"")</f>
        <v/>
      </c>
      <c r="BS26" s="48" t="str">
        <f>IF(BV26&lt;&gt;"",HYPERLINK(video!$F$25&amp;"\"&amp;"cam_4_"&amp;$BV26&amp;".avi","Play"),"")</f>
        <v/>
      </c>
      <c r="BT26" s="48" t="str">
        <f>IF(BV26&lt;&gt;"",HYPERLINK(video!$F$25&amp;"\"&amp;"cam_5_"&amp;$BV26&amp;".avi","Play"),"")</f>
        <v/>
      </c>
      <c r="BU26" s="48" t="str">
        <f>IF(BV26&lt;&gt;"",HYPERLINK(video!$F$25&amp;"\"&amp;"cam_6_"&amp;$BV26&amp;".avi","Play"),"")</f>
        <v/>
      </c>
      <c r="BY26" s="4">
        <f t="shared" si="0"/>
        <v>75.75</v>
      </c>
      <c r="BZ26" s="4">
        <f t="shared" si="1"/>
        <v>246</v>
      </c>
      <c r="CD26" s="5" t="str">
        <f>Lineup!$G$1</f>
        <v>一軍例行賽</v>
      </c>
      <c r="CE26" s="4">
        <f>Lineup!$I$1</f>
        <v>148</v>
      </c>
      <c r="CF26" s="5" t="str">
        <f>Lineup!$G$5</f>
        <v>王俊宏</v>
      </c>
      <c r="CG26" s="5" t="str">
        <f>Lineup!$G$4</f>
        <v>桃園</v>
      </c>
    </row>
    <row r="27" spans="1:85" x14ac:dyDescent="0.3">
      <c r="A27" s="43">
        <v>26</v>
      </c>
      <c r="B27" s="4">
        <v>1</v>
      </c>
      <c r="C27" s="4">
        <v>3</v>
      </c>
      <c r="D27" s="4">
        <v>2</v>
      </c>
      <c r="E27" s="4" t="s">
        <v>621</v>
      </c>
      <c r="F27" s="4" t="s">
        <v>341</v>
      </c>
      <c r="G27" s="4">
        <v>25</v>
      </c>
      <c r="H27" s="4">
        <v>14</v>
      </c>
      <c r="I27" s="4">
        <v>11</v>
      </c>
      <c r="J27" s="4">
        <v>2</v>
      </c>
      <c r="K27" s="4">
        <v>149</v>
      </c>
      <c r="L27" s="4" t="s">
        <v>643</v>
      </c>
      <c r="M27" s="4" t="s">
        <v>376</v>
      </c>
      <c r="N27" s="4" t="s">
        <v>649</v>
      </c>
      <c r="O27" s="4">
        <v>57.75</v>
      </c>
      <c r="P27" s="4">
        <v>112.5</v>
      </c>
      <c r="Q27" s="4" t="s">
        <v>639</v>
      </c>
      <c r="R27" s="5" t="s">
        <v>690</v>
      </c>
      <c r="AB27" s="4" t="s">
        <v>355</v>
      </c>
      <c r="AO27" s="4">
        <v>1</v>
      </c>
      <c r="AP27" s="4">
        <v>1</v>
      </c>
      <c r="AQ27" s="4" t="s">
        <v>645</v>
      </c>
      <c r="AS27">
        <v>0</v>
      </c>
      <c r="AT27">
        <v>1</v>
      </c>
      <c r="AU27" s="33">
        <v>3010.9999999999941</v>
      </c>
      <c r="AV27" s="36" t="s">
        <v>644</v>
      </c>
      <c r="AW27" s="4">
        <v>3006.9999999999968</v>
      </c>
      <c r="AX27" s="4" t="str">
        <f>IFERROR(VLOOKUP(M27,Roster!$D$2:$E$27,2,FALSE),"")</f>
        <v>R</v>
      </c>
      <c r="AY27" s="4" t="str">
        <f t="shared" si="2"/>
        <v>0好1壞</v>
      </c>
      <c r="BI27" s="5" t="str">
        <f>Lineup!$G$2</f>
        <v>20210817</v>
      </c>
      <c r="BJ27" s="4" t="str">
        <f t="shared" si="3"/>
        <v>外角低</v>
      </c>
      <c r="BK27" s="4" t="str">
        <f t="shared" si="4"/>
        <v>1B2O</v>
      </c>
      <c r="BL27" s="4" t="str">
        <f>IFERROR(VLOOKUP('HomeAttackPlay-by-Play'!E27,Roster!$L$2:$M$27,2,FALSE),"")</f>
        <v>R</v>
      </c>
      <c r="BP27" s="48" t="str">
        <f>IF(BO27&lt;&gt;"",HYPERLINK(video!$F$29&amp;"\"&amp;"cam_1_"&amp;$BO27&amp;".avi","Play"),"")</f>
        <v/>
      </c>
      <c r="BQ27" s="48" t="str">
        <f>IF(BO27&lt;&gt;"",HYPERLINK(video!$F$29&amp;"\"&amp;"cam_2_"&amp;$BO27&amp;".avi","Play"),"")</f>
        <v/>
      </c>
      <c r="BR27" s="48" t="str">
        <f>IF(BO27&lt;&gt;"",HYPERLINK(video!$F$29&amp;"\"&amp;"cam_3_"&amp;$BO27&amp;".avi","Play"),"")</f>
        <v/>
      </c>
      <c r="BS27" s="48" t="str">
        <f>IF(BV27&lt;&gt;"",HYPERLINK(video!$F$25&amp;"\"&amp;"cam_4_"&amp;$BV27&amp;".avi","Play"),"")</f>
        <v/>
      </c>
      <c r="BT27" s="48" t="str">
        <f>IF(BV27&lt;&gt;"",HYPERLINK(video!$F$25&amp;"\"&amp;"cam_5_"&amp;$BV27&amp;".avi","Play"),"")</f>
        <v/>
      </c>
      <c r="BU27" s="48" t="str">
        <f>IF(BV27&lt;&gt;"",HYPERLINK(video!$F$25&amp;"\"&amp;"cam_6_"&amp;$BV27&amp;".avi","Play"),"")</f>
        <v/>
      </c>
      <c r="BY27" s="4">
        <f t="shared" si="0"/>
        <v>73.5</v>
      </c>
      <c r="BZ27" s="4">
        <f t="shared" si="1"/>
        <v>246</v>
      </c>
      <c r="CD27" s="5" t="str">
        <f>Lineup!$G$1</f>
        <v>一軍例行賽</v>
      </c>
      <c r="CE27" s="4">
        <f>Lineup!$I$1</f>
        <v>148</v>
      </c>
      <c r="CF27" s="5" t="str">
        <f>Lineup!$G$5</f>
        <v>王俊宏</v>
      </c>
      <c r="CG27" s="5" t="str">
        <f>Lineup!$G$4</f>
        <v>桃園</v>
      </c>
    </row>
    <row r="28" spans="1:85" x14ac:dyDescent="0.3">
      <c r="A28" s="43">
        <v>27</v>
      </c>
      <c r="B28" s="4">
        <v>1</v>
      </c>
      <c r="C28" s="4">
        <v>3</v>
      </c>
      <c r="D28" s="4">
        <v>2</v>
      </c>
      <c r="E28" s="4" t="s">
        <v>621</v>
      </c>
      <c r="F28" s="4" t="s">
        <v>341</v>
      </c>
      <c r="G28" s="4">
        <v>26</v>
      </c>
      <c r="H28" s="4">
        <v>15</v>
      </c>
      <c r="I28" s="4">
        <v>11</v>
      </c>
      <c r="J28" s="4">
        <v>2</v>
      </c>
      <c r="K28" s="4">
        <v>133</v>
      </c>
      <c r="L28" s="4" t="s">
        <v>665</v>
      </c>
      <c r="M28" s="4" t="s">
        <v>376</v>
      </c>
      <c r="N28" s="4" t="s">
        <v>649</v>
      </c>
      <c r="O28" s="4">
        <v>86.25</v>
      </c>
      <c r="P28" s="4">
        <v>116.25</v>
      </c>
      <c r="Q28" s="4" t="s">
        <v>639</v>
      </c>
      <c r="R28" s="5" t="s">
        <v>690</v>
      </c>
      <c r="AB28" s="4" t="s">
        <v>355</v>
      </c>
      <c r="AO28" s="4">
        <v>2</v>
      </c>
      <c r="AP28" s="4">
        <v>1</v>
      </c>
      <c r="AQ28" s="4" t="s">
        <v>647</v>
      </c>
      <c r="AS28">
        <v>1</v>
      </c>
      <c r="AT28">
        <v>1</v>
      </c>
      <c r="AU28" s="33">
        <v>3040.9999999999895</v>
      </c>
      <c r="AV28" s="36" t="s">
        <v>644</v>
      </c>
      <c r="AW28" s="4">
        <v>3036.0000000000045</v>
      </c>
      <c r="AX28" s="4" t="str">
        <f>IFERROR(VLOOKUP(M28,Roster!$D$2:$E$27,2,FALSE),"")</f>
        <v>R</v>
      </c>
      <c r="AY28" s="4" t="str">
        <f t="shared" si="2"/>
        <v>1好1壞</v>
      </c>
      <c r="BI28" s="5" t="str">
        <f>Lineup!$G$2</f>
        <v>20210817</v>
      </c>
      <c r="BJ28" s="4" t="str">
        <f t="shared" si="3"/>
        <v>內角低</v>
      </c>
      <c r="BK28" s="4" t="str">
        <f t="shared" si="4"/>
        <v>1B2O</v>
      </c>
      <c r="BL28" s="4" t="str">
        <f>IFERROR(VLOOKUP('HomeAttackPlay-by-Play'!E28,Roster!$L$2:$M$27,2,FALSE),"")</f>
        <v>R</v>
      </c>
      <c r="BP28" s="48" t="str">
        <f>IF(BO28&lt;&gt;"",HYPERLINK(video!$F$29&amp;"\"&amp;"cam_1_"&amp;$BO28&amp;".avi","Play"),"")</f>
        <v/>
      </c>
      <c r="BQ28" s="48" t="str">
        <f>IF(BO28&lt;&gt;"",HYPERLINK(video!$F$29&amp;"\"&amp;"cam_2_"&amp;$BO28&amp;".avi","Play"),"")</f>
        <v/>
      </c>
      <c r="BR28" s="48" t="str">
        <f>IF(BO28&lt;&gt;"",HYPERLINK(video!$F$29&amp;"\"&amp;"cam_3_"&amp;$BO28&amp;".avi","Play"),"")</f>
        <v/>
      </c>
      <c r="BS28" s="48" t="str">
        <f>IF(BV28&lt;&gt;"",HYPERLINK(video!$F$25&amp;"\"&amp;"cam_4_"&amp;$BV28&amp;".avi","Play"),"")</f>
        <v/>
      </c>
      <c r="BT28" s="48" t="str">
        <f>IF(BV28&lt;&gt;"",HYPERLINK(video!$F$25&amp;"\"&amp;"cam_5_"&amp;$BV28&amp;".avi","Play"),"")</f>
        <v/>
      </c>
      <c r="BU28" s="48" t="str">
        <f>IF(BV28&lt;&gt;"",HYPERLINK(video!$F$25&amp;"\"&amp;"cam_6_"&amp;$BV28&amp;".avi","Play"),"")</f>
        <v/>
      </c>
      <c r="BY28" s="4">
        <f t="shared" si="0"/>
        <v>69.75</v>
      </c>
      <c r="BZ28" s="4">
        <f t="shared" si="1"/>
        <v>246</v>
      </c>
      <c r="CD28" s="5" t="str">
        <f>Lineup!$G$1</f>
        <v>一軍例行賽</v>
      </c>
      <c r="CE28" s="4">
        <f>Lineup!$I$1</f>
        <v>148</v>
      </c>
      <c r="CF28" s="5" t="str">
        <f>Lineup!$G$5</f>
        <v>王俊宏</v>
      </c>
      <c r="CG28" s="5" t="str">
        <f>Lineup!$G$4</f>
        <v>桃園</v>
      </c>
    </row>
    <row r="29" spans="1:85" x14ac:dyDescent="0.3">
      <c r="A29" s="43">
        <v>28</v>
      </c>
      <c r="B29" s="4">
        <v>1</v>
      </c>
      <c r="C29" s="4">
        <v>3</v>
      </c>
      <c r="D29" s="4">
        <v>2</v>
      </c>
      <c r="E29" s="4" t="s">
        <v>621</v>
      </c>
      <c r="F29" s="4" t="s">
        <v>341</v>
      </c>
      <c r="G29" s="4">
        <v>27</v>
      </c>
      <c r="H29" s="4">
        <v>15</v>
      </c>
      <c r="I29" s="4">
        <v>12</v>
      </c>
      <c r="J29" s="4">
        <v>2</v>
      </c>
      <c r="K29" s="4">
        <v>137</v>
      </c>
      <c r="L29" s="4" t="s">
        <v>646</v>
      </c>
      <c r="M29" s="4" t="s">
        <v>376</v>
      </c>
      <c r="N29" s="4" t="s">
        <v>642</v>
      </c>
      <c r="O29" s="4">
        <v>36.75</v>
      </c>
      <c r="P29" s="4">
        <v>135.75</v>
      </c>
      <c r="Q29" s="4" t="s">
        <v>641</v>
      </c>
      <c r="AB29" s="4" t="s">
        <v>355</v>
      </c>
      <c r="AO29" s="4">
        <v>2</v>
      </c>
      <c r="AP29" s="4">
        <v>2</v>
      </c>
      <c r="AQ29" s="4" t="s">
        <v>655</v>
      </c>
      <c r="AS29">
        <v>2</v>
      </c>
      <c r="AT29">
        <v>1</v>
      </c>
      <c r="AU29" s="33">
        <v>3067.0000000000064</v>
      </c>
      <c r="AV29" s="36" t="s">
        <v>644</v>
      </c>
      <c r="AW29" s="4">
        <v>3063.9999999999964</v>
      </c>
      <c r="AX29" s="4" t="str">
        <f>IFERROR(VLOOKUP(M29,Roster!$D$2:$E$27,2,FALSE),"")</f>
        <v>R</v>
      </c>
      <c r="AY29" s="4" t="str">
        <f t="shared" si="2"/>
        <v>2好1壞</v>
      </c>
      <c r="BI29" s="5" t="str">
        <f>Lineup!$G$2</f>
        <v>20210817</v>
      </c>
      <c r="BJ29" s="4" t="str">
        <f t="shared" si="3"/>
        <v>偏外角偏低</v>
      </c>
      <c r="BK29" s="4" t="str">
        <f t="shared" si="4"/>
        <v>1B2O</v>
      </c>
      <c r="BL29" s="4" t="str">
        <f>IFERROR(VLOOKUP('HomeAttackPlay-by-Play'!E29,Roster!$L$2:$M$27,2,FALSE),"")</f>
        <v>R</v>
      </c>
      <c r="BP29" s="48" t="str">
        <f>IF(BO29&lt;&gt;"",HYPERLINK(video!$F$29&amp;"\"&amp;"cam_1_"&amp;$BO29&amp;".avi","Play"),"")</f>
        <v/>
      </c>
      <c r="BQ29" s="48" t="str">
        <f>IF(BO29&lt;&gt;"",HYPERLINK(video!$F$29&amp;"\"&amp;"cam_2_"&amp;$BO29&amp;".avi","Play"),"")</f>
        <v/>
      </c>
      <c r="BR29" s="48" t="str">
        <f>IF(BO29&lt;&gt;"",HYPERLINK(video!$F$29&amp;"\"&amp;"cam_3_"&amp;$BO29&amp;".avi","Play"),"")</f>
        <v/>
      </c>
      <c r="BS29" s="48" t="str">
        <f>IF(BV29&lt;&gt;"",HYPERLINK(video!$F$25&amp;"\"&amp;"cam_4_"&amp;$BV29&amp;".avi","Play"),"")</f>
        <v/>
      </c>
      <c r="BT29" s="48" t="str">
        <f>IF(BV29&lt;&gt;"",HYPERLINK(video!$F$25&amp;"\"&amp;"cam_5_"&amp;$BV29&amp;".avi","Play"),"")</f>
        <v/>
      </c>
      <c r="BU29" s="48" t="str">
        <f>IF(BV29&lt;&gt;"",HYPERLINK(video!$F$25&amp;"\"&amp;"cam_6_"&amp;$BV29&amp;".avi","Play"),"")</f>
        <v/>
      </c>
      <c r="BY29" s="4">
        <f t="shared" si="0"/>
        <v>50.25</v>
      </c>
      <c r="BZ29" s="4">
        <f t="shared" si="1"/>
        <v>246</v>
      </c>
      <c r="CD29" s="5" t="str">
        <f>Lineup!$G$1</f>
        <v>一軍例行賽</v>
      </c>
      <c r="CE29" s="4">
        <f>Lineup!$I$1</f>
        <v>148</v>
      </c>
      <c r="CF29" s="5" t="str">
        <f>Lineup!$G$5</f>
        <v>王俊宏</v>
      </c>
      <c r="CG29" s="5" t="str">
        <f>Lineup!$G$4</f>
        <v>桃園</v>
      </c>
    </row>
    <row r="30" spans="1:85" x14ac:dyDescent="0.3">
      <c r="A30" s="43">
        <v>29</v>
      </c>
      <c r="B30" s="4">
        <v>1</v>
      </c>
      <c r="C30" s="4">
        <v>3</v>
      </c>
      <c r="D30" s="4">
        <v>2</v>
      </c>
      <c r="E30" s="4" t="s">
        <v>621</v>
      </c>
      <c r="F30" s="4" t="s">
        <v>341</v>
      </c>
      <c r="G30" s="4">
        <v>28</v>
      </c>
      <c r="H30" s="4">
        <v>16</v>
      </c>
      <c r="I30" s="4">
        <v>12</v>
      </c>
      <c r="J30" s="4">
        <v>2</v>
      </c>
      <c r="K30" s="4">
        <v>137</v>
      </c>
      <c r="L30" s="4" t="s">
        <v>646</v>
      </c>
      <c r="M30" s="4" t="s">
        <v>376</v>
      </c>
      <c r="N30" s="4" t="s">
        <v>649</v>
      </c>
      <c r="O30" s="4">
        <v>65.25</v>
      </c>
      <c r="P30" s="4">
        <v>117.75</v>
      </c>
      <c r="Q30" s="4" t="s">
        <v>639</v>
      </c>
      <c r="R30" s="5" t="s">
        <v>656</v>
      </c>
      <c r="S30" s="4">
        <v>154.5</v>
      </c>
      <c r="T30" s="4">
        <v>151.5</v>
      </c>
      <c r="U30" s="4" t="s">
        <v>383</v>
      </c>
      <c r="AB30" s="4" t="s">
        <v>376</v>
      </c>
      <c r="AC30" s="4" t="s">
        <v>355</v>
      </c>
      <c r="AE30" s="4" t="s">
        <v>661</v>
      </c>
      <c r="AF30" s="4" t="s">
        <v>661</v>
      </c>
      <c r="AG30" s="4" t="s">
        <v>661</v>
      </c>
      <c r="AM30" s="4">
        <v>1</v>
      </c>
      <c r="AO30" s="4">
        <v>3</v>
      </c>
      <c r="AP30" s="4">
        <v>2</v>
      </c>
      <c r="AQ30" s="4" t="s">
        <v>683</v>
      </c>
      <c r="AS30">
        <v>2</v>
      </c>
      <c r="AT30">
        <v>2</v>
      </c>
      <c r="AU30" s="33">
        <v>3097.9999999999886</v>
      </c>
      <c r="AV30" s="36" t="s">
        <v>644</v>
      </c>
      <c r="AW30" s="4">
        <v>3086.9999999999932</v>
      </c>
      <c r="AX30" s="4" t="str">
        <f>IFERROR(VLOOKUP(M30,Roster!$D$2:$E$27,2,FALSE),"")</f>
        <v>R</v>
      </c>
      <c r="AY30" s="4" t="str">
        <f t="shared" si="2"/>
        <v>2好2壞</v>
      </c>
      <c r="BI30" s="5" t="str">
        <f>Lineup!$G$2</f>
        <v>20210817</v>
      </c>
      <c r="BJ30" s="4" t="str">
        <f t="shared" si="3"/>
        <v>外角低</v>
      </c>
      <c r="BK30" s="4" t="str">
        <f t="shared" si="4"/>
        <v>1B2O</v>
      </c>
      <c r="BL30" s="4" t="str">
        <f>IFERROR(VLOOKUP('HomeAttackPlay-by-Play'!E30,Roster!$L$2:$M$27,2,FALSE),"")</f>
        <v>R</v>
      </c>
      <c r="BP30" s="48" t="str">
        <f>IF(BO30&lt;&gt;"",HYPERLINK(video!$F$29&amp;"\"&amp;"cam_1_"&amp;$BO30&amp;".avi","Play"),"")</f>
        <v/>
      </c>
      <c r="BQ30" s="48" t="str">
        <f>IF(BO30&lt;&gt;"",HYPERLINK(video!$F$29&amp;"\"&amp;"cam_2_"&amp;$BO30&amp;".avi","Play"),"")</f>
        <v/>
      </c>
      <c r="BR30" s="48" t="str">
        <f>IF(BO30&lt;&gt;"",HYPERLINK(video!$F$29&amp;"\"&amp;"cam_3_"&amp;$BO30&amp;".avi","Play"),"")</f>
        <v/>
      </c>
      <c r="BS30" s="48" t="str">
        <f>IF(BV30&lt;&gt;"",HYPERLINK(video!$F$25&amp;"\"&amp;"cam_4_"&amp;$BV30&amp;".avi","Play"),"")</f>
        <v/>
      </c>
      <c r="BT30" s="48" t="str">
        <f>IF(BV30&lt;&gt;"",HYPERLINK(video!$F$25&amp;"\"&amp;"cam_5_"&amp;$BV30&amp;".avi","Play"),"")</f>
        <v/>
      </c>
      <c r="BU30" s="48" t="str">
        <f>IF(BV30&lt;&gt;"",HYPERLINK(video!$F$25&amp;"\"&amp;"cam_6_"&amp;$BV30&amp;".avi","Play"),"")</f>
        <v/>
      </c>
      <c r="BY30" s="4">
        <f t="shared" si="0"/>
        <v>68.25</v>
      </c>
      <c r="BZ30" s="4">
        <f t="shared" si="1"/>
        <v>94.5</v>
      </c>
      <c r="CD30" s="5" t="str">
        <f>Lineup!$G$1</f>
        <v>一軍例行賽</v>
      </c>
      <c r="CE30" s="4">
        <f>Lineup!$I$1</f>
        <v>148</v>
      </c>
      <c r="CF30" s="5" t="str">
        <f>Lineup!$G$5</f>
        <v>王俊宏</v>
      </c>
      <c r="CG30" s="5" t="str">
        <f>Lineup!$G$4</f>
        <v>桃園</v>
      </c>
    </row>
    <row r="31" spans="1:85" x14ac:dyDescent="0.3">
      <c r="A31" s="43">
        <v>30</v>
      </c>
      <c r="B31" s="4">
        <v>1</v>
      </c>
      <c r="C31" s="4">
        <v>3</v>
      </c>
      <c r="D31" s="4">
        <v>2</v>
      </c>
      <c r="E31" s="4" t="s">
        <v>621</v>
      </c>
      <c r="F31" s="4" t="s">
        <v>341</v>
      </c>
      <c r="G31" s="4">
        <v>29</v>
      </c>
      <c r="H31" s="4">
        <v>17</v>
      </c>
      <c r="I31" s="4">
        <v>12</v>
      </c>
      <c r="J31" s="4">
        <v>2</v>
      </c>
      <c r="K31" s="4">
        <v>149</v>
      </c>
      <c r="L31" s="4" t="s">
        <v>643</v>
      </c>
      <c r="M31" s="4" t="s">
        <v>571</v>
      </c>
      <c r="N31" s="4" t="s">
        <v>649</v>
      </c>
      <c r="O31" s="4">
        <v>91.5</v>
      </c>
      <c r="P31" s="4">
        <v>76.5</v>
      </c>
      <c r="Q31" s="4" t="s">
        <v>639</v>
      </c>
      <c r="R31" s="5" t="s">
        <v>657</v>
      </c>
      <c r="AB31" s="4" t="s">
        <v>376</v>
      </c>
      <c r="AC31" s="4" t="s">
        <v>355</v>
      </c>
      <c r="AO31" s="4">
        <v>1</v>
      </c>
      <c r="AP31" s="4">
        <v>0</v>
      </c>
      <c r="AQ31" s="4" t="s">
        <v>640</v>
      </c>
      <c r="AS31">
        <v>0</v>
      </c>
      <c r="AT31">
        <v>0</v>
      </c>
      <c r="AU31" s="33">
        <v>3173.0000000000005</v>
      </c>
      <c r="AV31" s="36" t="s">
        <v>644</v>
      </c>
      <c r="AW31" s="4">
        <v>3166.0000000000027</v>
      </c>
      <c r="AX31" s="4" t="str">
        <f>IFERROR(VLOOKUP(M31,Roster!$D$2:$E$27,2,FALSE),"")</f>
        <v>R</v>
      </c>
      <c r="AY31" s="4" t="str">
        <f t="shared" si="2"/>
        <v>0好0壞</v>
      </c>
      <c r="BI31" s="5" t="str">
        <f>Lineup!$G$2</f>
        <v>20210817</v>
      </c>
      <c r="BJ31" s="4" t="str">
        <f t="shared" si="3"/>
        <v>內角高</v>
      </c>
      <c r="BK31" s="4" t="str">
        <f t="shared" si="4"/>
        <v>12B2O</v>
      </c>
      <c r="BL31" s="4" t="str">
        <f>IFERROR(VLOOKUP('HomeAttackPlay-by-Play'!E31,Roster!$L$2:$M$27,2,FALSE),"")</f>
        <v>R</v>
      </c>
      <c r="BP31" s="48" t="str">
        <f>IF(BO31&lt;&gt;"",HYPERLINK(video!$F$29&amp;"\"&amp;"cam_1_"&amp;$BO31&amp;".avi","Play"),"")</f>
        <v/>
      </c>
      <c r="BQ31" s="48" t="str">
        <f>IF(BO31&lt;&gt;"",HYPERLINK(video!$F$29&amp;"\"&amp;"cam_2_"&amp;$BO31&amp;".avi","Play"),"")</f>
        <v/>
      </c>
      <c r="BR31" s="48" t="str">
        <f>IF(BO31&lt;&gt;"",HYPERLINK(video!$F$29&amp;"\"&amp;"cam_3_"&amp;$BO31&amp;".avi","Play"),"")</f>
        <v/>
      </c>
      <c r="BS31" s="48" t="str">
        <f>IF(BV31&lt;&gt;"",HYPERLINK(video!$F$25&amp;"\"&amp;"cam_4_"&amp;$BV31&amp;".avi","Play"),"")</f>
        <v/>
      </c>
      <c r="BT31" s="48" t="str">
        <f>IF(BV31&lt;&gt;"",HYPERLINK(video!$F$25&amp;"\"&amp;"cam_5_"&amp;$BV31&amp;".avi","Play"),"")</f>
        <v/>
      </c>
      <c r="BU31" s="48" t="str">
        <f>IF(BV31&lt;&gt;"",HYPERLINK(video!$F$25&amp;"\"&amp;"cam_6_"&amp;$BV31&amp;".avi","Play"),"")</f>
        <v/>
      </c>
      <c r="BY31" s="4">
        <f t="shared" si="0"/>
        <v>109.5</v>
      </c>
      <c r="BZ31" s="4">
        <f t="shared" si="1"/>
        <v>246</v>
      </c>
      <c r="CD31" s="5" t="str">
        <f>Lineup!$G$1</f>
        <v>一軍例行賽</v>
      </c>
      <c r="CE31" s="4">
        <f>Lineup!$I$1</f>
        <v>148</v>
      </c>
      <c r="CF31" s="5" t="str">
        <f>Lineup!$G$5</f>
        <v>王俊宏</v>
      </c>
      <c r="CG31" s="5" t="str">
        <f>Lineup!$G$4</f>
        <v>桃園</v>
      </c>
    </row>
    <row r="32" spans="1:85" x14ac:dyDescent="0.3">
      <c r="A32" s="43">
        <v>31</v>
      </c>
      <c r="B32" s="4">
        <v>1</v>
      </c>
      <c r="C32" s="4">
        <v>3</v>
      </c>
      <c r="D32" s="4">
        <v>2</v>
      </c>
      <c r="E32" s="4" t="s">
        <v>621</v>
      </c>
      <c r="F32" s="4" t="s">
        <v>341</v>
      </c>
      <c r="G32" s="4">
        <v>30</v>
      </c>
      <c r="H32" s="4">
        <v>18</v>
      </c>
      <c r="I32" s="4">
        <v>12</v>
      </c>
      <c r="J32" s="4">
        <v>3</v>
      </c>
      <c r="K32" s="4">
        <v>147</v>
      </c>
      <c r="L32" s="4" t="s">
        <v>643</v>
      </c>
      <c r="M32" s="4" t="s">
        <v>571</v>
      </c>
      <c r="N32" s="4" t="s">
        <v>649</v>
      </c>
      <c r="O32" s="4">
        <v>57.75</v>
      </c>
      <c r="P32" s="4">
        <v>115.5</v>
      </c>
      <c r="Q32" s="4" t="s">
        <v>109</v>
      </c>
      <c r="R32" s="5" t="s">
        <v>650</v>
      </c>
      <c r="S32" s="4">
        <v>183</v>
      </c>
      <c r="T32" s="4">
        <v>160.5</v>
      </c>
      <c r="U32" s="4" t="s">
        <v>231</v>
      </c>
      <c r="V32" s="4" t="s">
        <v>360</v>
      </c>
      <c r="AB32" s="4" t="s">
        <v>376</v>
      </c>
      <c r="AC32" s="4" t="s">
        <v>355</v>
      </c>
      <c r="AE32" s="4" t="s">
        <v>661</v>
      </c>
      <c r="AF32" s="4" t="s">
        <v>661</v>
      </c>
      <c r="AG32" s="4" t="s">
        <v>661</v>
      </c>
      <c r="AJ32" s="4" t="s">
        <v>571</v>
      </c>
      <c r="AK32" s="4">
        <v>1</v>
      </c>
      <c r="AM32" s="4">
        <v>1</v>
      </c>
      <c r="AO32" s="4">
        <v>2</v>
      </c>
      <c r="AP32" s="4">
        <v>0</v>
      </c>
      <c r="AQ32" s="4" t="s">
        <v>662</v>
      </c>
      <c r="AR32" s="4" t="s">
        <v>706</v>
      </c>
      <c r="AS32">
        <v>1</v>
      </c>
      <c r="AT32">
        <v>0</v>
      </c>
      <c r="AU32" s="33">
        <v>3219.0000000000045</v>
      </c>
      <c r="AV32" s="36" t="s">
        <v>644</v>
      </c>
      <c r="AW32" s="4">
        <v>3211</v>
      </c>
      <c r="AX32" s="4" t="str">
        <f>IFERROR(VLOOKUP(M32,Roster!$D$2:$E$27,2,FALSE),"")</f>
        <v>R</v>
      </c>
      <c r="AY32" s="4" t="str">
        <f t="shared" si="2"/>
        <v>1好0壞</v>
      </c>
      <c r="BI32" s="5" t="str">
        <f>Lineup!$G$2</f>
        <v>20210817</v>
      </c>
      <c r="BJ32" s="4" t="str">
        <f t="shared" si="3"/>
        <v>外角低</v>
      </c>
      <c r="BK32" s="4" t="str">
        <f t="shared" si="4"/>
        <v>12B2O</v>
      </c>
      <c r="BL32" s="4" t="str">
        <f>IFERROR(VLOOKUP('HomeAttackPlay-by-Play'!E32,Roster!$L$2:$M$27,2,FALSE),"")</f>
        <v>R</v>
      </c>
      <c r="BP32" s="48" t="str">
        <f>IF(BO32&lt;&gt;"",HYPERLINK(video!$F$29&amp;"\"&amp;"cam_1_"&amp;$BO32&amp;".avi","Play"),"")</f>
        <v/>
      </c>
      <c r="BQ32" s="48" t="str">
        <f>IF(BO32&lt;&gt;"",HYPERLINK(video!$F$29&amp;"\"&amp;"cam_2_"&amp;$BO32&amp;".avi","Play"),"")</f>
        <v/>
      </c>
      <c r="BR32" s="48" t="str">
        <f>IF(BO32&lt;&gt;"",HYPERLINK(video!$F$29&amp;"\"&amp;"cam_3_"&amp;$BO32&amp;".avi","Play"),"")</f>
        <v/>
      </c>
      <c r="BS32" s="48" t="str">
        <f>IF(BV32&lt;&gt;"",HYPERLINK(video!$F$25&amp;"\"&amp;"cam_4_"&amp;$BV32&amp;".avi","Play"),"")</f>
        <v/>
      </c>
      <c r="BT32" s="48" t="str">
        <f>IF(BV32&lt;&gt;"",HYPERLINK(video!$F$25&amp;"\"&amp;"cam_5_"&amp;$BV32&amp;".avi","Play"),"")</f>
        <v/>
      </c>
      <c r="BU32" s="48" t="str">
        <f>IF(BV32&lt;&gt;"",HYPERLINK(video!$F$25&amp;"\"&amp;"cam_6_"&amp;$BV32&amp;".avi","Play"),"")</f>
        <v/>
      </c>
      <c r="BY32" s="4">
        <f t="shared" si="0"/>
        <v>70.5</v>
      </c>
      <c r="BZ32" s="4">
        <f t="shared" si="1"/>
        <v>85.5</v>
      </c>
      <c r="CD32" s="5" t="str">
        <f>Lineup!$G$1</f>
        <v>一軍例行賽</v>
      </c>
      <c r="CE32" s="4">
        <f>Lineup!$I$1</f>
        <v>148</v>
      </c>
      <c r="CF32" s="5" t="str">
        <f>Lineup!$G$5</f>
        <v>王俊宏</v>
      </c>
      <c r="CG32" s="5" t="str">
        <f>Lineup!$G$4</f>
        <v>桃園</v>
      </c>
    </row>
    <row r="33" spans="1:85" x14ac:dyDescent="0.3">
      <c r="A33" s="43">
        <v>32</v>
      </c>
      <c r="B33" s="4">
        <v>1</v>
      </c>
      <c r="C33" s="4">
        <v>7</v>
      </c>
      <c r="D33" s="4">
        <v>3</v>
      </c>
      <c r="E33" s="4" t="s">
        <v>621</v>
      </c>
      <c r="F33" s="4" t="s">
        <v>341</v>
      </c>
      <c r="G33" s="4">
        <v>31</v>
      </c>
      <c r="H33" s="4">
        <v>19</v>
      </c>
      <c r="I33" s="4">
        <v>12</v>
      </c>
      <c r="J33" s="4">
        <v>0</v>
      </c>
      <c r="K33" s="4">
        <v>123</v>
      </c>
      <c r="L33" s="4" t="s">
        <v>665</v>
      </c>
      <c r="M33" s="4" t="s">
        <v>381</v>
      </c>
      <c r="N33" s="4" t="s">
        <v>649</v>
      </c>
      <c r="O33" s="4">
        <v>108.75</v>
      </c>
      <c r="P33" s="4">
        <v>84.75</v>
      </c>
      <c r="Q33" s="4" t="s">
        <v>639</v>
      </c>
      <c r="R33" s="5" t="s">
        <v>657</v>
      </c>
      <c r="AO33" s="4">
        <v>1</v>
      </c>
      <c r="AP33" s="4">
        <v>0</v>
      </c>
      <c r="AQ33" s="4" t="s">
        <v>640</v>
      </c>
      <c r="AS33">
        <v>0</v>
      </c>
      <c r="AT33">
        <v>0</v>
      </c>
      <c r="AU33" s="33">
        <v>4627.9999999999973</v>
      </c>
      <c r="AV33" s="36" t="s">
        <v>644</v>
      </c>
      <c r="AW33" s="4">
        <v>4623.0000000000036</v>
      </c>
      <c r="AX33" s="4" t="str">
        <f>IFERROR(VLOOKUP(M33,Roster!$D$2:$E$27,2,FALSE),"")</f>
        <v>R</v>
      </c>
      <c r="AY33" s="4" t="str">
        <f t="shared" si="2"/>
        <v>0好0壞</v>
      </c>
      <c r="BI33" s="5" t="str">
        <f>Lineup!$G$2</f>
        <v>20210817</v>
      </c>
      <c r="BJ33" s="4" t="str">
        <f t="shared" si="3"/>
        <v>偏內角中</v>
      </c>
      <c r="BK33" s="4" t="str">
        <f t="shared" si="4"/>
        <v>12B3O</v>
      </c>
      <c r="BL33" s="4" t="str">
        <f>IFERROR(VLOOKUP('HomeAttackPlay-by-Play'!E33,Roster!$L$2:$M$27,2,FALSE),"")</f>
        <v>R</v>
      </c>
      <c r="BP33" s="48" t="str">
        <f>IF(BO33&lt;&gt;"",HYPERLINK(video!$F$29&amp;"\"&amp;"cam_1_"&amp;$BO33&amp;".avi","Play"),"")</f>
        <v/>
      </c>
      <c r="BQ33" s="48" t="str">
        <f>IF(BO33&lt;&gt;"",HYPERLINK(video!$F$29&amp;"\"&amp;"cam_2_"&amp;$BO33&amp;".avi","Play"),"")</f>
        <v/>
      </c>
      <c r="BR33" s="48" t="str">
        <f>IF(BO33&lt;&gt;"",HYPERLINK(video!$F$29&amp;"\"&amp;"cam_3_"&amp;$BO33&amp;".avi","Play"),"")</f>
        <v/>
      </c>
      <c r="BS33" s="48" t="str">
        <f>IF(BV33&lt;&gt;"",HYPERLINK(video!$F$25&amp;"\"&amp;"cam_4_"&amp;$BV33&amp;".avi","Play"),"")</f>
        <v/>
      </c>
      <c r="BT33" s="48" t="str">
        <f>IF(BV33&lt;&gt;"",HYPERLINK(video!$F$25&amp;"\"&amp;"cam_5_"&amp;$BV33&amp;".avi","Play"),"")</f>
        <v/>
      </c>
      <c r="BU33" s="48" t="str">
        <f>IF(BV33&lt;&gt;"",HYPERLINK(video!$F$25&amp;"\"&amp;"cam_6_"&amp;$BV33&amp;".avi","Play"),"")</f>
        <v/>
      </c>
      <c r="BY33" s="4">
        <f t="shared" si="0"/>
        <v>101.25</v>
      </c>
      <c r="BZ33" s="4">
        <f t="shared" si="1"/>
        <v>246</v>
      </c>
      <c r="CD33" s="5" t="str">
        <f>Lineup!$G$1</f>
        <v>一軍例行賽</v>
      </c>
      <c r="CE33" s="4">
        <f>Lineup!$I$1</f>
        <v>148</v>
      </c>
      <c r="CF33" s="5" t="str">
        <f>Lineup!$G$5</f>
        <v>王俊宏</v>
      </c>
      <c r="CG33" s="5" t="str">
        <f>Lineup!$G$4</f>
        <v>桃園</v>
      </c>
    </row>
    <row r="34" spans="1:85" x14ac:dyDescent="0.3">
      <c r="A34" s="43">
        <v>33</v>
      </c>
      <c r="B34" s="4">
        <v>1</v>
      </c>
      <c r="C34" s="4">
        <v>7</v>
      </c>
      <c r="D34" s="4">
        <v>3</v>
      </c>
      <c r="E34" s="4" t="s">
        <v>621</v>
      </c>
      <c r="F34" s="4" t="s">
        <v>341</v>
      </c>
      <c r="G34" s="4">
        <v>32</v>
      </c>
      <c r="H34" s="4">
        <v>19</v>
      </c>
      <c r="I34" s="4">
        <v>13</v>
      </c>
      <c r="J34" s="4">
        <v>0</v>
      </c>
      <c r="K34" s="4">
        <v>130</v>
      </c>
      <c r="L34" s="4" t="s">
        <v>646</v>
      </c>
      <c r="M34" s="4" t="s">
        <v>381</v>
      </c>
      <c r="N34" s="4" t="s">
        <v>642</v>
      </c>
      <c r="O34" s="4">
        <v>108.75</v>
      </c>
      <c r="P34" s="4">
        <v>69.75</v>
      </c>
      <c r="Q34" s="4" t="s">
        <v>641</v>
      </c>
      <c r="AO34" s="4">
        <v>1</v>
      </c>
      <c r="AP34" s="4">
        <v>1</v>
      </c>
      <c r="AQ34" s="4" t="s">
        <v>645</v>
      </c>
      <c r="AS34">
        <v>1</v>
      </c>
      <c r="AT34">
        <v>0</v>
      </c>
      <c r="AU34" s="33">
        <v>4649.0000000000009</v>
      </c>
      <c r="AV34" s="36" t="s">
        <v>644</v>
      </c>
      <c r="AW34" s="4">
        <v>4643</v>
      </c>
      <c r="AX34" s="4" t="str">
        <f>IFERROR(VLOOKUP(M34,Roster!$D$2:$E$27,2,FALSE),"")</f>
        <v>R</v>
      </c>
      <c r="AY34" s="4" t="str">
        <f t="shared" si="2"/>
        <v>1好0壞</v>
      </c>
      <c r="BI34" s="5" t="str">
        <f>Lineup!$G$2</f>
        <v>20210817</v>
      </c>
      <c r="BJ34" s="4" t="str">
        <f t="shared" si="3"/>
        <v>偏內角高</v>
      </c>
      <c r="BK34" s="4" t="str">
        <f t="shared" si="4"/>
        <v>B0O</v>
      </c>
      <c r="BL34" s="4" t="str">
        <f>IFERROR(VLOOKUP('HomeAttackPlay-by-Play'!E34,Roster!$L$2:$M$27,2,FALSE),"")</f>
        <v>R</v>
      </c>
      <c r="BP34" s="48" t="str">
        <f>IF(BO34&lt;&gt;"",HYPERLINK(video!$F$29&amp;"\"&amp;"cam_1_"&amp;$BO34&amp;".avi","Play"),"")</f>
        <v/>
      </c>
      <c r="BQ34" s="48" t="str">
        <f>IF(BO34&lt;&gt;"",HYPERLINK(video!$F$29&amp;"\"&amp;"cam_2_"&amp;$BO34&amp;".avi","Play"),"")</f>
        <v/>
      </c>
      <c r="BR34" s="48" t="str">
        <f>IF(BO34&lt;&gt;"",HYPERLINK(video!$F$29&amp;"\"&amp;"cam_3_"&amp;$BO34&amp;".avi","Play"),"")</f>
        <v/>
      </c>
      <c r="BS34" s="48" t="str">
        <f>IF(BV34&lt;&gt;"",HYPERLINK(video!$F$25&amp;"\"&amp;"cam_4_"&amp;$BV34&amp;".avi","Play"),"")</f>
        <v/>
      </c>
      <c r="BT34" s="48" t="str">
        <f>IF(BV34&lt;&gt;"",HYPERLINK(video!$F$25&amp;"\"&amp;"cam_5_"&amp;$BV34&amp;".avi","Play"),"")</f>
        <v/>
      </c>
      <c r="BU34" s="48" t="str">
        <f>IF(BV34&lt;&gt;"",HYPERLINK(video!$F$25&amp;"\"&amp;"cam_6_"&amp;$BV34&amp;".avi","Play"),"")</f>
        <v/>
      </c>
      <c r="BY34" s="4">
        <f t="shared" si="0"/>
        <v>116.25</v>
      </c>
      <c r="BZ34" s="4">
        <f t="shared" si="1"/>
        <v>246</v>
      </c>
      <c r="CD34" s="5" t="str">
        <f>Lineup!$G$1</f>
        <v>一軍例行賽</v>
      </c>
      <c r="CE34" s="4">
        <f>Lineup!$I$1</f>
        <v>148</v>
      </c>
      <c r="CF34" s="5" t="str">
        <f>Lineup!$G$5</f>
        <v>王俊宏</v>
      </c>
      <c r="CG34" s="5" t="str">
        <f>Lineup!$G$4</f>
        <v>桃園</v>
      </c>
    </row>
    <row r="35" spans="1:85" x14ac:dyDescent="0.3">
      <c r="A35" s="43">
        <v>34</v>
      </c>
      <c r="B35" s="4">
        <v>1</v>
      </c>
      <c r="C35" s="4">
        <v>7</v>
      </c>
      <c r="D35" s="4">
        <v>3</v>
      </c>
      <c r="E35" s="4" t="s">
        <v>621</v>
      </c>
      <c r="F35" s="4" t="s">
        <v>341</v>
      </c>
      <c r="G35" s="4">
        <v>33</v>
      </c>
      <c r="H35" s="4">
        <v>20</v>
      </c>
      <c r="I35" s="4">
        <v>13</v>
      </c>
      <c r="J35" s="4">
        <v>0</v>
      </c>
      <c r="K35" s="4">
        <v>134</v>
      </c>
      <c r="L35" s="4" t="s">
        <v>646</v>
      </c>
      <c r="M35" s="4" t="s">
        <v>381</v>
      </c>
      <c r="N35" s="4" t="s">
        <v>642</v>
      </c>
      <c r="O35" s="4">
        <v>64.5</v>
      </c>
      <c r="P35" s="4">
        <v>78.75</v>
      </c>
      <c r="Q35" s="4" t="s">
        <v>639</v>
      </c>
      <c r="AO35" s="4">
        <v>2</v>
      </c>
      <c r="AP35" s="4">
        <v>1</v>
      </c>
      <c r="AQ35" s="4" t="s">
        <v>647</v>
      </c>
      <c r="AS35">
        <v>1</v>
      </c>
      <c r="AT35">
        <v>1</v>
      </c>
      <c r="AU35" s="33">
        <v>4661.0000000000027</v>
      </c>
      <c r="AV35" s="36" t="s">
        <v>644</v>
      </c>
      <c r="AW35" s="4">
        <v>4657.9999999999927</v>
      </c>
      <c r="AX35" s="4" t="str">
        <f>IFERROR(VLOOKUP(M35,Roster!$D$2:$E$27,2,FALSE),"")</f>
        <v>R</v>
      </c>
      <c r="AY35" s="4" t="str">
        <f t="shared" si="2"/>
        <v>1好1壞</v>
      </c>
      <c r="BI35" s="5" t="str">
        <f>Lineup!$G$2</f>
        <v>20210817</v>
      </c>
      <c r="BJ35" s="4" t="str">
        <f t="shared" si="3"/>
        <v>外角高</v>
      </c>
      <c r="BK35" s="4" t="str">
        <f t="shared" si="4"/>
        <v>B0O</v>
      </c>
      <c r="BL35" s="4" t="str">
        <f>IFERROR(VLOOKUP('HomeAttackPlay-by-Play'!E35,Roster!$L$2:$M$27,2,FALSE),"")</f>
        <v>R</v>
      </c>
      <c r="BP35" s="48" t="str">
        <f>IF(BO35&lt;&gt;"",HYPERLINK(video!$F$29&amp;"\"&amp;"cam_1_"&amp;$BO35&amp;".avi","Play"),"")</f>
        <v/>
      </c>
      <c r="BQ35" s="48" t="str">
        <f>IF(BO35&lt;&gt;"",HYPERLINK(video!$F$29&amp;"\"&amp;"cam_2_"&amp;$BO35&amp;".avi","Play"),"")</f>
        <v/>
      </c>
      <c r="BR35" s="48" t="str">
        <f>IF(BO35&lt;&gt;"",HYPERLINK(video!$F$29&amp;"\"&amp;"cam_3_"&amp;$BO35&amp;".avi","Play"),"")</f>
        <v/>
      </c>
      <c r="BS35" s="48" t="str">
        <f>IF(BV35&lt;&gt;"",HYPERLINK(video!$F$25&amp;"\"&amp;"cam_4_"&amp;$BV35&amp;".avi","Play"),"")</f>
        <v/>
      </c>
      <c r="BT35" s="48" t="str">
        <f>IF(BV35&lt;&gt;"",HYPERLINK(video!$F$25&amp;"\"&amp;"cam_5_"&amp;$BV35&amp;".avi","Play"),"")</f>
        <v/>
      </c>
      <c r="BU35" s="48" t="str">
        <f>IF(BV35&lt;&gt;"",HYPERLINK(video!$F$25&amp;"\"&amp;"cam_6_"&amp;$BV35&amp;".avi","Play"),"")</f>
        <v/>
      </c>
      <c r="BY35" s="4">
        <f t="shared" si="0"/>
        <v>107.25</v>
      </c>
      <c r="BZ35" s="4">
        <f t="shared" si="1"/>
        <v>246</v>
      </c>
      <c r="CD35" s="5" t="str">
        <f>Lineup!$G$1</f>
        <v>一軍例行賽</v>
      </c>
      <c r="CE35" s="4">
        <f>Lineup!$I$1</f>
        <v>148</v>
      </c>
      <c r="CF35" s="5" t="str">
        <f>Lineup!$G$5</f>
        <v>王俊宏</v>
      </c>
      <c r="CG35" s="5" t="str">
        <f>Lineup!$G$4</f>
        <v>桃園</v>
      </c>
    </row>
    <row r="36" spans="1:85" x14ac:dyDescent="0.3">
      <c r="A36" s="43">
        <v>35</v>
      </c>
      <c r="B36" s="4">
        <v>1</v>
      </c>
      <c r="C36" s="4">
        <v>7</v>
      </c>
      <c r="D36" s="4">
        <v>3</v>
      </c>
      <c r="E36" s="4" t="s">
        <v>621</v>
      </c>
      <c r="F36" s="4" t="s">
        <v>341</v>
      </c>
      <c r="G36" s="4">
        <v>34</v>
      </c>
      <c r="H36" s="4">
        <v>21</v>
      </c>
      <c r="I36" s="4">
        <v>13</v>
      </c>
      <c r="J36" s="4">
        <v>1</v>
      </c>
      <c r="K36" s="4">
        <v>137</v>
      </c>
      <c r="L36" s="4" t="s">
        <v>646</v>
      </c>
      <c r="M36" s="4" t="s">
        <v>381</v>
      </c>
      <c r="N36" s="4" t="s">
        <v>649</v>
      </c>
      <c r="O36" s="4">
        <v>99</v>
      </c>
      <c r="P36" s="4">
        <v>117.75</v>
      </c>
      <c r="Q36" s="4" t="s">
        <v>639</v>
      </c>
      <c r="R36" s="5" t="s">
        <v>685</v>
      </c>
      <c r="AH36" s="4" t="s">
        <v>381</v>
      </c>
      <c r="AK36" s="4">
        <v>1</v>
      </c>
      <c r="AM36" s="4">
        <v>1</v>
      </c>
      <c r="AO36" s="4">
        <v>3</v>
      </c>
      <c r="AP36" s="4">
        <v>1</v>
      </c>
      <c r="AQ36" s="4" t="s">
        <v>648</v>
      </c>
      <c r="AR36" s="4" t="s">
        <v>680</v>
      </c>
      <c r="AS36">
        <v>2</v>
      </c>
      <c r="AT36">
        <v>1</v>
      </c>
      <c r="AU36" s="33">
        <v>4674.9999999999982</v>
      </c>
      <c r="AV36" s="36" t="s">
        <v>644</v>
      </c>
      <c r="AW36" s="4">
        <v>4669.9999999999945</v>
      </c>
      <c r="AX36" s="4" t="str">
        <f>IFERROR(VLOOKUP(M36,Roster!$D$2:$E$27,2,FALSE),"")</f>
        <v>R</v>
      </c>
      <c r="AY36" s="4" t="str">
        <f t="shared" si="2"/>
        <v>2好1壞</v>
      </c>
      <c r="BI36" s="5" t="str">
        <f>Lineup!$G$2</f>
        <v>20210817</v>
      </c>
      <c r="BJ36" s="4" t="str">
        <f t="shared" si="3"/>
        <v>內角低</v>
      </c>
      <c r="BK36" s="4" t="str">
        <f t="shared" si="4"/>
        <v>B0O</v>
      </c>
      <c r="BL36" s="4" t="str">
        <f>IFERROR(VLOOKUP('HomeAttackPlay-by-Play'!E36,Roster!$L$2:$M$27,2,FALSE),"")</f>
        <v>R</v>
      </c>
      <c r="BP36" s="48" t="str">
        <f>IF(BO36&lt;&gt;"",HYPERLINK(video!$F$29&amp;"\"&amp;"cam_1_"&amp;$BO36&amp;".avi","Play"),"")</f>
        <v/>
      </c>
      <c r="BQ36" s="48" t="str">
        <f>IF(BO36&lt;&gt;"",HYPERLINK(video!$F$29&amp;"\"&amp;"cam_2_"&amp;$BO36&amp;".avi","Play"),"")</f>
        <v/>
      </c>
      <c r="BR36" s="48" t="str">
        <f>IF(BO36&lt;&gt;"",HYPERLINK(video!$F$29&amp;"\"&amp;"cam_3_"&amp;$BO36&amp;".avi","Play"),"")</f>
        <v/>
      </c>
      <c r="BS36" s="48" t="str">
        <f>IF(BV36&lt;&gt;"",HYPERLINK(video!$F$25&amp;"\"&amp;"cam_4_"&amp;$BV36&amp;".avi","Play"),"")</f>
        <v/>
      </c>
      <c r="BT36" s="48" t="str">
        <f>IF(BV36&lt;&gt;"",HYPERLINK(video!$F$25&amp;"\"&amp;"cam_5_"&amp;$BV36&amp;".avi","Play"),"")</f>
        <v/>
      </c>
      <c r="BU36" s="48" t="str">
        <f>IF(BV36&lt;&gt;"",HYPERLINK(video!$F$25&amp;"\"&amp;"cam_6_"&amp;$BV36&amp;".avi","Play"),"")</f>
        <v/>
      </c>
      <c r="BY36" s="4">
        <f t="shared" si="0"/>
        <v>68.25</v>
      </c>
      <c r="BZ36" s="4">
        <f t="shared" si="1"/>
        <v>246</v>
      </c>
      <c r="CD36" s="5" t="str">
        <f>Lineup!$G$1</f>
        <v>一軍例行賽</v>
      </c>
      <c r="CE36" s="4">
        <f>Lineup!$I$1</f>
        <v>148</v>
      </c>
      <c r="CF36" s="5" t="str">
        <f>Lineup!$G$5</f>
        <v>王俊宏</v>
      </c>
      <c r="CG36" s="5" t="str">
        <f>Lineup!$G$4</f>
        <v>桃園</v>
      </c>
    </row>
    <row r="37" spans="1:85" x14ac:dyDescent="0.3">
      <c r="A37" s="43">
        <v>36</v>
      </c>
      <c r="B37" s="4">
        <v>1</v>
      </c>
      <c r="C37" s="4">
        <v>7</v>
      </c>
      <c r="D37" s="4">
        <v>3</v>
      </c>
      <c r="E37" s="4" t="s">
        <v>621</v>
      </c>
      <c r="F37" s="4" t="s">
        <v>341</v>
      </c>
      <c r="G37" s="4">
        <v>35</v>
      </c>
      <c r="H37" s="4">
        <v>22</v>
      </c>
      <c r="I37" s="4">
        <v>13</v>
      </c>
      <c r="J37" s="4">
        <v>1</v>
      </c>
      <c r="L37" s="4" t="s">
        <v>646</v>
      </c>
      <c r="M37" s="4" t="s">
        <v>588</v>
      </c>
      <c r="N37" s="4" t="s">
        <v>642</v>
      </c>
      <c r="O37" s="4">
        <v>104.25</v>
      </c>
      <c r="P37" s="4">
        <v>90</v>
      </c>
      <c r="Q37" s="4" t="s">
        <v>639</v>
      </c>
      <c r="AO37" s="4">
        <v>1</v>
      </c>
      <c r="AP37" s="4">
        <v>0</v>
      </c>
      <c r="AQ37" s="4" t="s">
        <v>640</v>
      </c>
      <c r="AS37">
        <v>0</v>
      </c>
      <c r="AT37">
        <v>0</v>
      </c>
      <c r="AU37" s="33">
        <v>4707.9999999999945</v>
      </c>
      <c r="AV37" s="36" t="s">
        <v>644</v>
      </c>
      <c r="AW37" s="4">
        <v>4704.9999999999936</v>
      </c>
      <c r="AX37" s="4" t="str">
        <f>IFERROR(VLOOKUP(M37,Roster!$D$2:$E$27,2,FALSE),"")</f>
        <v>L</v>
      </c>
      <c r="AY37" s="4" t="str">
        <f t="shared" si="2"/>
        <v>0好0壞</v>
      </c>
      <c r="BI37" s="5" t="str">
        <f>Lineup!$G$2</f>
        <v>20210817</v>
      </c>
      <c r="BJ37" s="4" t="str">
        <f t="shared" si="3"/>
        <v>偏外角中</v>
      </c>
      <c r="BK37" s="4" t="str">
        <f t="shared" si="4"/>
        <v>B1O</v>
      </c>
      <c r="BL37" s="4" t="str">
        <f>IFERROR(VLOOKUP('HomeAttackPlay-by-Play'!E37,Roster!$L$2:$M$27,2,FALSE),"")</f>
        <v>R</v>
      </c>
      <c r="BP37" s="48" t="str">
        <f>IF(BO37&lt;&gt;"",HYPERLINK(video!$F$29&amp;"\"&amp;"cam_1_"&amp;$BO37&amp;".avi","Play"),"")</f>
        <v/>
      </c>
      <c r="BQ37" s="48" t="str">
        <f>IF(BO37&lt;&gt;"",HYPERLINK(video!$F$29&amp;"\"&amp;"cam_2_"&amp;$BO37&amp;".avi","Play"),"")</f>
        <v/>
      </c>
      <c r="BR37" s="48" t="str">
        <f>IF(BO37&lt;&gt;"",HYPERLINK(video!$F$29&amp;"\"&amp;"cam_3_"&amp;$BO37&amp;".avi","Play"),"")</f>
        <v/>
      </c>
      <c r="BS37" s="48" t="str">
        <f>IF(BV37&lt;&gt;"",HYPERLINK(video!$F$25&amp;"\"&amp;"cam_4_"&amp;$BV37&amp;".avi","Play"),"")</f>
        <v/>
      </c>
      <c r="BT37" s="48" t="str">
        <f>IF(BV37&lt;&gt;"",HYPERLINK(video!$F$25&amp;"\"&amp;"cam_5_"&amp;$BV37&amp;".avi","Play"),"")</f>
        <v/>
      </c>
      <c r="BU37" s="48" t="str">
        <f>IF(BV37&lt;&gt;"",HYPERLINK(video!$F$25&amp;"\"&amp;"cam_6_"&amp;$BV37&amp;".avi","Play"),"")</f>
        <v/>
      </c>
      <c r="BY37" s="4">
        <f t="shared" si="0"/>
        <v>96</v>
      </c>
      <c r="BZ37" s="4">
        <f t="shared" si="1"/>
        <v>246</v>
      </c>
      <c r="CD37" s="5" t="str">
        <f>Lineup!$G$1</f>
        <v>一軍例行賽</v>
      </c>
      <c r="CE37" s="4">
        <f>Lineup!$I$1</f>
        <v>148</v>
      </c>
      <c r="CF37" s="5" t="str">
        <f>Lineup!$G$5</f>
        <v>王俊宏</v>
      </c>
      <c r="CG37" s="5" t="str">
        <f>Lineup!$G$4</f>
        <v>桃園</v>
      </c>
    </row>
    <row r="38" spans="1:85" x14ac:dyDescent="0.3">
      <c r="A38" s="43">
        <v>37</v>
      </c>
      <c r="B38" s="4">
        <v>1</v>
      </c>
      <c r="C38" s="4">
        <v>7</v>
      </c>
      <c r="D38" s="4">
        <v>3</v>
      </c>
      <c r="E38" s="4" t="s">
        <v>621</v>
      </c>
      <c r="F38" s="4" t="s">
        <v>341</v>
      </c>
      <c r="G38" s="4">
        <v>36</v>
      </c>
      <c r="H38" s="4">
        <v>22</v>
      </c>
      <c r="I38" s="4">
        <v>14</v>
      </c>
      <c r="J38" s="4">
        <v>1</v>
      </c>
      <c r="K38" s="4">
        <v>148</v>
      </c>
      <c r="L38" s="4" t="s">
        <v>643</v>
      </c>
      <c r="M38" s="4" t="s">
        <v>588</v>
      </c>
      <c r="N38" s="4" t="s">
        <v>642</v>
      </c>
      <c r="O38" s="4">
        <v>31.5</v>
      </c>
      <c r="P38" s="4">
        <v>107.25</v>
      </c>
      <c r="Q38" s="4" t="s">
        <v>641</v>
      </c>
      <c r="AO38" s="4">
        <v>1</v>
      </c>
      <c r="AP38" s="4">
        <v>1</v>
      </c>
      <c r="AQ38" s="4" t="s">
        <v>645</v>
      </c>
      <c r="AS38">
        <v>1</v>
      </c>
      <c r="AT38">
        <v>0</v>
      </c>
      <c r="AU38" s="33">
        <v>4718.0000000000018</v>
      </c>
      <c r="AV38" s="36" t="s">
        <v>644</v>
      </c>
      <c r="AW38" s="4">
        <v>4711</v>
      </c>
      <c r="AX38" s="4" t="str">
        <f>IFERROR(VLOOKUP(M38,Roster!$D$2:$E$27,2,FALSE),"")</f>
        <v>L</v>
      </c>
      <c r="AY38" s="4" t="str">
        <f t="shared" si="2"/>
        <v>1好0壞</v>
      </c>
      <c r="BI38" s="5" t="str">
        <f>Lineup!$G$2</f>
        <v>20210817</v>
      </c>
      <c r="BJ38" s="4" t="str">
        <f t="shared" si="3"/>
        <v>偏內角低</v>
      </c>
      <c r="BK38" s="4" t="str">
        <f t="shared" si="4"/>
        <v>B1O</v>
      </c>
      <c r="BL38" s="4" t="str">
        <f>IFERROR(VLOOKUP('HomeAttackPlay-by-Play'!E38,Roster!$L$2:$M$27,2,FALSE),"")</f>
        <v>R</v>
      </c>
      <c r="BP38" s="48" t="str">
        <f>IF(BO38&lt;&gt;"",HYPERLINK(video!$F$29&amp;"\"&amp;"cam_1_"&amp;$BO38&amp;".avi","Play"),"")</f>
        <v/>
      </c>
      <c r="BQ38" s="48" t="str">
        <f>IF(BO38&lt;&gt;"",HYPERLINK(video!$F$29&amp;"\"&amp;"cam_2_"&amp;$BO38&amp;".avi","Play"),"")</f>
        <v/>
      </c>
      <c r="BR38" s="48" t="str">
        <f>IF(BO38&lt;&gt;"",HYPERLINK(video!$F$29&amp;"\"&amp;"cam_3_"&amp;$BO38&amp;".avi","Play"),"")</f>
        <v/>
      </c>
      <c r="BS38" s="48" t="str">
        <f>IF(BV38&lt;&gt;"",HYPERLINK(video!$F$25&amp;"\"&amp;"cam_4_"&amp;$BV38&amp;".avi","Play"),"")</f>
        <v/>
      </c>
      <c r="BT38" s="48" t="str">
        <f>IF(BV38&lt;&gt;"",HYPERLINK(video!$F$25&amp;"\"&amp;"cam_5_"&amp;$BV38&amp;".avi","Play"),"")</f>
        <v/>
      </c>
      <c r="BU38" s="48" t="str">
        <f>IF(BV38&lt;&gt;"",HYPERLINK(video!$F$25&amp;"\"&amp;"cam_6_"&amp;$BV38&amp;".avi","Play"),"")</f>
        <v/>
      </c>
      <c r="BY38" s="4">
        <f t="shared" si="0"/>
        <v>78.75</v>
      </c>
      <c r="BZ38" s="4">
        <f t="shared" si="1"/>
        <v>246</v>
      </c>
      <c r="CD38" s="5" t="str">
        <f>Lineup!$G$1</f>
        <v>一軍例行賽</v>
      </c>
      <c r="CE38" s="4">
        <f>Lineup!$I$1</f>
        <v>148</v>
      </c>
      <c r="CF38" s="5" t="str">
        <f>Lineup!$G$5</f>
        <v>王俊宏</v>
      </c>
      <c r="CG38" s="5" t="str">
        <f>Lineup!$G$4</f>
        <v>桃園</v>
      </c>
    </row>
    <row r="39" spans="1:85" x14ac:dyDescent="0.3">
      <c r="A39" s="43">
        <v>38</v>
      </c>
      <c r="B39" s="4">
        <v>1</v>
      </c>
      <c r="C39" s="4">
        <v>7</v>
      </c>
      <c r="D39" s="4">
        <v>3</v>
      </c>
      <c r="E39" s="4" t="s">
        <v>621</v>
      </c>
      <c r="F39" s="4" t="s">
        <v>341</v>
      </c>
      <c r="G39" s="4">
        <v>37</v>
      </c>
      <c r="H39" s="4">
        <v>23</v>
      </c>
      <c r="I39" s="4">
        <v>14</v>
      </c>
      <c r="J39" s="4">
        <v>2</v>
      </c>
      <c r="K39" s="4">
        <v>130</v>
      </c>
      <c r="L39" s="4" t="s">
        <v>646</v>
      </c>
      <c r="M39" s="4" t="s">
        <v>588</v>
      </c>
      <c r="N39" s="4" t="s">
        <v>649</v>
      </c>
      <c r="O39" s="4">
        <v>92.25</v>
      </c>
      <c r="P39" s="4">
        <v>113.25</v>
      </c>
      <c r="Q39" s="4" t="s">
        <v>109</v>
      </c>
      <c r="R39" s="5" t="s">
        <v>676</v>
      </c>
      <c r="S39" s="4">
        <v>183</v>
      </c>
      <c r="T39" s="4">
        <v>66.75</v>
      </c>
      <c r="U39" s="4" t="s">
        <v>383</v>
      </c>
      <c r="AI39" s="4" t="s">
        <v>588</v>
      </c>
      <c r="AK39" s="4">
        <v>1</v>
      </c>
      <c r="AM39" s="4">
        <v>1</v>
      </c>
      <c r="AO39" s="4">
        <v>2</v>
      </c>
      <c r="AP39" s="4">
        <v>1</v>
      </c>
      <c r="AQ39" s="4" t="s">
        <v>647</v>
      </c>
      <c r="AR39" s="4" t="s">
        <v>738</v>
      </c>
      <c r="AS39">
        <v>1</v>
      </c>
      <c r="AT39">
        <v>1</v>
      </c>
      <c r="AU39" s="33">
        <v>4735.9999999999955</v>
      </c>
      <c r="AV39" s="36" t="s">
        <v>644</v>
      </c>
      <c r="AW39" s="4">
        <v>4726.9999999999936</v>
      </c>
      <c r="AX39" s="4" t="str">
        <f>IFERROR(VLOOKUP(M39,Roster!$D$2:$E$27,2,FALSE),"")</f>
        <v>L</v>
      </c>
      <c r="AY39" s="4" t="str">
        <f t="shared" si="2"/>
        <v>1好1壞</v>
      </c>
      <c r="BI39" s="5" t="str">
        <f>Lineup!$G$2</f>
        <v>20210817</v>
      </c>
      <c r="BJ39" s="4" t="str">
        <f t="shared" si="3"/>
        <v>外角低</v>
      </c>
      <c r="BK39" s="4" t="str">
        <f t="shared" si="4"/>
        <v>B1O</v>
      </c>
      <c r="BL39" s="4" t="str">
        <f>IFERROR(VLOOKUP('HomeAttackPlay-by-Play'!E39,Roster!$L$2:$M$27,2,FALSE),"")</f>
        <v>R</v>
      </c>
      <c r="BP39" s="48" t="str">
        <f>IF(BO39&lt;&gt;"",HYPERLINK(video!$F$29&amp;"\"&amp;"cam_1_"&amp;$BO39&amp;".avi","Play"),"")</f>
        <v/>
      </c>
      <c r="BQ39" s="48" t="str">
        <f>IF(BO39&lt;&gt;"",HYPERLINK(video!$F$29&amp;"\"&amp;"cam_2_"&amp;$BO39&amp;".avi","Play"),"")</f>
        <v/>
      </c>
      <c r="BR39" s="48" t="str">
        <f>IF(BO39&lt;&gt;"",HYPERLINK(video!$F$29&amp;"\"&amp;"cam_3_"&amp;$BO39&amp;".avi","Play"),"")</f>
        <v/>
      </c>
      <c r="BS39" s="48" t="str">
        <f>IF(BV39&lt;&gt;"",HYPERLINK(video!$F$25&amp;"\"&amp;"cam_4_"&amp;$BV39&amp;".avi","Play"),"")</f>
        <v/>
      </c>
      <c r="BT39" s="48" t="str">
        <f>IF(BV39&lt;&gt;"",HYPERLINK(video!$F$25&amp;"\"&amp;"cam_5_"&amp;$BV39&amp;".avi","Play"),"")</f>
        <v/>
      </c>
      <c r="BU39" s="48" t="str">
        <f>IF(BV39&lt;&gt;"",HYPERLINK(video!$F$25&amp;"\"&amp;"cam_6_"&amp;$BV39&amp;".avi","Play"),"")</f>
        <v/>
      </c>
      <c r="BY39" s="4">
        <f t="shared" si="0"/>
        <v>72.75</v>
      </c>
      <c r="BZ39" s="4">
        <f t="shared" si="1"/>
        <v>179.25</v>
      </c>
      <c r="CD39" s="5" t="str">
        <f>Lineup!$G$1</f>
        <v>一軍例行賽</v>
      </c>
      <c r="CE39" s="4">
        <f>Lineup!$I$1</f>
        <v>148</v>
      </c>
      <c r="CF39" s="5" t="str">
        <f>Lineup!$G$5</f>
        <v>王俊宏</v>
      </c>
      <c r="CG39" s="5" t="str">
        <f>Lineup!$G$4</f>
        <v>桃園</v>
      </c>
    </row>
    <row r="40" spans="1:85" x14ac:dyDescent="0.3">
      <c r="A40" s="43">
        <v>39</v>
      </c>
      <c r="B40" s="4">
        <v>1</v>
      </c>
      <c r="C40" s="4">
        <v>7</v>
      </c>
      <c r="D40" s="4">
        <v>3</v>
      </c>
      <c r="E40" s="4" t="s">
        <v>621</v>
      </c>
      <c r="F40" s="4" t="s">
        <v>341</v>
      </c>
      <c r="G40" s="4">
        <v>38</v>
      </c>
      <c r="H40" s="4">
        <v>23</v>
      </c>
      <c r="I40" s="4">
        <v>15</v>
      </c>
      <c r="J40" s="4">
        <v>2</v>
      </c>
      <c r="K40" s="4">
        <v>136</v>
      </c>
      <c r="L40" s="4" t="s">
        <v>646</v>
      </c>
      <c r="M40" s="4" t="s">
        <v>343</v>
      </c>
      <c r="N40" s="4" t="s">
        <v>642</v>
      </c>
      <c r="O40" s="4">
        <v>54</v>
      </c>
      <c r="P40" s="4">
        <v>134.25</v>
      </c>
      <c r="Q40" s="4" t="s">
        <v>641</v>
      </c>
      <c r="AO40" s="4">
        <v>0</v>
      </c>
      <c r="AP40" s="4">
        <v>1</v>
      </c>
      <c r="AQ40" s="4" t="s">
        <v>652</v>
      </c>
      <c r="AS40">
        <v>0</v>
      </c>
      <c r="AT40">
        <v>0</v>
      </c>
      <c r="AU40" s="33">
        <v>4772.9999999999982</v>
      </c>
      <c r="AV40" s="36" t="s">
        <v>644</v>
      </c>
      <c r="AW40" s="4">
        <v>4769.9999999999973</v>
      </c>
      <c r="AX40" s="4" t="str">
        <f>IFERROR(VLOOKUP(M40,Roster!$D$2:$E$27,2,FALSE),"")</f>
        <v>L</v>
      </c>
      <c r="AY40" s="4" t="str">
        <f t="shared" si="2"/>
        <v>0好0壞</v>
      </c>
      <c r="BI40" s="5" t="str">
        <f>Lineup!$G$2</f>
        <v>20210817</v>
      </c>
      <c r="BJ40" s="4" t="str">
        <f t="shared" si="3"/>
        <v>內角偏低</v>
      </c>
      <c r="BK40" s="4" t="str">
        <f t="shared" si="4"/>
        <v>B2O</v>
      </c>
      <c r="BL40" s="4" t="str">
        <f>IFERROR(VLOOKUP('HomeAttackPlay-by-Play'!E40,Roster!$L$2:$M$27,2,FALSE),"")</f>
        <v>R</v>
      </c>
      <c r="BP40" s="48" t="str">
        <f>IF(BO40&lt;&gt;"",HYPERLINK(video!$F$29&amp;"\"&amp;"cam_1_"&amp;$BO40&amp;".avi","Play"),"")</f>
        <v/>
      </c>
      <c r="BQ40" s="48" t="str">
        <f>IF(BO40&lt;&gt;"",HYPERLINK(video!$F$29&amp;"\"&amp;"cam_2_"&amp;$BO40&amp;".avi","Play"),"")</f>
        <v/>
      </c>
      <c r="BR40" s="48" t="str">
        <f>IF(BO40&lt;&gt;"",HYPERLINK(video!$F$29&amp;"\"&amp;"cam_3_"&amp;$BO40&amp;".avi","Play"),"")</f>
        <v/>
      </c>
      <c r="BS40" s="48" t="str">
        <f>IF(BV40&lt;&gt;"",HYPERLINK(video!$F$25&amp;"\"&amp;"cam_4_"&amp;$BV40&amp;".avi","Play"),"")</f>
        <v/>
      </c>
      <c r="BT40" s="48" t="str">
        <f>IF(BV40&lt;&gt;"",HYPERLINK(video!$F$25&amp;"\"&amp;"cam_5_"&amp;$BV40&amp;".avi","Play"),"")</f>
        <v/>
      </c>
      <c r="BU40" s="48" t="str">
        <f>IF(BV40&lt;&gt;"",HYPERLINK(video!$F$25&amp;"\"&amp;"cam_6_"&amp;$BV40&amp;".avi","Play"),"")</f>
        <v/>
      </c>
      <c r="BY40" s="4">
        <f t="shared" si="0"/>
        <v>51.75</v>
      </c>
      <c r="BZ40" s="4">
        <f t="shared" si="1"/>
        <v>246</v>
      </c>
      <c r="CD40" s="5" t="str">
        <f>Lineup!$G$1</f>
        <v>一軍例行賽</v>
      </c>
      <c r="CE40" s="4">
        <f>Lineup!$I$1</f>
        <v>148</v>
      </c>
      <c r="CF40" s="5" t="str">
        <f>Lineup!$G$5</f>
        <v>王俊宏</v>
      </c>
      <c r="CG40" s="5" t="str">
        <f>Lineup!$G$4</f>
        <v>桃園</v>
      </c>
    </row>
    <row r="41" spans="1:85" x14ac:dyDescent="0.3">
      <c r="A41" s="43">
        <v>40</v>
      </c>
      <c r="B41" s="4">
        <v>1</v>
      </c>
      <c r="C41" s="4">
        <v>7</v>
      </c>
      <c r="D41" s="4">
        <v>3</v>
      </c>
      <c r="E41" s="4" t="s">
        <v>621</v>
      </c>
      <c r="F41" s="4" t="s">
        <v>341</v>
      </c>
      <c r="G41" s="4">
        <v>39</v>
      </c>
      <c r="H41" s="4">
        <v>24</v>
      </c>
      <c r="I41" s="4">
        <v>15</v>
      </c>
      <c r="J41" s="4">
        <v>2</v>
      </c>
      <c r="K41" s="4">
        <v>137</v>
      </c>
      <c r="L41" s="4" t="s">
        <v>646</v>
      </c>
      <c r="M41" s="4" t="s">
        <v>343</v>
      </c>
      <c r="N41" s="4" t="s">
        <v>649</v>
      </c>
      <c r="O41" s="4">
        <v>52.5</v>
      </c>
      <c r="P41" s="4">
        <v>108</v>
      </c>
      <c r="Q41" s="4" t="s">
        <v>639</v>
      </c>
      <c r="R41" s="5" t="s">
        <v>656</v>
      </c>
      <c r="S41" s="4">
        <v>206.25</v>
      </c>
      <c r="T41" s="4">
        <v>168</v>
      </c>
      <c r="U41" s="4" t="s">
        <v>266</v>
      </c>
      <c r="AB41" s="4" t="s">
        <v>343</v>
      </c>
      <c r="AM41" s="4">
        <v>1</v>
      </c>
      <c r="AO41" s="4">
        <v>1</v>
      </c>
      <c r="AP41" s="4">
        <v>1</v>
      </c>
      <c r="AQ41" s="4" t="s">
        <v>645</v>
      </c>
      <c r="AS41">
        <v>0</v>
      </c>
      <c r="AT41">
        <v>1</v>
      </c>
      <c r="AU41" s="33">
        <v>4791.9999999999973</v>
      </c>
      <c r="AV41" s="36" t="s">
        <v>644</v>
      </c>
      <c r="AW41" s="4">
        <v>4783.0000000000055</v>
      </c>
      <c r="AX41" s="4" t="str">
        <f>IFERROR(VLOOKUP(M41,Roster!$D$2:$E$27,2,FALSE),"")</f>
        <v>L</v>
      </c>
      <c r="AY41" s="4" t="str">
        <f t="shared" si="2"/>
        <v>0好1壞</v>
      </c>
      <c r="BI41" s="5" t="str">
        <f>Lineup!$G$2</f>
        <v>20210817</v>
      </c>
      <c r="BJ41" s="4" t="str">
        <f t="shared" si="3"/>
        <v>內角低</v>
      </c>
      <c r="BK41" s="4" t="str">
        <f t="shared" si="4"/>
        <v>B2O</v>
      </c>
      <c r="BL41" s="4" t="str">
        <f>IFERROR(VLOOKUP('HomeAttackPlay-by-Play'!E41,Roster!$L$2:$M$27,2,FALSE),"")</f>
        <v>R</v>
      </c>
      <c r="BP41" s="48" t="str">
        <f>IF(BO41&lt;&gt;"",HYPERLINK(video!$F$29&amp;"\"&amp;"cam_1_"&amp;$BO41&amp;".avi","Play"),"")</f>
        <v/>
      </c>
      <c r="BQ41" s="48" t="str">
        <f>IF(BO41&lt;&gt;"",HYPERLINK(video!$F$29&amp;"\"&amp;"cam_2_"&amp;$BO41&amp;".avi","Play"),"")</f>
        <v/>
      </c>
      <c r="BR41" s="48" t="str">
        <f>IF(BO41&lt;&gt;"",HYPERLINK(video!$F$29&amp;"\"&amp;"cam_3_"&amp;$BO41&amp;".avi","Play"),"")</f>
        <v/>
      </c>
      <c r="BS41" s="48" t="str">
        <f>IF(BV41&lt;&gt;"",HYPERLINK(video!$F$25&amp;"\"&amp;"cam_4_"&amp;$BV41&amp;".avi","Play"),"")</f>
        <v/>
      </c>
      <c r="BT41" s="48" t="str">
        <f>IF(BV41&lt;&gt;"",HYPERLINK(video!$F$25&amp;"\"&amp;"cam_5_"&amp;$BV41&amp;".avi","Play"),"")</f>
        <v/>
      </c>
      <c r="BU41" s="48" t="str">
        <f>IF(BV41&lt;&gt;"",HYPERLINK(video!$F$25&amp;"\"&amp;"cam_6_"&amp;$BV41&amp;".avi","Play"),"")</f>
        <v/>
      </c>
      <c r="BY41" s="4">
        <f t="shared" si="0"/>
        <v>78</v>
      </c>
      <c r="BZ41" s="4">
        <f t="shared" si="1"/>
        <v>78</v>
      </c>
      <c r="CD41" s="5" t="str">
        <f>Lineup!$G$1</f>
        <v>一軍例行賽</v>
      </c>
      <c r="CE41" s="4">
        <f>Lineup!$I$1</f>
        <v>148</v>
      </c>
      <c r="CF41" s="5" t="str">
        <f>Lineup!$G$5</f>
        <v>王俊宏</v>
      </c>
      <c r="CG41" s="5" t="str">
        <f>Lineup!$G$4</f>
        <v>桃園</v>
      </c>
    </row>
    <row r="42" spans="1:85" x14ac:dyDescent="0.3">
      <c r="A42" s="43">
        <v>41</v>
      </c>
      <c r="B42" s="4">
        <v>1</v>
      </c>
      <c r="C42" s="4">
        <v>7</v>
      </c>
      <c r="D42" s="4">
        <v>3</v>
      </c>
      <c r="E42" s="4" t="s">
        <v>621</v>
      </c>
      <c r="F42" s="4" t="s">
        <v>341</v>
      </c>
      <c r="G42" s="4">
        <v>40</v>
      </c>
      <c r="H42" s="4">
        <v>24</v>
      </c>
      <c r="I42" s="4">
        <v>16</v>
      </c>
      <c r="J42" s="4">
        <v>2</v>
      </c>
      <c r="K42" s="4">
        <v>135</v>
      </c>
      <c r="L42" s="4" t="s">
        <v>646</v>
      </c>
      <c r="M42" s="4" t="s">
        <v>352</v>
      </c>
      <c r="N42" s="4" t="s">
        <v>642</v>
      </c>
      <c r="O42" s="4">
        <v>35.25</v>
      </c>
      <c r="P42" s="4">
        <v>117</v>
      </c>
      <c r="Q42" s="4" t="s">
        <v>641</v>
      </c>
      <c r="AB42" s="4" t="s">
        <v>343</v>
      </c>
      <c r="AO42" s="4">
        <v>0</v>
      </c>
      <c r="AP42" s="4">
        <v>1</v>
      </c>
      <c r="AQ42" s="4" t="s">
        <v>652</v>
      </c>
      <c r="AS42">
        <v>0</v>
      </c>
      <c r="AT42">
        <v>0</v>
      </c>
      <c r="AU42" s="33">
        <v>4844.0000000000027</v>
      </c>
      <c r="AV42" s="36" t="s">
        <v>644</v>
      </c>
      <c r="AW42" s="4">
        <v>4840.9999999999927</v>
      </c>
      <c r="AX42" s="4" t="str">
        <f>IFERROR(VLOOKUP(M42,Roster!$D$2:$E$27,2,FALSE),"")</f>
        <v>R</v>
      </c>
      <c r="AY42" s="4" t="str">
        <f t="shared" si="2"/>
        <v>0好0壞</v>
      </c>
      <c r="BI42" s="5" t="str">
        <f>Lineup!$G$2</f>
        <v>20210817</v>
      </c>
      <c r="BJ42" s="4" t="str">
        <f t="shared" si="3"/>
        <v>偏外角低</v>
      </c>
      <c r="BK42" s="4" t="str">
        <f t="shared" si="4"/>
        <v>1B2O</v>
      </c>
      <c r="BL42" s="4" t="str">
        <f>IFERROR(VLOOKUP('HomeAttackPlay-by-Play'!E42,Roster!$L$2:$M$27,2,FALSE),"")</f>
        <v>R</v>
      </c>
      <c r="BP42" s="48" t="str">
        <f>IF(BO42&lt;&gt;"",HYPERLINK(video!$F$29&amp;"\"&amp;"cam_1_"&amp;$BO42&amp;".avi","Play"),"")</f>
        <v/>
      </c>
      <c r="BQ42" s="48" t="str">
        <f>IF(BO42&lt;&gt;"",HYPERLINK(video!$F$29&amp;"\"&amp;"cam_2_"&amp;$BO42&amp;".avi","Play"),"")</f>
        <v/>
      </c>
      <c r="BR42" s="48" t="str">
        <f>IF(BO42&lt;&gt;"",HYPERLINK(video!$F$29&amp;"\"&amp;"cam_3_"&amp;$BO42&amp;".avi","Play"),"")</f>
        <v/>
      </c>
      <c r="BS42" s="48" t="str">
        <f>IF(BV42&lt;&gt;"",HYPERLINK(video!$F$25&amp;"\"&amp;"cam_4_"&amp;$BV42&amp;".avi","Play"),"")</f>
        <v/>
      </c>
      <c r="BT42" s="48" t="str">
        <f>IF(BV42&lt;&gt;"",HYPERLINK(video!$F$25&amp;"\"&amp;"cam_5_"&amp;$BV42&amp;".avi","Play"),"")</f>
        <v/>
      </c>
      <c r="BU42" s="48" t="str">
        <f>IF(BV42&lt;&gt;"",HYPERLINK(video!$F$25&amp;"\"&amp;"cam_6_"&amp;$BV42&amp;".avi","Play"),"")</f>
        <v/>
      </c>
      <c r="BY42" s="4">
        <f t="shared" si="0"/>
        <v>69</v>
      </c>
      <c r="BZ42" s="4">
        <f t="shared" si="1"/>
        <v>246</v>
      </c>
      <c r="CD42" s="5" t="str">
        <f>Lineup!$G$1</f>
        <v>一軍例行賽</v>
      </c>
      <c r="CE42" s="4">
        <f>Lineup!$I$1</f>
        <v>148</v>
      </c>
      <c r="CF42" s="5" t="str">
        <f>Lineup!$G$5</f>
        <v>王俊宏</v>
      </c>
      <c r="CG42" s="5" t="str">
        <f>Lineup!$G$4</f>
        <v>桃園</v>
      </c>
    </row>
    <row r="43" spans="1:85" x14ac:dyDescent="0.3">
      <c r="A43" s="43">
        <v>42</v>
      </c>
      <c r="B43" s="4">
        <v>1</v>
      </c>
      <c r="C43" s="4">
        <v>7</v>
      </c>
      <c r="D43" s="4">
        <v>3</v>
      </c>
      <c r="E43" s="4" t="s">
        <v>621</v>
      </c>
      <c r="F43" s="4" t="s">
        <v>341</v>
      </c>
      <c r="G43" s="4">
        <v>41</v>
      </c>
      <c r="H43" s="4">
        <v>25</v>
      </c>
      <c r="I43" s="4">
        <v>16</v>
      </c>
      <c r="J43" s="4">
        <v>2</v>
      </c>
      <c r="K43" s="4">
        <v>136</v>
      </c>
      <c r="L43" s="4" t="s">
        <v>646</v>
      </c>
      <c r="M43" s="4" t="s">
        <v>352</v>
      </c>
      <c r="N43" s="4" t="s">
        <v>649</v>
      </c>
      <c r="O43" s="4">
        <v>63</v>
      </c>
      <c r="P43" s="4">
        <v>106.5</v>
      </c>
      <c r="Q43" s="4" t="s">
        <v>639</v>
      </c>
      <c r="R43" s="5" t="s">
        <v>656</v>
      </c>
      <c r="S43" s="4">
        <v>164.25</v>
      </c>
      <c r="T43" s="4">
        <v>81</v>
      </c>
      <c r="U43" s="4" t="s">
        <v>383</v>
      </c>
      <c r="AB43" s="4" t="s">
        <v>352</v>
      </c>
      <c r="AC43" s="4" t="s">
        <v>343</v>
      </c>
      <c r="AE43" s="4" t="s">
        <v>661</v>
      </c>
      <c r="AF43" s="4" t="s">
        <v>661</v>
      </c>
      <c r="AG43" s="4" t="s">
        <v>661</v>
      </c>
      <c r="AM43" s="4">
        <v>1</v>
      </c>
      <c r="AO43" s="4">
        <v>1</v>
      </c>
      <c r="AP43" s="4">
        <v>1</v>
      </c>
      <c r="AQ43" s="4" t="s">
        <v>645</v>
      </c>
      <c r="AS43">
        <v>0</v>
      </c>
      <c r="AT43">
        <v>1</v>
      </c>
      <c r="AU43" s="33">
        <v>4871.0000000000073</v>
      </c>
      <c r="AV43" s="36" t="s">
        <v>644</v>
      </c>
      <c r="AW43" s="4">
        <v>4860.9999999999991</v>
      </c>
      <c r="AX43" s="4" t="str">
        <f>IFERROR(VLOOKUP(M43,Roster!$D$2:$E$27,2,FALSE),"")</f>
        <v>R</v>
      </c>
      <c r="AY43" s="4" t="str">
        <f t="shared" si="2"/>
        <v>0好1壞</v>
      </c>
      <c r="BI43" s="5" t="str">
        <f>Lineup!$G$2</f>
        <v>20210817</v>
      </c>
      <c r="BJ43" s="4" t="str">
        <f t="shared" si="3"/>
        <v>外角低</v>
      </c>
      <c r="BK43" s="4" t="str">
        <f t="shared" si="4"/>
        <v>1B2O</v>
      </c>
      <c r="BL43" s="4" t="str">
        <f>IFERROR(VLOOKUP('HomeAttackPlay-by-Play'!E43,Roster!$L$2:$M$27,2,FALSE),"")</f>
        <v>R</v>
      </c>
      <c r="BP43" s="48" t="str">
        <f>IF(BO43&lt;&gt;"",HYPERLINK(video!$F$29&amp;"\"&amp;"cam_1_"&amp;$BO43&amp;".avi","Play"),"")</f>
        <v/>
      </c>
      <c r="BQ43" s="48" t="str">
        <f>IF(BO43&lt;&gt;"",HYPERLINK(video!$F$29&amp;"\"&amp;"cam_2_"&amp;$BO43&amp;".avi","Play"),"")</f>
        <v/>
      </c>
      <c r="BR43" s="48" t="str">
        <f>IF(BO43&lt;&gt;"",HYPERLINK(video!$F$29&amp;"\"&amp;"cam_3_"&amp;$BO43&amp;".avi","Play"),"")</f>
        <v/>
      </c>
      <c r="BS43" s="48" t="str">
        <f>IF(BV43&lt;&gt;"",HYPERLINK(video!$F$25&amp;"\"&amp;"cam_4_"&amp;$BV43&amp;".avi","Play"),"")</f>
        <v/>
      </c>
      <c r="BT43" s="48" t="str">
        <f>IF(BV43&lt;&gt;"",HYPERLINK(video!$F$25&amp;"\"&amp;"cam_5_"&amp;$BV43&amp;".avi","Play"),"")</f>
        <v/>
      </c>
      <c r="BU43" s="48" t="str">
        <f>IF(BV43&lt;&gt;"",HYPERLINK(video!$F$25&amp;"\"&amp;"cam_6_"&amp;$BV43&amp;".avi","Play"),"")</f>
        <v/>
      </c>
      <c r="BY43" s="4">
        <f t="shared" si="0"/>
        <v>79.5</v>
      </c>
      <c r="BZ43" s="4">
        <f t="shared" si="1"/>
        <v>165</v>
      </c>
      <c r="CD43" s="5" t="str">
        <f>Lineup!$G$1</f>
        <v>一軍例行賽</v>
      </c>
      <c r="CE43" s="4">
        <f>Lineup!$I$1</f>
        <v>148</v>
      </c>
      <c r="CF43" s="5" t="str">
        <f>Lineup!$G$5</f>
        <v>王俊宏</v>
      </c>
      <c r="CG43" s="5" t="str">
        <f>Lineup!$G$4</f>
        <v>桃園</v>
      </c>
    </row>
    <row r="44" spans="1:85" x14ac:dyDescent="0.3">
      <c r="A44" s="43">
        <v>43</v>
      </c>
      <c r="B44" s="4">
        <v>1</v>
      </c>
      <c r="C44" s="4">
        <v>7</v>
      </c>
      <c r="D44" s="4">
        <v>3</v>
      </c>
      <c r="E44" s="4" t="s">
        <v>621</v>
      </c>
      <c r="F44" s="4" t="s">
        <v>341</v>
      </c>
      <c r="G44" s="4">
        <v>42</v>
      </c>
      <c r="H44" s="4">
        <v>26</v>
      </c>
      <c r="I44" s="4">
        <v>16</v>
      </c>
      <c r="J44" s="4">
        <v>2</v>
      </c>
      <c r="K44" s="4">
        <v>145</v>
      </c>
      <c r="L44" s="4" t="s">
        <v>643</v>
      </c>
      <c r="M44" s="4" t="s">
        <v>355</v>
      </c>
      <c r="N44" s="4" t="s">
        <v>642</v>
      </c>
      <c r="O44" s="4">
        <v>105.75</v>
      </c>
      <c r="P44" s="4">
        <v>93.75</v>
      </c>
      <c r="Q44" s="4" t="s">
        <v>639</v>
      </c>
      <c r="AB44" s="4" t="s">
        <v>352</v>
      </c>
      <c r="AC44" s="4" t="s">
        <v>343</v>
      </c>
      <c r="AO44" s="4">
        <v>1</v>
      </c>
      <c r="AP44" s="4">
        <v>0</v>
      </c>
      <c r="AQ44" s="4" t="s">
        <v>640</v>
      </c>
      <c r="AS44">
        <v>0</v>
      </c>
      <c r="AT44">
        <v>0</v>
      </c>
      <c r="AU44" s="33">
        <v>4933.9999999999973</v>
      </c>
      <c r="AV44" s="36" t="s">
        <v>644</v>
      </c>
      <c r="AW44" s="4">
        <v>4928.0000000000064</v>
      </c>
      <c r="AX44" s="4" t="str">
        <f>IFERROR(VLOOKUP(M44,Roster!$D$2:$E$27,2,FALSE),"")</f>
        <v>L</v>
      </c>
      <c r="AY44" s="4" t="str">
        <f t="shared" si="2"/>
        <v>0好0壞</v>
      </c>
      <c r="BI44" s="5" t="str">
        <f>Lineup!$G$2</f>
        <v>20210817</v>
      </c>
      <c r="BJ44" s="4" t="str">
        <f t="shared" si="3"/>
        <v>偏外角中</v>
      </c>
      <c r="BK44" s="4" t="str">
        <f t="shared" si="4"/>
        <v>12B2O</v>
      </c>
      <c r="BL44" s="4" t="str">
        <f>IFERROR(VLOOKUP('HomeAttackPlay-by-Play'!E44,Roster!$L$2:$M$27,2,FALSE),"")</f>
        <v>R</v>
      </c>
      <c r="BP44" s="48" t="str">
        <f>IF(BO44&lt;&gt;"",HYPERLINK(video!$F$29&amp;"\"&amp;"cam_1_"&amp;$BO44&amp;".avi","Play"),"")</f>
        <v/>
      </c>
      <c r="BQ44" s="48" t="str">
        <f>IF(BO44&lt;&gt;"",HYPERLINK(video!$F$29&amp;"\"&amp;"cam_2_"&amp;$BO44&amp;".avi","Play"),"")</f>
        <v/>
      </c>
      <c r="BR44" s="48" t="str">
        <f>IF(BO44&lt;&gt;"",HYPERLINK(video!$F$29&amp;"\"&amp;"cam_3_"&amp;$BO44&amp;".avi","Play"),"")</f>
        <v/>
      </c>
      <c r="BS44" s="48" t="str">
        <f>IF(BV44&lt;&gt;"",HYPERLINK(video!$F$25&amp;"\"&amp;"cam_4_"&amp;$BV44&amp;".avi","Play"),"")</f>
        <v/>
      </c>
      <c r="BT44" s="48" t="str">
        <f>IF(BV44&lt;&gt;"",HYPERLINK(video!$F$25&amp;"\"&amp;"cam_5_"&amp;$BV44&amp;".avi","Play"),"")</f>
        <v/>
      </c>
      <c r="BU44" s="48" t="str">
        <f>IF(BV44&lt;&gt;"",HYPERLINK(video!$F$25&amp;"\"&amp;"cam_6_"&amp;$BV44&amp;".avi","Play"),"")</f>
        <v/>
      </c>
      <c r="BY44" s="4">
        <f t="shared" si="0"/>
        <v>92.25</v>
      </c>
      <c r="BZ44" s="4">
        <f t="shared" si="1"/>
        <v>246</v>
      </c>
      <c r="CD44" s="5" t="str">
        <f>Lineup!$G$1</f>
        <v>一軍例行賽</v>
      </c>
      <c r="CE44" s="4">
        <f>Lineup!$I$1</f>
        <v>148</v>
      </c>
      <c r="CF44" s="5" t="str">
        <f>Lineup!$G$5</f>
        <v>王俊宏</v>
      </c>
      <c r="CG44" s="5" t="str">
        <f>Lineup!$G$4</f>
        <v>桃園</v>
      </c>
    </row>
    <row r="45" spans="1:85" x14ac:dyDescent="0.3">
      <c r="A45" s="43">
        <v>44</v>
      </c>
      <c r="B45" s="4">
        <v>1</v>
      </c>
      <c r="C45" s="4">
        <v>7</v>
      </c>
      <c r="D45" s="4">
        <v>3</v>
      </c>
      <c r="E45" s="4" t="s">
        <v>621</v>
      </c>
      <c r="F45" s="4" t="s">
        <v>341</v>
      </c>
      <c r="G45" s="4">
        <v>43</v>
      </c>
      <c r="H45" s="4">
        <v>26</v>
      </c>
      <c r="I45" s="4">
        <v>17</v>
      </c>
      <c r="J45" s="4">
        <v>2</v>
      </c>
      <c r="K45" s="4">
        <v>150</v>
      </c>
      <c r="L45" s="4" t="s">
        <v>643</v>
      </c>
      <c r="M45" s="4" t="s">
        <v>355</v>
      </c>
      <c r="N45" s="4" t="s">
        <v>642</v>
      </c>
      <c r="O45" s="4">
        <v>44.25</v>
      </c>
      <c r="P45" s="4">
        <v>104.25</v>
      </c>
      <c r="Q45" s="4" t="s">
        <v>641</v>
      </c>
      <c r="AB45" s="4" t="s">
        <v>352</v>
      </c>
      <c r="AC45" s="4" t="s">
        <v>343</v>
      </c>
      <c r="AO45" s="4">
        <v>1</v>
      </c>
      <c r="AP45" s="4">
        <v>1</v>
      </c>
      <c r="AQ45" s="4" t="s">
        <v>645</v>
      </c>
      <c r="AS45">
        <v>1</v>
      </c>
      <c r="AT45">
        <v>0</v>
      </c>
      <c r="AU45" s="33">
        <v>4982.9999999999927</v>
      </c>
      <c r="AV45" s="36" t="s">
        <v>644</v>
      </c>
      <c r="AW45" s="4">
        <v>4978.9999999999945</v>
      </c>
      <c r="AX45" s="4" t="str">
        <f>IFERROR(VLOOKUP(M45,Roster!$D$2:$E$27,2,FALSE),"")</f>
        <v>L</v>
      </c>
      <c r="AY45" s="4" t="str">
        <f t="shared" si="2"/>
        <v>1好0壞</v>
      </c>
      <c r="BI45" s="5" t="str">
        <f>Lineup!$G$2</f>
        <v>20210817</v>
      </c>
      <c r="BJ45" s="4" t="str">
        <f t="shared" si="3"/>
        <v>偏內角低</v>
      </c>
      <c r="BK45" s="4" t="str">
        <f t="shared" si="4"/>
        <v>12B2O</v>
      </c>
      <c r="BL45" s="4" t="str">
        <f>IFERROR(VLOOKUP('HomeAttackPlay-by-Play'!E45,Roster!$L$2:$M$27,2,FALSE),"")</f>
        <v>R</v>
      </c>
      <c r="BP45" s="48" t="str">
        <f>IF(BO45&lt;&gt;"",HYPERLINK(video!$F$29&amp;"\"&amp;"cam_1_"&amp;$BO45&amp;".avi","Play"),"")</f>
        <v/>
      </c>
      <c r="BQ45" s="48" t="str">
        <f>IF(BO45&lt;&gt;"",HYPERLINK(video!$F$29&amp;"\"&amp;"cam_2_"&amp;$BO45&amp;".avi","Play"),"")</f>
        <v/>
      </c>
      <c r="BR45" s="48" t="str">
        <f>IF(BO45&lt;&gt;"",HYPERLINK(video!$F$29&amp;"\"&amp;"cam_3_"&amp;$BO45&amp;".avi","Play"),"")</f>
        <v/>
      </c>
      <c r="BS45" s="48" t="str">
        <f>IF(BV45&lt;&gt;"",HYPERLINK(video!$F$25&amp;"\"&amp;"cam_4_"&amp;$BV45&amp;".avi","Play"),"")</f>
        <v/>
      </c>
      <c r="BT45" s="48" t="str">
        <f>IF(BV45&lt;&gt;"",HYPERLINK(video!$F$25&amp;"\"&amp;"cam_5_"&amp;$BV45&amp;".avi","Play"),"")</f>
        <v/>
      </c>
      <c r="BU45" s="48" t="str">
        <f>IF(BV45&lt;&gt;"",HYPERLINK(video!$F$25&amp;"\"&amp;"cam_6_"&amp;$BV45&amp;".avi","Play"),"")</f>
        <v/>
      </c>
      <c r="BY45" s="4">
        <f t="shared" si="0"/>
        <v>81.75</v>
      </c>
      <c r="BZ45" s="4">
        <f t="shared" si="1"/>
        <v>246</v>
      </c>
      <c r="CD45" s="5" t="str">
        <f>Lineup!$G$1</f>
        <v>一軍例行賽</v>
      </c>
      <c r="CE45" s="4">
        <f>Lineup!$I$1</f>
        <v>148</v>
      </c>
      <c r="CF45" s="5" t="str">
        <f>Lineup!$G$5</f>
        <v>王俊宏</v>
      </c>
      <c r="CG45" s="5" t="str">
        <f>Lineup!$G$4</f>
        <v>桃園</v>
      </c>
    </row>
    <row r="46" spans="1:85" x14ac:dyDescent="0.3">
      <c r="A46" s="43">
        <v>45</v>
      </c>
      <c r="B46" s="4">
        <v>1</v>
      </c>
      <c r="C46" s="4">
        <v>7</v>
      </c>
      <c r="D46" s="4">
        <v>3</v>
      </c>
      <c r="E46" s="4" t="s">
        <v>621</v>
      </c>
      <c r="F46" s="4" t="s">
        <v>341</v>
      </c>
      <c r="G46" s="4">
        <v>44</v>
      </c>
      <c r="H46" s="4">
        <v>27</v>
      </c>
      <c r="I46" s="4">
        <v>17</v>
      </c>
      <c r="J46" s="4">
        <v>2</v>
      </c>
      <c r="K46" s="4">
        <v>131</v>
      </c>
      <c r="L46" s="4" t="s">
        <v>646</v>
      </c>
      <c r="M46" s="4" t="s">
        <v>355</v>
      </c>
      <c r="N46" s="4" t="s">
        <v>642</v>
      </c>
      <c r="O46" s="4">
        <v>54.75</v>
      </c>
      <c r="P46" s="4">
        <v>111.75</v>
      </c>
      <c r="Q46" s="4" t="s">
        <v>639</v>
      </c>
      <c r="AB46" s="4" t="s">
        <v>352</v>
      </c>
      <c r="AC46" s="4" t="s">
        <v>343</v>
      </c>
      <c r="AO46" s="4">
        <v>2</v>
      </c>
      <c r="AP46" s="4">
        <v>1</v>
      </c>
      <c r="AQ46" s="4" t="s">
        <v>647</v>
      </c>
      <c r="AS46">
        <v>1</v>
      </c>
      <c r="AT46">
        <v>1</v>
      </c>
      <c r="AU46" s="33">
        <v>5012.9999999999973</v>
      </c>
      <c r="AV46" s="36" t="s">
        <v>644</v>
      </c>
      <c r="AW46" s="4">
        <v>5008.99999999999</v>
      </c>
      <c r="AX46" s="4" t="str">
        <f>IFERROR(VLOOKUP(M46,Roster!$D$2:$E$27,2,FALSE),"")</f>
        <v>L</v>
      </c>
      <c r="AY46" s="4" t="str">
        <f t="shared" si="2"/>
        <v>1好1壞</v>
      </c>
      <c r="BI46" s="5" t="str">
        <f>Lineup!$G$2</f>
        <v>20210817</v>
      </c>
      <c r="BJ46" s="4" t="str">
        <f t="shared" si="3"/>
        <v>內角低</v>
      </c>
      <c r="BK46" s="4" t="str">
        <f t="shared" si="4"/>
        <v>12B2O</v>
      </c>
      <c r="BL46" s="4" t="str">
        <f>IFERROR(VLOOKUP('HomeAttackPlay-by-Play'!E46,Roster!$L$2:$M$27,2,FALSE),"")</f>
        <v>R</v>
      </c>
      <c r="BP46" s="48" t="str">
        <f>IF(BO46&lt;&gt;"",HYPERLINK(video!$F$29&amp;"\"&amp;"cam_1_"&amp;$BO46&amp;".avi","Play"),"")</f>
        <v/>
      </c>
      <c r="BQ46" s="48" t="str">
        <f>IF(BO46&lt;&gt;"",HYPERLINK(video!$F$29&amp;"\"&amp;"cam_2_"&amp;$BO46&amp;".avi","Play"),"")</f>
        <v/>
      </c>
      <c r="BR46" s="48" t="str">
        <f>IF(BO46&lt;&gt;"",HYPERLINK(video!$F$29&amp;"\"&amp;"cam_3_"&amp;$BO46&amp;".avi","Play"),"")</f>
        <v/>
      </c>
      <c r="BS46" s="48" t="str">
        <f>IF(BV46&lt;&gt;"",HYPERLINK(video!$F$25&amp;"\"&amp;"cam_4_"&amp;$BV46&amp;".avi","Play"),"")</f>
        <v/>
      </c>
      <c r="BT46" s="48" t="str">
        <f>IF(BV46&lt;&gt;"",HYPERLINK(video!$F$25&amp;"\"&amp;"cam_5_"&amp;$BV46&amp;".avi","Play"),"")</f>
        <v/>
      </c>
      <c r="BU46" s="48" t="str">
        <f>IF(BV46&lt;&gt;"",HYPERLINK(video!$F$25&amp;"\"&amp;"cam_6_"&amp;$BV46&amp;".avi","Play"),"")</f>
        <v/>
      </c>
      <c r="BY46" s="4">
        <f t="shared" si="0"/>
        <v>74.25</v>
      </c>
      <c r="BZ46" s="4">
        <f t="shared" si="1"/>
        <v>246</v>
      </c>
      <c r="CD46" s="5" t="str">
        <f>Lineup!$G$1</f>
        <v>一軍例行賽</v>
      </c>
      <c r="CE46" s="4">
        <f>Lineup!$I$1</f>
        <v>148</v>
      </c>
      <c r="CF46" s="5" t="str">
        <f>Lineup!$G$5</f>
        <v>王俊宏</v>
      </c>
      <c r="CG46" s="5" t="str">
        <f>Lineup!$G$4</f>
        <v>桃園</v>
      </c>
    </row>
    <row r="47" spans="1:85" x14ac:dyDescent="0.3">
      <c r="A47" s="43">
        <v>46</v>
      </c>
      <c r="B47" s="4">
        <v>1</v>
      </c>
      <c r="C47" s="4">
        <v>7</v>
      </c>
      <c r="D47" s="4">
        <v>3</v>
      </c>
      <c r="E47" s="4" t="s">
        <v>621</v>
      </c>
      <c r="F47" s="4" t="s">
        <v>341</v>
      </c>
      <c r="G47" s="4">
        <v>45</v>
      </c>
      <c r="H47" s="4">
        <v>28</v>
      </c>
      <c r="I47" s="4">
        <v>17</v>
      </c>
      <c r="J47" s="4">
        <v>3</v>
      </c>
      <c r="L47" s="4" t="s">
        <v>643</v>
      </c>
      <c r="M47" s="4" t="s">
        <v>355</v>
      </c>
      <c r="N47" s="4" t="s">
        <v>649</v>
      </c>
      <c r="O47" s="4">
        <v>90</v>
      </c>
      <c r="P47" s="4">
        <v>81</v>
      </c>
      <c r="Q47" s="4" t="s">
        <v>639</v>
      </c>
      <c r="R47" s="5" t="s">
        <v>676</v>
      </c>
      <c r="S47" s="4">
        <v>189.75</v>
      </c>
      <c r="T47" s="4">
        <v>59.25</v>
      </c>
      <c r="U47" s="4" t="s">
        <v>383</v>
      </c>
      <c r="AB47" s="4" t="s">
        <v>352</v>
      </c>
      <c r="AC47" s="4" t="s">
        <v>343</v>
      </c>
      <c r="AE47" s="4" t="s">
        <v>661</v>
      </c>
      <c r="AF47" s="4" t="s">
        <v>661</v>
      </c>
      <c r="AG47" s="4" t="s">
        <v>661</v>
      </c>
      <c r="AJ47" s="4" t="s">
        <v>355</v>
      </c>
      <c r="AK47" s="4">
        <v>1</v>
      </c>
      <c r="AM47" s="4">
        <v>1</v>
      </c>
      <c r="AO47" s="4">
        <v>3</v>
      </c>
      <c r="AP47" s="4">
        <v>1</v>
      </c>
      <c r="AQ47" s="4" t="s">
        <v>648</v>
      </c>
      <c r="AR47" s="4" t="s">
        <v>713</v>
      </c>
      <c r="AS47">
        <v>2</v>
      </c>
      <c r="AT47">
        <v>1</v>
      </c>
      <c r="AU47" s="33">
        <v>5051.9999999999936</v>
      </c>
      <c r="AV47" s="36" t="s">
        <v>644</v>
      </c>
      <c r="AW47" s="4">
        <v>5040.9999999999982</v>
      </c>
      <c r="AX47" s="4" t="str">
        <f>IFERROR(VLOOKUP(M47,Roster!$D$2:$E$27,2,FALSE),"")</f>
        <v>L</v>
      </c>
      <c r="AY47" s="4" t="str">
        <f t="shared" si="2"/>
        <v>2好1壞</v>
      </c>
      <c r="BI47" s="5" t="str">
        <f>Lineup!$G$2</f>
        <v>20210817</v>
      </c>
      <c r="BJ47" s="4" t="str">
        <f t="shared" si="3"/>
        <v>外角中</v>
      </c>
      <c r="BK47" s="4" t="str">
        <f t="shared" si="4"/>
        <v>12B2O</v>
      </c>
      <c r="BL47" s="4" t="str">
        <f>IFERROR(VLOOKUP('HomeAttackPlay-by-Play'!E47,Roster!$L$2:$M$27,2,FALSE),"")</f>
        <v>R</v>
      </c>
      <c r="BP47" s="48" t="str">
        <f>IF(BO47&lt;&gt;"",HYPERLINK(video!$F$29&amp;"\"&amp;"cam_1_"&amp;$BO47&amp;".avi","Play"),"")</f>
        <v/>
      </c>
      <c r="BQ47" s="48" t="str">
        <f>IF(BO47&lt;&gt;"",HYPERLINK(video!$F$29&amp;"\"&amp;"cam_2_"&amp;$BO47&amp;".avi","Play"),"")</f>
        <v/>
      </c>
      <c r="BR47" s="48" t="str">
        <f>IF(BO47&lt;&gt;"",HYPERLINK(video!$F$29&amp;"\"&amp;"cam_3_"&amp;$BO47&amp;".avi","Play"),"")</f>
        <v/>
      </c>
      <c r="BS47" s="48" t="str">
        <f>IF(BV47&lt;&gt;"",HYPERLINK(video!$F$25&amp;"\"&amp;"cam_4_"&amp;$BV47&amp;".avi","Play"),"")</f>
        <v/>
      </c>
      <c r="BT47" s="48" t="str">
        <f>IF(BV47&lt;&gt;"",HYPERLINK(video!$F$25&amp;"\"&amp;"cam_5_"&amp;$BV47&amp;".avi","Play"),"")</f>
        <v/>
      </c>
      <c r="BU47" s="48" t="str">
        <f>IF(BV47&lt;&gt;"",HYPERLINK(video!$F$25&amp;"\"&amp;"cam_6_"&amp;$BV47&amp;".avi","Play"),"")</f>
        <v/>
      </c>
      <c r="BY47" s="4">
        <f t="shared" si="0"/>
        <v>105</v>
      </c>
      <c r="BZ47" s="4">
        <f t="shared" si="1"/>
        <v>186.75</v>
      </c>
      <c r="CD47" s="5" t="str">
        <f>Lineup!$G$1</f>
        <v>一軍例行賽</v>
      </c>
      <c r="CE47" s="4">
        <f>Lineup!$I$1</f>
        <v>148</v>
      </c>
      <c r="CF47" s="5" t="str">
        <f>Lineup!$G$5</f>
        <v>王俊宏</v>
      </c>
      <c r="CG47" s="5" t="str">
        <f>Lineup!$G$4</f>
        <v>桃園</v>
      </c>
    </row>
    <row r="48" spans="1:85" x14ac:dyDescent="0.3">
      <c r="A48" s="43">
        <v>47</v>
      </c>
      <c r="B48" s="4">
        <v>1</v>
      </c>
      <c r="C48" s="4">
        <v>8</v>
      </c>
      <c r="D48" s="4">
        <v>4</v>
      </c>
      <c r="E48" s="4" t="s">
        <v>621</v>
      </c>
      <c r="F48" s="4" t="s">
        <v>341</v>
      </c>
      <c r="G48" s="4">
        <v>46</v>
      </c>
      <c r="H48" s="4">
        <v>28</v>
      </c>
      <c r="I48" s="4">
        <v>18</v>
      </c>
      <c r="J48" s="4">
        <v>0</v>
      </c>
      <c r="L48" s="4" t="s">
        <v>643</v>
      </c>
      <c r="M48" s="4" t="s">
        <v>535</v>
      </c>
      <c r="N48" s="4" t="s">
        <v>642</v>
      </c>
      <c r="O48" s="4">
        <v>126.75</v>
      </c>
      <c r="P48" s="4">
        <v>45.75</v>
      </c>
      <c r="Q48" s="4" t="s">
        <v>641</v>
      </c>
      <c r="AO48" s="4">
        <v>0</v>
      </c>
      <c r="AP48" s="4">
        <v>1</v>
      </c>
      <c r="AQ48" s="4" t="s">
        <v>652</v>
      </c>
      <c r="AS48">
        <v>0</v>
      </c>
      <c r="AT48">
        <v>0</v>
      </c>
      <c r="AU48" s="33">
        <v>5924.9999999999955</v>
      </c>
      <c r="AV48" s="36" t="s">
        <v>644</v>
      </c>
      <c r="AW48" s="4">
        <v>5920.9999999999982</v>
      </c>
      <c r="AX48" s="4" t="str">
        <f>IFERROR(VLOOKUP(M48,Roster!$D$2:$E$27,2,FALSE),"")</f>
        <v>L</v>
      </c>
      <c r="AY48" s="4" t="str">
        <f t="shared" si="2"/>
        <v>0好0壞</v>
      </c>
      <c r="BI48" s="5" t="str">
        <f>Lineup!$G$2</f>
        <v>20210817</v>
      </c>
      <c r="BJ48" s="4" t="str">
        <f t="shared" si="3"/>
        <v>偏外角偏高</v>
      </c>
      <c r="BK48" s="4" t="str">
        <f t="shared" si="4"/>
        <v>12B3O</v>
      </c>
      <c r="BL48" s="4" t="str">
        <f>IFERROR(VLOOKUP('HomeAttackPlay-by-Play'!E48,Roster!$L$2:$M$27,2,FALSE),"")</f>
        <v>R</v>
      </c>
      <c r="BP48" s="48" t="str">
        <f>IF(BO48&lt;&gt;"",HYPERLINK(video!$F$29&amp;"\"&amp;"cam_1_"&amp;$BO48&amp;".avi","Play"),"")</f>
        <v/>
      </c>
      <c r="BQ48" s="48" t="str">
        <f>IF(BO48&lt;&gt;"",HYPERLINK(video!$F$29&amp;"\"&amp;"cam_2_"&amp;$BO48&amp;".avi","Play"),"")</f>
        <v/>
      </c>
      <c r="BR48" s="48" t="str">
        <f>IF(BO48&lt;&gt;"",HYPERLINK(video!$F$29&amp;"\"&amp;"cam_3_"&amp;$BO48&amp;".avi","Play"),"")</f>
        <v/>
      </c>
      <c r="BS48" s="48" t="str">
        <f>IF(BV48&lt;&gt;"",HYPERLINK(video!$F$25&amp;"\"&amp;"cam_4_"&amp;$BV48&amp;".avi","Play"),"")</f>
        <v/>
      </c>
      <c r="BT48" s="48" t="str">
        <f>IF(BV48&lt;&gt;"",HYPERLINK(video!$F$25&amp;"\"&amp;"cam_5_"&amp;$BV48&amp;".avi","Play"),"")</f>
        <v/>
      </c>
      <c r="BU48" s="48" t="str">
        <f>IF(BV48&lt;&gt;"",HYPERLINK(video!$F$25&amp;"\"&amp;"cam_6_"&amp;$BV48&amp;".avi","Play"),"")</f>
        <v/>
      </c>
      <c r="BY48" s="4">
        <f t="shared" si="0"/>
        <v>140.25</v>
      </c>
      <c r="BZ48" s="4">
        <f t="shared" si="1"/>
        <v>246</v>
      </c>
      <c r="CD48" s="5" t="str">
        <f>Lineup!$G$1</f>
        <v>一軍例行賽</v>
      </c>
      <c r="CE48" s="4">
        <f>Lineup!$I$1</f>
        <v>148</v>
      </c>
      <c r="CF48" s="5" t="str">
        <f>Lineup!$G$5</f>
        <v>王俊宏</v>
      </c>
      <c r="CG48" s="5" t="str">
        <f>Lineup!$G$4</f>
        <v>桃園</v>
      </c>
    </row>
    <row r="49" spans="1:85" x14ac:dyDescent="0.3">
      <c r="A49" s="43">
        <v>48</v>
      </c>
      <c r="B49" s="4">
        <v>1</v>
      </c>
      <c r="C49" s="4">
        <v>8</v>
      </c>
      <c r="D49" s="4">
        <v>4</v>
      </c>
      <c r="E49" s="4" t="s">
        <v>621</v>
      </c>
      <c r="F49" s="4" t="s">
        <v>341</v>
      </c>
      <c r="G49" s="4">
        <v>47</v>
      </c>
      <c r="H49" s="4">
        <v>29</v>
      </c>
      <c r="I49" s="4">
        <v>18</v>
      </c>
      <c r="J49" s="4">
        <v>0</v>
      </c>
      <c r="L49" s="4" t="s">
        <v>643</v>
      </c>
      <c r="M49" s="4" t="s">
        <v>535</v>
      </c>
      <c r="N49" s="4" t="s">
        <v>642</v>
      </c>
      <c r="O49" s="4">
        <v>108.75</v>
      </c>
      <c r="P49" s="4">
        <v>72</v>
      </c>
      <c r="Q49" s="4" t="s">
        <v>639</v>
      </c>
      <c r="AO49" s="4">
        <v>1</v>
      </c>
      <c r="AP49" s="4">
        <v>1</v>
      </c>
      <c r="AQ49" s="4" t="s">
        <v>645</v>
      </c>
      <c r="AS49">
        <v>0</v>
      </c>
      <c r="AT49">
        <v>1</v>
      </c>
      <c r="AU49" s="33">
        <v>5938.9999999999918</v>
      </c>
      <c r="AV49" s="36" t="s">
        <v>644</v>
      </c>
      <c r="AW49" s="4">
        <v>5930</v>
      </c>
      <c r="AX49" s="4" t="str">
        <f>IFERROR(VLOOKUP(M49,Roster!$D$2:$E$27,2,FALSE),"")</f>
        <v>L</v>
      </c>
      <c r="AY49" s="4" t="str">
        <f t="shared" si="2"/>
        <v>0好1壞</v>
      </c>
      <c r="BI49" s="5" t="str">
        <f>Lineup!$G$2</f>
        <v>20210817</v>
      </c>
      <c r="BJ49" s="4" t="str">
        <f t="shared" si="3"/>
        <v>偏外角高</v>
      </c>
      <c r="BK49" s="4" t="str">
        <f t="shared" si="4"/>
        <v>B0O</v>
      </c>
      <c r="BL49" s="4" t="str">
        <f>IFERROR(VLOOKUP('HomeAttackPlay-by-Play'!E49,Roster!$L$2:$M$27,2,FALSE),"")</f>
        <v>R</v>
      </c>
      <c r="BP49" s="48" t="str">
        <f>IF(BO49&lt;&gt;"",HYPERLINK(video!$F$29&amp;"\"&amp;"cam_1_"&amp;$BO49&amp;".avi","Play"),"")</f>
        <v/>
      </c>
      <c r="BQ49" s="48" t="str">
        <f>IF(BO49&lt;&gt;"",HYPERLINK(video!$F$29&amp;"\"&amp;"cam_2_"&amp;$BO49&amp;".avi","Play"),"")</f>
        <v/>
      </c>
      <c r="BR49" s="48" t="str">
        <f>IF(BO49&lt;&gt;"",HYPERLINK(video!$F$29&amp;"\"&amp;"cam_3_"&amp;$BO49&amp;".avi","Play"),"")</f>
        <v/>
      </c>
      <c r="BS49" s="48" t="str">
        <f>IF(BV49&lt;&gt;"",HYPERLINK(video!$F$25&amp;"\"&amp;"cam_4_"&amp;$BV49&amp;".avi","Play"),"")</f>
        <v/>
      </c>
      <c r="BT49" s="48" t="str">
        <f>IF(BV49&lt;&gt;"",HYPERLINK(video!$F$25&amp;"\"&amp;"cam_5_"&amp;$BV49&amp;".avi","Play"),"")</f>
        <v/>
      </c>
      <c r="BU49" s="48" t="str">
        <f>IF(BV49&lt;&gt;"",HYPERLINK(video!$F$25&amp;"\"&amp;"cam_6_"&amp;$BV49&amp;".avi","Play"),"")</f>
        <v/>
      </c>
      <c r="BY49" s="4">
        <f t="shared" si="0"/>
        <v>114</v>
      </c>
      <c r="BZ49" s="4">
        <f t="shared" si="1"/>
        <v>246</v>
      </c>
      <c r="CD49" s="5" t="str">
        <f>Lineup!$G$1</f>
        <v>一軍例行賽</v>
      </c>
      <c r="CE49" s="4">
        <f>Lineup!$I$1</f>
        <v>148</v>
      </c>
      <c r="CF49" s="5" t="str">
        <f>Lineup!$G$5</f>
        <v>王俊宏</v>
      </c>
      <c r="CG49" s="5" t="str">
        <f>Lineup!$G$4</f>
        <v>桃園</v>
      </c>
    </row>
    <row r="50" spans="1:85" x14ac:dyDescent="0.3">
      <c r="A50" s="43">
        <v>49</v>
      </c>
      <c r="B50" s="4">
        <v>1</v>
      </c>
      <c r="C50" s="4">
        <v>8</v>
      </c>
      <c r="D50" s="4">
        <v>4</v>
      </c>
      <c r="E50" s="4" t="s">
        <v>621</v>
      </c>
      <c r="F50" s="4" t="s">
        <v>341</v>
      </c>
      <c r="G50" s="4">
        <v>48</v>
      </c>
      <c r="H50" s="4">
        <v>30</v>
      </c>
      <c r="I50" s="4">
        <v>18</v>
      </c>
      <c r="J50" s="4">
        <v>0</v>
      </c>
      <c r="K50" s="4">
        <v>130</v>
      </c>
      <c r="L50" s="4" t="s">
        <v>646</v>
      </c>
      <c r="M50" s="4" t="s">
        <v>535</v>
      </c>
      <c r="N50" s="4" t="s">
        <v>649</v>
      </c>
      <c r="O50" s="4">
        <v>90.75</v>
      </c>
      <c r="P50" s="4">
        <v>87</v>
      </c>
      <c r="Q50" s="4" t="s">
        <v>109</v>
      </c>
      <c r="R50" s="5" t="s">
        <v>656</v>
      </c>
      <c r="S50" s="4">
        <v>136.5</v>
      </c>
      <c r="T50" s="4">
        <v>155.25</v>
      </c>
      <c r="U50" s="4" t="s">
        <v>396</v>
      </c>
      <c r="AB50" s="4" t="s">
        <v>535</v>
      </c>
      <c r="AM50" s="4">
        <v>1</v>
      </c>
      <c r="AO50" s="4">
        <v>2</v>
      </c>
      <c r="AP50" s="4">
        <v>1</v>
      </c>
      <c r="AQ50" s="4" t="s">
        <v>647</v>
      </c>
      <c r="AS50">
        <v>1</v>
      </c>
      <c r="AT50">
        <v>1</v>
      </c>
      <c r="AU50" s="33">
        <v>5954.0000000000036</v>
      </c>
      <c r="AV50" s="36" t="s">
        <v>644</v>
      </c>
      <c r="AW50" s="4">
        <v>5945.0000000000018</v>
      </c>
      <c r="AX50" s="4" t="str">
        <f>IFERROR(VLOOKUP(M50,Roster!$D$2:$E$27,2,FALSE),"")</f>
        <v>L</v>
      </c>
      <c r="AY50" s="4" t="str">
        <f t="shared" si="2"/>
        <v>1好1壞</v>
      </c>
      <c r="BI50" s="5" t="str">
        <f>Lineup!$G$2</f>
        <v>20210817</v>
      </c>
      <c r="BJ50" s="4" t="str">
        <f t="shared" si="3"/>
        <v>外角中</v>
      </c>
      <c r="BK50" s="4" t="str">
        <f t="shared" si="4"/>
        <v>B0O</v>
      </c>
      <c r="BL50" s="4" t="str">
        <f>IFERROR(VLOOKUP('HomeAttackPlay-by-Play'!E50,Roster!$L$2:$M$27,2,FALSE),"")</f>
        <v>R</v>
      </c>
      <c r="BP50" s="48" t="str">
        <f>IF(BO50&lt;&gt;"",HYPERLINK(video!$F$29&amp;"\"&amp;"cam_1_"&amp;$BO50&amp;".avi","Play"),"")</f>
        <v/>
      </c>
      <c r="BQ50" s="48" t="str">
        <f>IF(BO50&lt;&gt;"",HYPERLINK(video!$F$29&amp;"\"&amp;"cam_2_"&amp;$BO50&amp;".avi","Play"),"")</f>
        <v/>
      </c>
      <c r="BR50" s="48" t="str">
        <f>IF(BO50&lt;&gt;"",HYPERLINK(video!$F$29&amp;"\"&amp;"cam_3_"&amp;$BO50&amp;".avi","Play"),"")</f>
        <v/>
      </c>
      <c r="BS50" s="48" t="str">
        <f>IF(BV50&lt;&gt;"",HYPERLINK(video!$F$25&amp;"\"&amp;"cam_4_"&amp;$BV50&amp;".avi","Play"),"")</f>
        <v/>
      </c>
      <c r="BT50" s="48" t="str">
        <f>IF(BV50&lt;&gt;"",HYPERLINK(video!$F$25&amp;"\"&amp;"cam_5_"&amp;$BV50&amp;".avi","Play"),"")</f>
        <v/>
      </c>
      <c r="BU50" s="48" t="str">
        <f>IF(BV50&lt;&gt;"",HYPERLINK(video!$F$25&amp;"\"&amp;"cam_6_"&amp;$BV50&amp;".avi","Play"),"")</f>
        <v/>
      </c>
      <c r="BY50" s="4">
        <f t="shared" si="0"/>
        <v>99</v>
      </c>
      <c r="BZ50" s="4">
        <f t="shared" si="1"/>
        <v>90.75</v>
      </c>
      <c r="CD50" s="5" t="str">
        <f>Lineup!$G$1</f>
        <v>一軍例行賽</v>
      </c>
      <c r="CE50" s="4">
        <f>Lineup!$I$1</f>
        <v>148</v>
      </c>
      <c r="CF50" s="5" t="str">
        <f>Lineup!$G$5</f>
        <v>王俊宏</v>
      </c>
      <c r="CG50" s="5" t="str">
        <f>Lineup!$G$4</f>
        <v>桃園</v>
      </c>
    </row>
    <row r="51" spans="1:85" x14ac:dyDescent="0.3">
      <c r="A51" s="43">
        <v>50</v>
      </c>
      <c r="B51" s="4">
        <v>1</v>
      </c>
      <c r="C51" s="4">
        <v>8</v>
      </c>
      <c r="D51" s="4">
        <v>4</v>
      </c>
      <c r="E51" s="4" t="s">
        <v>621</v>
      </c>
      <c r="F51" s="4" t="s">
        <v>341</v>
      </c>
      <c r="G51" s="4">
        <v>49</v>
      </c>
      <c r="H51" s="4">
        <v>31</v>
      </c>
      <c r="I51" s="4">
        <v>18</v>
      </c>
      <c r="J51" s="4">
        <v>0</v>
      </c>
      <c r="K51" s="4">
        <v>149</v>
      </c>
      <c r="L51" s="4" t="s">
        <v>643</v>
      </c>
      <c r="M51" s="4" t="s">
        <v>543</v>
      </c>
      <c r="N51" s="4" t="s">
        <v>642</v>
      </c>
      <c r="O51" s="4">
        <v>59.25</v>
      </c>
      <c r="P51" s="4">
        <v>109.5</v>
      </c>
      <c r="Q51" s="4" t="s">
        <v>639</v>
      </c>
      <c r="AB51" s="4" t="s">
        <v>535</v>
      </c>
      <c r="AO51" s="4">
        <v>1</v>
      </c>
      <c r="AP51" s="4">
        <v>0</v>
      </c>
      <c r="AQ51" s="4" t="s">
        <v>640</v>
      </c>
      <c r="AS51">
        <v>0</v>
      </c>
      <c r="AT51">
        <v>0</v>
      </c>
      <c r="AU51" s="33">
        <v>5992.0000000000027</v>
      </c>
      <c r="AV51" s="36" t="s">
        <v>644</v>
      </c>
      <c r="AW51" s="4">
        <v>5988.9999999999927</v>
      </c>
      <c r="AX51" s="4" t="str">
        <f>IFERROR(VLOOKUP(M51,Roster!$D$2:$E$27,2,FALSE),"")</f>
        <v>R</v>
      </c>
      <c r="AY51" s="4" t="str">
        <f t="shared" si="2"/>
        <v>0好0壞</v>
      </c>
      <c r="BI51" s="5" t="str">
        <f>Lineup!$G$2</f>
        <v>20210817</v>
      </c>
      <c r="BJ51" s="4" t="str">
        <f t="shared" si="3"/>
        <v>外角低</v>
      </c>
      <c r="BK51" s="4" t="str">
        <f t="shared" si="4"/>
        <v>1B0O</v>
      </c>
      <c r="BL51" s="4" t="str">
        <f>IFERROR(VLOOKUP('HomeAttackPlay-by-Play'!E51,Roster!$L$2:$M$27,2,FALSE),"")</f>
        <v>R</v>
      </c>
      <c r="BP51" s="48" t="str">
        <f>IF(BO51&lt;&gt;"",HYPERLINK(video!$F$29&amp;"\"&amp;"cam_1_"&amp;$BO51&amp;".avi","Play"),"")</f>
        <v/>
      </c>
      <c r="BQ51" s="48" t="str">
        <f>IF(BO51&lt;&gt;"",HYPERLINK(video!$F$29&amp;"\"&amp;"cam_2_"&amp;$BO51&amp;".avi","Play"),"")</f>
        <v/>
      </c>
      <c r="BR51" s="48" t="str">
        <f>IF(BO51&lt;&gt;"",HYPERLINK(video!$F$29&amp;"\"&amp;"cam_3_"&amp;$BO51&amp;".avi","Play"),"")</f>
        <v/>
      </c>
      <c r="BS51" s="48" t="str">
        <f>IF(BV51&lt;&gt;"",HYPERLINK(video!$F$25&amp;"\"&amp;"cam_4_"&amp;$BV51&amp;".avi","Play"),"")</f>
        <v/>
      </c>
      <c r="BT51" s="48" t="str">
        <f>IF(BV51&lt;&gt;"",HYPERLINK(video!$F$25&amp;"\"&amp;"cam_5_"&amp;$BV51&amp;".avi","Play"),"")</f>
        <v/>
      </c>
      <c r="BU51" s="48" t="str">
        <f>IF(BV51&lt;&gt;"",HYPERLINK(video!$F$25&amp;"\"&amp;"cam_6_"&amp;$BV51&amp;".avi","Play"),"")</f>
        <v/>
      </c>
      <c r="BY51" s="4">
        <f t="shared" si="0"/>
        <v>76.5</v>
      </c>
      <c r="BZ51" s="4">
        <f t="shared" si="1"/>
        <v>246</v>
      </c>
      <c r="CD51" s="5" t="str">
        <f>Lineup!$G$1</f>
        <v>一軍例行賽</v>
      </c>
      <c r="CE51" s="4">
        <f>Lineup!$I$1</f>
        <v>148</v>
      </c>
      <c r="CF51" s="5" t="str">
        <f>Lineup!$G$5</f>
        <v>王俊宏</v>
      </c>
      <c r="CG51" s="5" t="str">
        <f>Lineup!$G$4</f>
        <v>桃園</v>
      </c>
    </row>
    <row r="52" spans="1:85" x14ac:dyDescent="0.3">
      <c r="A52" s="43">
        <v>51</v>
      </c>
      <c r="B52" s="4">
        <v>1</v>
      </c>
      <c r="C52" s="4">
        <v>8</v>
      </c>
      <c r="D52" s="4">
        <v>4</v>
      </c>
      <c r="E52" s="4" t="s">
        <v>621</v>
      </c>
      <c r="F52" s="4" t="s">
        <v>341</v>
      </c>
      <c r="G52" s="4">
        <v>50</v>
      </c>
      <c r="H52" s="4">
        <v>32</v>
      </c>
      <c r="I52" s="4">
        <v>18</v>
      </c>
      <c r="J52" s="4">
        <v>0</v>
      </c>
      <c r="K52" s="4">
        <v>144</v>
      </c>
      <c r="L52" s="4" t="s">
        <v>643</v>
      </c>
      <c r="M52" s="4" t="s">
        <v>543</v>
      </c>
      <c r="N52" s="4" t="s">
        <v>649</v>
      </c>
      <c r="O52" s="4">
        <v>98.25</v>
      </c>
      <c r="P52" s="4">
        <v>73.5</v>
      </c>
      <c r="Q52" s="4" t="s">
        <v>639</v>
      </c>
      <c r="R52" s="5" t="s">
        <v>657</v>
      </c>
      <c r="AB52" s="4" t="s">
        <v>535</v>
      </c>
      <c r="AO52" s="4">
        <v>2</v>
      </c>
      <c r="AP52" s="4">
        <v>0</v>
      </c>
      <c r="AQ52" s="4" t="s">
        <v>662</v>
      </c>
      <c r="AS52">
        <v>1</v>
      </c>
      <c r="AT52">
        <v>0</v>
      </c>
      <c r="AU52" s="33">
        <v>6014.0000000000036</v>
      </c>
      <c r="AV52" s="36" t="s">
        <v>644</v>
      </c>
      <c r="AW52" s="4">
        <v>6009.9999999999964</v>
      </c>
      <c r="AX52" s="4" t="str">
        <f>IFERROR(VLOOKUP(M52,Roster!$D$2:$E$27,2,FALSE),"")</f>
        <v>R</v>
      </c>
      <c r="AY52" s="4" t="str">
        <f t="shared" si="2"/>
        <v>1好0壞</v>
      </c>
      <c r="BI52" s="5" t="str">
        <f>Lineup!$G$2</f>
        <v>20210817</v>
      </c>
      <c r="BJ52" s="4" t="str">
        <f t="shared" si="3"/>
        <v>內角高</v>
      </c>
      <c r="BK52" s="4" t="str">
        <f t="shared" si="4"/>
        <v>1B0O</v>
      </c>
      <c r="BL52" s="4" t="str">
        <f>IFERROR(VLOOKUP('HomeAttackPlay-by-Play'!E52,Roster!$L$2:$M$27,2,FALSE),"")</f>
        <v>R</v>
      </c>
      <c r="BP52" s="48" t="str">
        <f>IF(BO52&lt;&gt;"",HYPERLINK(video!$F$29&amp;"\"&amp;"cam_1_"&amp;$BO52&amp;".avi","Play"),"")</f>
        <v/>
      </c>
      <c r="BQ52" s="48" t="str">
        <f>IF(BO52&lt;&gt;"",HYPERLINK(video!$F$29&amp;"\"&amp;"cam_2_"&amp;$BO52&amp;".avi","Play"),"")</f>
        <v/>
      </c>
      <c r="BR52" s="48" t="str">
        <f>IF(BO52&lt;&gt;"",HYPERLINK(video!$F$29&amp;"\"&amp;"cam_3_"&amp;$BO52&amp;".avi","Play"),"")</f>
        <v/>
      </c>
      <c r="BS52" s="48" t="str">
        <f>IF(BV52&lt;&gt;"",HYPERLINK(video!$F$25&amp;"\"&amp;"cam_4_"&amp;$BV52&amp;".avi","Play"),"")</f>
        <v/>
      </c>
      <c r="BT52" s="48" t="str">
        <f>IF(BV52&lt;&gt;"",HYPERLINK(video!$F$25&amp;"\"&amp;"cam_5_"&amp;$BV52&amp;".avi","Play"),"")</f>
        <v/>
      </c>
      <c r="BU52" s="48" t="str">
        <f>IF(BV52&lt;&gt;"",HYPERLINK(video!$F$25&amp;"\"&amp;"cam_6_"&amp;$BV52&amp;".avi","Play"),"")</f>
        <v/>
      </c>
      <c r="BY52" s="4">
        <f t="shared" si="0"/>
        <v>112.5</v>
      </c>
      <c r="BZ52" s="4">
        <f t="shared" si="1"/>
        <v>246</v>
      </c>
      <c r="CD52" s="5" t="str">
        <f>Lineup!$G$1</f>
        <v>一軍例行賽</v>
      </c>
      <c r="CE52" s="4">
        <f>Lineup!$I$1</f>
        <v>148</v>
      </c>
      <c r="CF52" s="5" t="str">
        <f>Lineup!$G$5</f>
        <v>王俊宏</v>
      </c>
      <c r="CG52" s="5" t="str">
        <f>Lineup!$G$4</f>
        <v>桃園</v>
      </c>
    </row>
    <row r="53" spans="1:85" x14ac:dyDescent="0.3">
      <c r="A53" s="43">
        <v>52</v>
      </c>
      <c r="B53" s="4">
        <v>1</v>
      </c>
      <c r="C53" s="4">
        <v>8</v>
      </c>
      <c r="D53" s="4">
        <v>4</v>
      </c>
      <c r="E53" s="4" t="s">
        <v>621</v>
      </c>
      <c r="F53" s="4" t="s">
        <v>341</v>
      </c>
      <c r="G53" s="4">
        <v>51</v>
      </c>
      <c r="H53" s="4">
        <v>32</v>
      </c>
      <c r="I53" s="4">
        <v>19</v>
      </c>
      <c r="J53" s="4">
        <v>0</v>
      </c>
      <c r="K53" s="4">
        <v>148</v>
      </c>
      <c r="L53" s="4" t="s">
        <v>643</v>
      </c>
      <c r="M53" s="4" t="s">
        <v>543</v>
      </c>
      <c r="N53" s="4" t="s">
        <v>642</v>
      </c>
      <c r="O53" s="4">
        <v>38.25</v>
      </c>
      <c r="P53" s="4">
        <v>72.75</v>
      </c>
      <c r="Q53" s="4" t="s">
        <v>641</v>
      </c>
      <c r="AB53" s="4" t="s">
        <v>535</v>
      </c>
      <c r="AO53" s="4">
        <v>2</v>
      </c>
      <c r="AP53" s="4">
        <v>1</v>
      </c>
      <c r="AQ53" s="4" t="s">
        <v>647</v>
      </c>
      <c r="AS53">
        <v>2</v>
      </c>
      <c r="AT53">
        <v>0</v>
      </c>
      <c r="AU53" s="33">
        <v>6043.9999999999982</v>
      </c>
      <c r="AV53" s="36" t="s">
        <v>644</v>
      </c>
      <c r="AW53" s="4">
        <v>6040.0000000000009</v>
      </c>
      <c r="AX53" s="4" t="str">
        <f>IFERROR(VLOOKUP(M53,Roster!$D$2:$E$27,2,FALSE),"")</f>
        <v>R</v>
      </c>
      <c r="AY53" s="4" t="str">
        <f t="shared" si="2"/>
        <v>2好0壞</v>
      </c>
      <c r="BI53" s="5" t="str">
        <f>Lineup!$G$2</f>
        <v>20210817</v>
      </c>
      <c r="BJ53" s="4" t="str">
        <f t="shared" si="3"/>
        <v>偏外角高</v>
      </c>
      <c r="BK53" s="4" t="str">
        <f t="shared" si="4"/>
        <v>1B0O</v>
      </c>
      <c r="BL53" s="4" t="str">
        <f>IFERROR(VLOOKUP('HomeAttackPlay-by-Play'!E53,Roster!$L$2:$M$27,2,FALSE),"")</f>
        <v>R</v>
      </c>
      <c r="BP53" s="48" t="str">
        <f>IF(BO53&lt;&gt;"",HYPERLINK(video!$F$29&amp;"\"&amp;"cam_1_"&amp;$BO53&amp;".avi","Play"),"")</f>
        <v/>
      </c>
      <c r="BQ53" s="48" t="str">
        <f>IF(BO53&lt;&gt;"",HYPERLINK(video!$F$29&amp;"\"&amp;"cam_2_"&amp;$BO53&amp;".avi","Play"),"")</f>
        <v/>
      </c>
      <c r="BR53" s="48" t="str">
        <f>IF(BO53&lt;&gt;"",HYPERLINK(video!$F$29&amp;"\"&amp;"cam_3_"&amp;$BO53&amp;".avi","Play"),"")</f>
        <v/>
      </c>
      <c r="BS53" s="48" t="str">
        <f>IF(BV53&lt;&gt;"",HYPERLINK(video!$F$25&amp;"\"&amp;"cam_4_"&amp;$BV53&amp;".avi","Play"),"")</f>
        <v/>
      </c>
      <c r="BT53" s="48" t="str">
        <f>IF(BV53&lt;&gt;"",HYPERLINK(video!$F$25&amp;"\"&amp;"cam_5_"&amp;$BV53&amp;".avi","Play"),"")</f>
        <v/>
      </c>
      <c r="BU53" s="48" t="str">
        <f>IF(BV53&lt;&gt;"",HYPERLINK(video!$F$25&amp;"\"&amp;"cam_6_"&amp;$BV53&amp;".avi","Play"),"")</f>
        <v/>
      </c>
      <c r="BY53" s="4">
        <f t="shared" si="0"/>
        <v>113.25</v>
      </c>
      <c r="BZ53" s="4">
        <f t="shared" si="1"/>
        <v>246</v>
      </c>
      <c r="CD53" s="5" t="str">
        <f>Lineup!$G$1</f>
        <v>一軍例行賽</v>
      </c>
      <c r="CE53" s="4">
        <f>Lineup!$I$1</f>
        <v>148</v>
      </c>
      <c r="CF53" s="5" t="str">
        <f>Lineup!$G$5</f>
        <v>王俊宏</v>
      </c>
      <c r="CG53" s="5" t="str">
        <f>Lineup!$G$4</f>
        <v>桃園</v>
      </c>
    </row>
    <row r="54" spans="1:85" x14ac:dyDescent="0.3">
      <c r="A54" s="43">
        <v>53</v>
      </c>
      <c r="B54" s="4">
        <v>1</v>
      </c>
      <c r="C54" s="4">
        <v>8</v>
      </c>
      <c r="D54" s="4">
        <v>4</v>
      </c>
      <c r="E54" s="4" t="s">
        <v>621</v>
      </c>
      <c r="F54" s="4" t="s">
        <v>341</v>
      </c>
      <c r="G54" s="4">
        <v>52</v>
      </c>
      <c r="H54" s="4">
        <v>32</v>
      </c>
      <c r="I54" s="4">
        <v>20</v>
      </c>
      <c r="J54" s="4">
        <v>0</v>
      </c>
      <c r="K54" s="4">
        <v>133</v>
      </c>
      <c r="L54" s="4" t="s">
        <v>646</v>
      </c>
      <c r="M54" s="4" t="s">
        <v>543</v>
      </c>
      <c r="N54" s="4" t="s">
        <v>642</v>
      </c>
      <c r="O54" s="4">
        <v>36</v>
      </c>
      <c r="P54" s="4">
        <v>141</v>
      </c>
      <c r="Q54" s="4" t="s">
        <v>641</v>
      </c>
      <c r="AB54" s="4" t="s">
        <v>535</v>
      </c>
      <c r="AO54" s="4">
        <v>2</v>
      </c>
      <c r="AP54" s="4">
        <v>2</v>
      </c>
      <c r="AQ54" s="4" t="s">
        <v>655</v>
      </c>
      <c r="AS54">
        <v>2</v>
      </c>
      <c r="AT54">
        <v>1</v>
      </c>
      <c r="AU54" s="33">
        <v>6068.0000000000018</v>
      </c>
      <c r="AV54" s="36" t="s">
        <v>644</v>
      </c>
      <c r="AW54" s="4">
        <v>6064.0000000000045</v>
      </c>
      <c r="AX54" s="4" t="str">
        <f>IFERROR(VLOOKUP(M54,Roster!$D$2:$E$27,2,FALSE),"")</f>
        <v>R</v>
      </c>
      <c r="AY54" s="4" t="str">
        <f t="shared" si="2"/>
        <v>2好1壞</v>
      </c>
      <c r="BI54" s="5" t="str">
        <f>Lineup!$G$2</f>
        <v>20210817</v>
      </c>
      <c r="BJ54" s="4" t="str">
        <f t="shared" si="3"/>
        <v>偏外角偏低</v>
      </c>
      <c r="BK54" s="4" t="str">
        <f t="shared" si="4"/>
        <v>1B0O</v>
      </c>
      <c r="BL54" s="4" t="str">
        <f>IFERROR(VLOOKUP('HomeAttackPlay-by-Play'!E54,Roster!$L$2:$M$27,2,FALSE),"")</f>
        <v>R</v>
      </c>
      <c r="BP54" s="48" t="str">
        <f>IF(BO54&lt;&gt;"",HYPERLINK(video!$F$29&amp;"\"&amp;"cam_1_"&amp;$BO54&amp;".avi","Play"),"")</f>
        <v/>
      </c>
      <c r="BQ54" s="48" t="str">
        <f>IF(BO54&lt;&gt;"",HYPERLINK(video!$F$29&amp;"\"&amp;"cam_2_"&amp;$BO54&amp;".avi","Play"),"")</f>
        <v/>
      </c>
      <c r="BR54" s="48" t="str">
        <f>IF(BO54&lt;&gt;"",HYPERLINK(video!$F$29&amp;"\"&amp;"cam_3_"&amp;$BO54&amp;".avi","Play"),"")</f>
        <v/>
      </c>
      <c r="BS54" s="48" t="str">
        <f>IF(BV54&lt;&gt;"",HYPERLINK(video!$F$25&amp;"\"&amp;"cam_4_"&amp;$BV54&amp;".avi","Play"),"")</f>
        <v/>
      </c>
      <c r="BT54" s="48" t="str">
        <f>IF(BV54&lt;&gt;"",HYPERLINK(video!$F$25&amp;"\"&amp;"cam_5_"&amp;$BV54&amp;".avi","Play"),"")</f>
        <v/>
      </c>
      <c r="BU54" s="48" t="str">
        <f>IF(BV54&lt;&gt;"",HYPERLINK(video!$F$25&amp;"\"&amp;"cam_6_"&amp;$BV54&amp;".avi","Play"),"")</f>
        <v/>
      </c>
      <c r="BY54" s="4">
        <f t="shared" si="0"/>
        <v>45</v>
      </c>
      <c r="BZ54" s="4">
        <f t="shared" si="1"/>
        <v>246</v>
      </c>
      <c r="CD54" s="5" t="str">
        <f>Lineup!$G$1</f>
        <v>一軍例行賽</v>
      </c>
      <c r="CE54" s="4">
        <f>Lineup!$I$1</f>
        <v>148</v>
      </c>
      <c r="CF54" s="5" t="str">
        <f>Lineup!$G$5</f>
        <v>王俊宏</v>
      </c>
      <c r="CG54" s="5" t="str">
        <f>Lineup!$G$4</f>
        <v>桃園</v>
      </c>
    </row>
    <row r="55" spans="1:85" x14ac:dyDescent="0.3">
      <c r="A55" s="43">
        <v>54</v>
      </c>
      <c r="B55" s="4">
        <v>1</v>
      </c>
      <c r="C55" s="4">
        <v>8</v>
      </c>
      <c r="D55" s="4">
        <v>4</v>
      </c>
      <c r="E55" s="4" t="s">
        <v>621</v>
      </c>
      <c r="F55" s="4" t="s">
        <v>341</v>
      </c>
      <c r="G55" s="4">
        <v>53</v>
      </c>
      <c r="H55" s="4">
        <v>33</v>
      </c>
      <c r="I55" s="4">
        <v>20</v>
      </c>
      <c r="J55" s="4">
        <v>0</v>
      </c>
      <c r="K55" s="4">
        <v>138</v>
      </c>
      <c r="L55" s="4" t="s">
        <v>643</v>
      </c>
      <c r="M55" s="4" t="s">
        <v>543</v>
      </c>
      <c r="N55" s="4" t="s">
        <v>649</v>
      </c>
      <c r="O55" s="4">
        <v>52.5</v>
      </c>
      <c r="P55" s="4">
        <v>146.25</v>
      </c>
      <c r="Q55" s="4" t="s">
        <v>639</v>
      </c>
      <c r="R55" s="5" t="s">
        <v>696</v>
      </c>
      <c r="AB55" s="4" t="s">
        <v>535</v>
      </c>
      <c r="AO55" s="4">
        <v>2</v>
      </c>
      <c r="AP55" s="4">
        <v>2</v>
      </c>
      <c r="AQ55" s="4" t="s">
        <v>655</v>
      </c>
      <c r="AS55">
        <v>2</v>
      </c>
      <c r="AT55">
        <v>2</v>
      </c>
      <c r="AU55" s="33">
        <v>6095.0000000000064</v>
      </c>
      <c r="AV55" s="36" t="s">
        <v>644</v>
      </c>
      <c r="AW55" s="4">
        <v>6090.9999999999991</v>
      </c>
      <c r="AX55" s="4" t="str">
        <f>IFERROR(VLOOKUP(M55,Roster!$D$2:$E$27,2,FALSE),"")</f>
        <v>R</v>
      </c>
      <c r="AY55" s="4" t="str">
        <f t="shared" si="2"/>
        <v>2好2壞</v>
      </c>
      <c r="BI55" s="5" t="str">
        <f>Lineup!$G$2</f>
        <v>20210817</v>
      </c>
      <c r="BJ55" s="4" t="str">
        <f t="shared" si="3"/>
        <v>外角偏低</v>
      </c>
      <c r="BK55" s="4" t="str">
        <f t="shared" si="4"/>
        <v>1B0O</v>
      </c>
      <c r="BL55" s="4" t="str">
        <f>IFERROR(VLOOKUP('HomeAttackPlay-by-Play'!E55,Roster!$L$2:$M$27,2,FALSE),"")</f>
        <v>R</v>
      </c>
      <c r="BP55" s="48" t="str">
        <f>IF(BO55&lt;&gt;"",HYPERLINK(video!$F$29&amp;"\"&amp;"cam_1_"&amp;$BO55&amp;".avi","Play"),"")</f>
        <v/>
      </c>
      <c r="BQ55" s="48" t="str">
        <f>IF(BO55&lt;&gt;"",HYPERLINK(video!$F$29&amp;"\"&amp;"cam_2_"&amp;$BO55&amp;".avi","Play"),"")</f>
        <v/>
      </c>
      <c r="BR55" s="48" t="str">
        <f>IF(BO55&lt;&gt;"",HYPERLINK(video!$F$29&amp;"\"&amp;"cam_3_"&amp;$BO55&amp;".avi","Play"),"")</f>
        <v/>
      </c>
      <c r="BS55" s="48" t="str">
        <f>IF(BV55&lt;&gt;"",HYPERLINK(video!$F$25&amp;"\"&amp;"cam_4_"&amp;$BV55&amp;".avi","Play"),"")</f>
        <v/>
      </c>
      <c r="BT55" s="48" t="str">
        <f>IF(BV55&lt;&gt;"",HYPERLINK(video!$F$25&amp;"\"&amp;"cam_5_"&amp;$BV55&amp;".avi","Play"),"")</f>
        <v/>
      </c>
      <c r="BU55" s="48" t="str">
        <f>IF(BV55&lt;&gt;"",HYPERLINK(video!$F$25&amp;"\"&amp;"cam_6_"&amp;$BV55&amp;".avi","Play"),"")</f>
        <v/>
      </c>
      <c r="BY55" s="4">
        <f t="shared" si="0"/>
        <v>39.75</v>
      </c>
      <c r="BZ55" s="4">
        <f t="shared" si="1"/>
        <v>246</v>
      </c>
      <c r="CD55" s="5" t="str">
        <f>Lineup!$G$1</f>
        <v>一軍例行賽</v>
      </c>
      <c r="CE55" s="4">
        <f>Lineup!$I$1</f>
        <v>148</v>
      </c>
      <c r="CF55" s="5" t="str">
        <f>Lineup!$G$5</f>
        <v>王俊宏</v>
      </c>
      <c r="CG55" s="5" t="str">
        <f>Lineup!$G$4</f>
        <v>桃園</v>
      </c>
    </row>
    <row r="56" spans="1:85" x14ac:dyDescent="0.3">
      <c r="A56" s="43">
        <v>55</v>
      </c>
      <c r="B56" s="4">
        <v>1</v>
      </c>
      <c r="C56" s="4">
        <v>8</v>
      </c>
      <c r="D56" s="4">
        <v>4</v>
      </c>
      <c r="E56" s="4" t="s">
        <v>621</v>
      </c>
      <c r="F56" s="4" t="s">
        <v>341</v>
      </c>
      <c r="G56" s="4">
        <v>54</v>
      </c>
      <c r="H56" s="4">
        <v>34</v>
      </c>
      <c r="I56" s="4">
        <v>20</v>
      </c>
      <c r="J56" s="4">
        <v>0</v>
      </c>
      <c r="K56" s="4">
        <v>134</v>
      </c>
      <c r="L56" s="4" t="s">
        <v>665</v>
      </c>
      <c r="M56" s="4" t="s">
        <v>543</v>
      </c>
      <c r="N56" s="4" t="s">
        <v>649</v>
      </c>
      <c r="O56" s="4">
        <v>52.5</v>
      </c>
      <c r="P56" s="4">
        <v>133.5</v>
      </c>
      <c r="Q56" s="4" t="s">
        <v>639</v>
      </c>
      <c r="R56" s="5" t="s">
        <v>656</v>
      </c>
      <c r="S56" s="4">
        <v>222.75</v>
      </c>
      <c r="T56" s="4">
        <v>142.5</v>
      </c>
      <c r="U56" s="4" t="s">
        <v>266</v>
      </c>
      <c r="AB56" s="4" t="s">
        <v>543</v>
      </c>
      <c r="AD56" s="4" t="s">
        <v>535</v>
      </c>
      <c r="AE56" s="4" t="s">
        <v>661</v>
      </c>
      <c r="AF56" s="4" t="s">
        <v>661</v>
      </c>
      <c r="AG56" s="4" t="s">
        <v>661</v>
      </c>
      <c r="AM56" s="4">
        <v>1</v>
      </c>
      <c r="AO56" s="4">
        <v>3</v>
      </c>
      <c r="AP56" s="4">
        <v>2</v>
      </c>
      <c r="AQ56" s="4" t="s">
        <v>683</v>
      </c>
      <c r="AS56">
        <v>2</v>
      </c>
      <c r="AT56">
        <v>2</v>
      </c>
      <c r="AU56" s="33">
        <v>6137.0000000000036</v>
      </c>
      <c r="AV56" s="36" t="s">
        <v>644</v>
      </c>
      <c r="AW56" s="4">
        <v>6119.9999999999973</v>
      </c>
      <c r="AX56" s="4" t="str">
        <f>IFERROR(VLOOKUP(M56,Roster!$D$2:$E$27,2,FALSE),"")</f>
        <v>R</v>
      </c>
      <c r="AY56" s="4" t="str">
        <f t="shared" si="2"/>
        <v>2好2壞</v>
      </c>
      <c r="BI56" s="5" t="str">
        <f>Lineup!$G$2</f>
        <v>20210817</v>
      </c>
      <c r="BJ56" s="4" t="str">
        <f t="shared" si="3"/>
        <v>外角偏低</v>
      </c>
      <c r="BK56" s="4" t="str">
        <f t="shared" si="4"/>
        <v>1B0O</v>
      </c>
      <c r="BL56" s="4" t="str">
        <f>IFERROR(VLOOKUP('HomeAttackPlay-by-Play'!E56,Roster!$L$2:$M$27,2,FALSE),"")</f>
        <v>R</v>
      </c>
      <c r="BP56" s="48" t="str">
        <f>IF(BO56&lt;&gt;"",HYPERLINK(video!$F$29&amp;"\"&amp;"cam_1_"&amp;$BO56&amp;".avi","Play"),"")</f>
        <v/>
      </c>
      <c r="BQ56" s="48" t="str">
        <f>IF(BO56&lt;&gt;"",HYPERLINK(video!$F$29&amp;"\"&amp;"cam_2_"&amp;$BO56&amp;".avi","Play"),"")</f>
        <v/>
      </c>
      <c r="BR56" s="48" t="str">
        <f>IF(BO56&lt;&gt;"",HYPERLINK(video!$F$29&amp;"\"&amp;"cam_3_"&amp;$BO56&amp;".avi","Play"),"")</f>
        <v/>
      </c>
      <c r="BS56" s="48" t="str">
        <f>IF(BV56&lt;&gt;"",HYPERLINK(video!$F$25&amp;"\"&amp;"cam_4_"&amp;$BV56&amp;".avi","Play"),"")</f>
        <v/>
      </c>
      <c r="BT56" s="48" t="str">
        <f>IF(BV56&lt;&gt;"",HYPERLINK(video!$F$25&amp;"\"&amp;"cam_5_"&amp;$BV56&amp;".avi","Play"),"")</f>
        <v/>
      </c>
      <c r="BU56" s="48" t="str">
        <f>IF(BV56&lt;&gt;"",HYPERLINK(video!$F$25&amp;"\"&amp;"cam_6_"&amp;$BV56&amp;".avi","Play"),"")</f>
        <v/>
      </c>
      <c r="BY56" s="4">
        <f t="shared" si="0"/>
        <v>52.5</v>
      </c>
      <c r="BZ56" s="4">
        <f t="shared" si="1"/>
        <v>103.5</v>
      </c>
      <c r="CD56" s="5" t="str">
        <f>Lineup!$G$1</f>
        <v>一軍例行賽</v>
      </c>
      <c r="CE56" s="4">
        <f>Lineup!$I$1</f>
        <v>148</v>
      </c>
      <c r="CF56" s="5" t="str">
        <f>Lineup!$G$5</f>
        <v>王俊宏</v>
      </c>
      <c r="CG56" s="5" t="str">
        <f>Lineup!$G$4</f>
        <v>桃園</v>
      </c>
    </row>
    <row r="57" spans="1:85" x14ac:dyDescent="0.3">
      <c r="A57" s="43">
        <v>56</v>
      </c>
      <c r="B57" s="4">
        <v>1</v>
      </c>
      <c r="C57" s="4">
        <v>8</v>
      </c>
      <c r="D57" s="4">
        <v>4</v>
      </c>
      <c r="E57" s="4" t="s">
        <v>621</v>
      </c>
      <c r="F57" s="4" t="s">
        <v>341</v>
      </c>
      <c r="G57" s="4">
        <v>55</v>
      </c>
      <c r="H57" s="4">
        <v>35</v>
      </c>
      <c r="I57" s="4">
        <v>20</v>
      </c>
      <c r="J57" s="4">
        <v>0</v>
      </c>
      <c r="K57" s="4">
        <v>149</v>
      </c>
      <c r="L57" s="4" t="s">
        <v>643</v>
      </c>
      <c r="M57" s="4" t="s">
        <v>376</v>
      </c>
      <c r="N57" s="4" t="s">
        <v>649</v>
      </c>
      <c r="O57" s="4">
        <v>97.5</v>
      </c>
      <c r="P57" s="4">
        <v>72.75</v>
      </c>
      <c r="Q57" s="4" t="s">
        <v>639</v>
      </c>
      <c r="R57" s="5" t="s">
        <v>657</v>
      </c>
      <c r="AB57" s="4" t="s">
        <v>543</v>
      </c>
      <c r="AD57" s="4" t="s">
        <v>535</v>
      </c>
      <c r="AO57" s="4">
        <v>1</v>
      </c>
      <c r="AP57" s="4">
        <v>0</v>
      </c>
      <c r="AQ57" s="4" t="s">
        <v>640</v>
      </c>
      <c r="AS57">
        <v>0</v>
      </c>
      <c r="AT57">
        <v>0</v>
      </c>
      <c r="AU57" s="33">
        <v>6183.9999999999945</v>
      </c>
      <c r="AV57" s="36" t="s">
        <v>644</v>
      </c>
      <c r="AW57" s="4">
        <v>6180.9999999999945</v>
      </c>
      <c r="AX57" s="4" t="str">
        <f>IFERROR(VLOOKUP(M57,Roster!$D$2:$E$27,2,FALSE),"")</f>
        <v>R</v>
      </c>
      <c r="AY57" s="4" t="str">
        <f t="shared" si="2"/>
        <v>0好0壞</v>
      </c>
      <c r="BI57" s="5" t="str">
        <f>Lineup!$G$2</f>
        <v>20210817</v>
      </c>
      <c r="BJ57" s="4" t="str">
        <f t="shared" si="3"/>
        <v>內角高</v>
      </c>
      <c r="BK57" s="4" t="str">
        <f t="shared" si="4"/>
        <v>13B0O</v>
      </c>
      <c r="BL57" s="4" t="str">
        <f>IFERROR(VLOOKUP('HomeAttackPlay-by-Play'!E57,Roster!$L$2:$M$27,2,FALSE),"")</f>
        <v>R</v>
      </c>
      <c r="BP57" s="48" t="str">
        <f>IF(BO57&lt;&gt;"",HYPERLINK(video!$F$29&amp;"\"&amp;"cam_1_"&amp;$BO57&amp;".avi","Play"),"")</f>
        <v/>
      </c>
      <c r="BQ57" s="48" t="str">
        <f>IF(BO57&lt;&gt;"",HYPERLINK(video!$F$29&amp;"\"&amp;"cam_2_"&amp;$BO57&amp;".avi","Play"),"")</f>
        <v/>
      </c>
      <c r="BR57" s="48" t="str">
        <f>IF(BO57&lt;&gt;"",HYPERLINK(video!$F$29&amp;"\"&amp;"cam_3_"&amp;$BO57&amp;".avi","Play"),"")</f>
        <v/>
      </c>
      <c r="BS57" s="48" t="str">
        <f>IF(BV57&lt;&gt;"",HYPERLINK(video!$F$25&amp;"\"&amp;"cam_4_"&amp;$BV57&amp;".avi","Play"),"")</f>
        <v/>
      </c>
      <c r="BT57" s="48" t="str">
        <f>IF(BV57&lt;&gt;"",HYPERLINK(video!$F$25&amp;"\"&amp;"cam_5_"&amp;$BV57&amp;".avi","Play"),"")</f>
        <v/>
      </c>
      <c r="BU57" s="48" t="str">
        <f>IF(BV57&lt;&gt;"",HYPERLINK(video!$F$25&amp;"\"&amp;"cam_6_"&amp;$BV57&amp;".avi","Play"),"")</f>
        <v/>
      </c>
      <c r="BY57" s="4">
        <f t="shared" si="0"/>
        <v>113.25</v>
      </c>
      <c r="BZ57" s="4">
        <f t="shared" si="1"/>
        <v>246</v>
      </c>
      <c r="CD57" s="5" t="str">
        <f>Lineup!$G$1</f>
        <v>一軍例行賽</v>
      </c>
      <c r="CE57" s="4">
        <f>Lineup!$I$1</f>
        <v>148</v>
      </c>
      <c r="CF57" s="5" t="str">
        <f>Lineup!$G$5</f>
        <v>王俊宏</v>
      </c>
      <c r="CG57" s="5" t="str">
        <f>Lineup!$G$4</f>
        <v>桃園</v>
      </c>
    </row>
    <row r="58" spans="1:85" x14ac:dyDescent="0.3">
      <c r="A58" s="43">
        <v>57</v>
      </c>
      <c r="B58" s="4">
        <v>1</v>
      </c>
      <c r="C58" s="4">
        <v>8</v>
      </c>
      <c r="D58" s="4">
        <v>4</v>
      </c>
      <c r="E58" s="4" t="s">
        <v>621</v>
      </c>
      <c r="F58" s="4" t="s">
        <v>341</v>
      </c>
      <c r="G58" s="4">
        <v>56</v>
      </c>
      <c r="H58" s="4">
        <v>35</v>
      </c>
      <c r="I58" s="4">
        <v>21</v>
      </c>
      <c r="J58" s="4">
        <v>0</v>
      </c>
      <c r="K58" s="4">
        <v>149</v>
      </c>
      <c r="L58" s="4" t="s">
        <v>643</v>
      </c>
      <c r="M58" s="4" t="s">
        <v>376</v>
      </c>
      <c r="N58" s="4" t="s">
        <v>642</v>
      </c>
      <c r="O58" s="4">
        <v>42.75</v>
      </c>
      <c r="P58" s="4">
        <v>77.25</v>
      </c>
      <c r="Q58" s="4" t="s">
        <v>641</v>
      </c>
      <c r="AB58" s="4" t="s">
        <v>543</v>
      </c>
      <c r="AD58" s="4" t="s">
        <v>535</v>
      </c>
      <c r="AO58" s="4">
        <v>1</v>
      </c>
      <c r="AP58" s="4">
        <v>1</v>
      </c>
      <c r="AQ58" s="4" t="s">
        <v>645</v>
      </c>
      <c r="AS58">
        <v>1</v>
      </c>
      <c r="AT58">
        <v>0</v>
      </c>
      <c r="AU58" s="33">
        <v>6209.0000000000045</v>
      </c>
      <c r="AV58" s="36" t="s">
        <v>644</v>
      </c>
      <c r="AW58" s="4">
        <v>6205.9999999999945</v>
      </c>
      <c r="AX58" s="4" t="str">
        <f>IFERROR(VLOOKUP(M58,Roster!$D$2:$E$27,2,FALSE),"")</f>
        <v>R</v>
      </c>
      <c r="AY58" s="4" t="str">
        <f t="shared" si="2"/>
        <v>1好0壞</v>
      </c>
      <c r="BI58" s="5" t="str">
        <f>Lineup!$G$2</f>
        <v>20210817</v>
      </c>
      <c r="BJ58" s="4" t="str">
        <f t="shared" si="3"/>
        <v>偏外角高</v>
      </c>
      <c r="BK58" s="4" t="str">
        <f t="shared" si="4"/>
        <v>13B0O</v>
      </c>
      <c r="BL58" s="4" t="str">
        <f>IFERROR(VLOOKUP('HomeAttackPlay-by-Play'!E58,Roster!$L$2:$M$27,2,FALSE),"")</f>
        <v>R</v>
      </c>
      <c r="BP58" s="48" t="str">
        <f>IF(BO58&lt;&gt;"",HYPERLINK(video!$F$29&amp;"\"&amp;"cam_1_"&amp;$BO58&amp;".avi","Play"),"")</f>
        <v/>
      </c>
      <c r="BQ58" s="48" t="str">
        <f>IF(BO58&lt;&gt;"",HYPERLINK(video!$F$29&amp;"\"&amp;"cam_2_"&amp;$BO58&amp;".avi","Play"),"")</f>
        <v/>
      </c>
      <c r="BR58" s="48" t="str">
        <f>IF(BO58&lt;&gt;"",HYPERLINK(video!$F$29&amp;"\"&amp;"cam_3_"&amp;$BO58&amp;".avi","Play"),"")</f>
        <v/>
      </c>
      <c r="BS58" s="48" t="str">
        <f>IF(BV58&lt;&gt;"",HYPERLINK(video!$F$25&amp;"\"&amp;"cam_4_"&amp;$BV58&amp;".avi","Play"),"")</f>
        <v/>
      </c>
      <c r="BT58" s="48" t="str">
        <f>IF(BV58&lt;&gt;"",HYPERLINK(video!$F$25&amp;"\"&amp;"cam_5_"&amp;$BV58&amp;".avi","Play"),"")</f>
        <v/>
      </c>
      <c r="BU58" s="48" t="str">
        <f>IF(BV58&lt;&gt;"",HYPERLINK(video!$F$25&amp;"\"&amp;"cam_6_"&amp;$BV58&amp;".avi","Play"),"")</f>
        <v/>
      </c>
      <c r="BY58" s="4">
        <f t="shared" si="0"/>
        <v>108.75</v>
      </c>
      <c r="BZ58" s="4">
        <f t="shared" si="1"/>
        <v>246</v>
      </c>
      <c r="CD58" s="5" t="str">
        <f>Lineup!$G$1</f>
        <v>一軍例行賽</v>
      </c>
      <c r="CE58" s="4">
        <f>Lineup!$I$1</f>
        <v>148</v>
      </c>
      <c r="CF58" s="5" t="str">
        <f>Lineup!$G$5</f>
        <v>王俊宏</v>
      </c>
      <c r="CG58" s="5" t="str">
        <f>Lineup!$G$4</f>
        <v>桃園</v>
      </c>
    </row>
    <row r="59" spans="1:85" x14ac:dyDescent="0.3">
      <c r="A59" s="43">
        <v>58</v>
      </c>
      <c r="B59" s="4">
        <v>1</v>
      </c>
      <c r="C59" s="4">
        <v>8</v>
      </c>
      <c r="D59" s="4">
        <v>4</v>
      </c>
      <c r="E59" s="4" t="s">
        <v>621</v>
      </c>
      <c r="F59" s="4" t="s">
        <v>341</v>
      </c>
      <c r="G59" s="4">
        <v>57</v>
      </c>
      <c r="H59" s="4">
        <v>35</v>
      </c>
      <c r="I59" s="4">
        <v>22</v>
      </c>
      <c r="J59" s="4">
        <v>0</v>
      </c>
      <c r="K59" s="4">
        <v>148</v>
      </c>
      <c r="L59" s="4" t="s">
        <v>643</v>
      </c>
      <c r="M59" s="4" t="s">
        <v>376</v>
      </c>
      <c r="N59" s="4" t="s">
        <v>642</v>
      </c>
      <c r="O59" s="4">
        <v>37.5</v>
      </c>
      <c r="P59" s="4">
        <v>82.5</v>
      </c>
      <c r="Q59" s="4" t="s">
        <v>641</v>
      </c>
      <c r="AB59" s="4" t="s">
        <v>543</v>
      </c>
      <c r="AD59" s="4" t="s">
        <v>535</v>
      </c>
      <c r="AO59" s="4">
        <v>1</v>
      </c>
      <c r="AP59" s="4">
        <v>2</v>
      </c>
      <c r="AQ59" s="4" t="s">
        <v>654</v>
      </c>
      <c r="AS59">
        <v>1</v>
      </c>
      <c r="AT59">
        <v>1</v>
      </c>
      <c r="AU59" s="33">
        <v>6232.9999999999891</v>
      </c>
      <c r="AV59" s="36" t="s">
        <v>644</v>
      </c>
      <c r="AW59" s="4">
        <v>6229.9999999999991</v>
      </c>
      <c r="AX59" s="4" t="str">
        <f>IFERROR(VLOOKUP(M59,Roster!$D$2:$E$27,2,FALSE),"")</f>
        <v>R</v>
      </c>
      <c r="AY59" s="4" t="str">
        <f t="shared" si="2"/>
        <v>1好1壞</v>
      </c>
      <c r="BI59" s="5" t="str">
        <f>Lineup!$G$2</f>
        <v>20210817</v>
      </c>
      <c r="BJ59" s="4" t="str">
        <f t="shared" si="3"/>
        <v>偏外角中</v>
      </c>
      <c r="BK59" s="4" t="str">
        <f t="shared" si="4"/>
        <v>13B0O</v>
      </c>
      <c r="BL59" s="4" t="str">
        <f>IFERROR(VLOOKUP('HomeAttackPlay-by-Play'!E59,Roster!$L$2:$M$27,2,FALSE),"")</f>
        <v>R</v>
      </c>
      <c r="BP59" s="48" t="str">
        <f>IF(BO59&lt;&gt;"",HYPERLINK(video!$F$29&amp;"\"&amp;"cam_1_"&amp;$BO59&amp;".avi","Play"),"")</f>
        <v/>
      </c>
      <c r="BQ59" s="48" t="str">
        <f>IF(BO59&lt;&gt;"",HYPERLINK(video!$F$29&amp;"\"&amp;"cam_2_"&amp;$BO59&amp;".avi","Play"),"")</f>
        <v/>
      </c>
      <c r="BR59" s="48" t="str">
        <f>IF(BO59&lt;&gt;"",HYPERLINK(video!$F$29&amp;"\"&amp;"cam_3_"&amp;$BO59&amp;".avi","Play"),"")</f>
        <v/>
      </c>
      <c r="BS59" s="48" t="str">
        <f>IF(BV59&lt;&gt;"",HYPERLINK(video!$F$25&amp;"\"&amp;"cam_4_"&amp;$BV59&amp;".avi","Play"),"")</f>
        <v/>
      </c>
      <c r="BT59" s="48" t="str">
        <f>IF(BV59&lt;&gt;"",HYPERLINK(video!$F$25&amp;"\"&amp;"cam_5_"&amp;$BV59&amp;".avi","Play"),"")</f>
        <v/>
      </c>
      <c r="BU59" s="48" t="str">
        <f>IF(BV59&lt;&gt;"",HYPERLINK(video!$F$25&amp;"\"&amp;"cam_6_"&amp;$BV59&amp;".avi","Play"),"")</f>
        <v/>
      </c>
      <c r="BY59" s="4">
        <f t="shared" si="0"/>
        <v>103.5</v>
      </c>
      <c r="BZ59" s="4">
        <f t="shared" si="1"/>
        <v>246</v>
      </c>
      <c r="CD59" s="5" t="str">
        <f>Lineup!$G$1</f>
        <v>一軍例行賽</v>
      </c>
      <c r="CE59" s="4">
        <f>Lineup!$I$1</f>
        <v>148</v>
      </c>
      <c r="CF59" s="5" t="str">
        <f>Lineup!$G$5</f>
        <v>王俊宏</v>
      </c>
      <c r="CG59" s="5" t="str">
        <f>Lineup!$G$4</f>
        <v>桃園</v>
      </c>
    </row>
    <row r="60" spans="1:85" x14ac:dyDescent="0.3">
      <c r="A60" s="43">
        <v>59</v>
      </c>
      <c r="B60" s="4">
        <v>1</v>
      </c>
      <c r="C60" s="4">
        <v>8</v>
      </c>
      <c r="D60" s="4">
        <v>4</v>
      </c>
      <c r="E60" s="4" t="s">
        <v>621</v>
      </c>
      <c r="F60" s="4" t="s">
        <v>341</v>
      </c>
      <c r="G60" s="4">
        <v>58</v>
      </c>
      <c r="H60" s="4">
        <v>35</v>
      </c>
      <c r="I60" s="4">
        <v>23</v>
      </c>
      <c r="J60" s="4">
        <v>0</v>
      </c>
      <c r="K60" s="4">
        <v>133</v>
      </c>
      <c r="L60" s="4" t="s">
        <v>665</v>
      </c>
      <c r="M60" s="4" t="s">
        <v>376</v>
      </c>
      <c r="N60" s="4" t="s">
        <v>642</v>
      </c>
      <c r="O60" s="4">
        <v>33</v>
      </c>
      <c r="P60" s="4">
        <v>98.25</v>
      </c>
      <c r="Q60" s="4" t="s">
        <v>641</v>
      </c>
      <c r="AB60" s="4" t="s">
        <v>543</v>
      </c>
      <c r="AD60" s="4" t="s">
        <v>535</v>
      </c>
      <c r="AO60" s="4">
        <v>1</v>
      </c>
      <c r="AP60" s="4">
        <v>3</v>
      </c>
      <c r="AQ60" s="4" t="s">
        <v>658</v>
      </c>
      <c r="AS60">
        <v>1</v>
      </c>
      <c r="AT60">
        <v>2</v>
      </c>
      <c r="AU60" s="33">
        <v>6254.0000000000027</v>
      </c>
      <c r="AV60" s="36" t="s">
        <v>644</v>
      </c>
      <c r="AW60" s="4">
        <v>6251.0000000000018</v>
      </c>
      <c r="AX60" s="4" t="str">
        <f>IFERROR(VLOOKUP(M60,Roster!$D$2:$E$27,2,FALSE),"")</f>
        <v>R</v>
      </c>
      <c r="AY60" s="4" t="str">
        <f t="shared" si="2"/>
        <v>1好2壞</v>
      </c>
      <c r="BI60" s="5" t="str">
        <f>Lineup!$G$2</f>
        <v>20210817</v>
      </c>
      <c r="BJ60" s="4" t="str">
        <f t="shared" si="3"/>
        <v>偏外角中</v>
      </c>
      <c r="BK60" s="4" t="str">
        <f t="shared" si="4"/>
        <v>13B0O</v>
      </c>
      <c r="BL60" s="4" t="str">
        <f>IFERROR(VLOOKUP('HomeAttackPlay-by-Play'!E60,Roster!$L$2:$M$27,2,FALSE),"")</f>
        <v>R</v>
      </c>
      <c r="BP60" s="48" t="str">
        <f>IF(BO60&lt;&gt;"",HYPERLINK(video!$F$29&amp;"\"&amp;"cam_1_"&amp;$BO60&amp;".avi","Play"),"")</f>
        <v/>
      </c>
      <c r="BQ60" s="48" t="str">
        <f>IF(BO60&lt;&gt;"",HYPERLINK(video!$F$29&amp;"\"&amp;"cam_2_"&amp;$BO60&amp;".avi","Play"),"")</f>
        <v/>
      </c>
      <c r="BR60" s="48" t="str">
        <f>IF(BO60&lt;&gt;"",HYPERLINK(video!$F$29&amp;"\"&amp;"cam_3_"&amp;$BO60&amp;".avi","Play"),"")</f>
        <v/>
      </c>
      <c r="BS60" s="48" t="str">
        <f>IF(BV60&lt;&gt;"",HYPERLINK(video!$F$25&amp;"\"&amp;"cam_4_"&amp;$BV60&amp;".avi","Play"),"")</f>
        <v/>
      </c>
      <c r="BT60" s="48" t="str">
        <f>IF(BV60&lt;&gt;"",HYPERLINK(video!$F$25&amp;"\"&amp;"cam_5_"&amp;$BV60&amp;".avi","Play"),"")</f>
        <v/>
      </c>
      <c r="BU60" s="48" t="str">
        <f>IF(BV60&lt;&gt;"",HYPERLINK(video!$F$25&amp;"\"&amp;"cam_6_"&amp;$BV60&amp;".avi","Play"),"")</f>
        <v/>
      </c>
      <c r="BY60" s="4">
        <f t="shared" si="0"/>
        <v>87.75</v>
      </c>
      <c r="BZ60" s="4">
        <f t="shared" si="1"/>
        <v>246</v>
      </c>
      <c r="CD60" s="5" t="str">
        <f>Lineup!$G$1</f>
        <v>一軍例行賽</v>
      </c>
      <c r="CE60" s="4">
        <f>Lineup!$I$1</f>
        <v>148</v>
      </c>
      <c r="CF60" s="5" t="str">
        <f>Lineup!$G$5</f>
        <v>王俊宏</v>
      </c>
      <c r="CG60" s="5" t="str">
        <f>Lineup!$G$4</f>
        <v>桃園</v>
      </c>
    </row>
    <row r="61" spans="1:85" x14ac:dyDescent="0.3">
      <c r="A61" s="43">
        <v>60</v>
      </c>
      <c r="B61" s="4">
        <v>2</v>
      </c>
      <c r="C61" s="4">
        <v>8</v>
      </c>
      <c r="D61" s="4">
        <v>4</v>
      </c>
      <c r="E61" s="4" t="s">
        <v>621</v>
      </c>
      <c r="F61" s="4" t="s">
        <v>341</v>
      </c>
      <c r="G61" s="4">
        <v>59</v>
      </c>
      <c r="H61" s="4">
        <v>36</v>
      </c>
      <c r="I61" s="4">
        <v>23</v>
      </c>
      <c r="J61" s="4">
        <v>1</v>
      </c>
      <c r="K61" s="4">
        <v>148</v>
      </c>
      <c r="L61" s="4" t="s">
        <v>643</v>
      </c>
      <c r="M61" s="4" t="s">
        <v>376</v>
      </c>
      <c r="N61" s="4" t="s">
        <v>649</v>
      </c>
      <c r="O61" s="4">
        <v>59.25</v>
      </c>
      <c r="P61" s="4">
        <v>54</v>
      </c>
      <c r="Q61" s="4" t="s">
        <v>109</v>
      </c>
      <c r="R61" s="5" t="s">
        <v>719</v>
      </c>
      <c r="S61" s="4">
        <v>263.25</v>
      </c>
      <c r="T61" s="4">
        <v>78</v>
      </c>
      <c r="U61" s="4" t="s">
        <v>266</v>
      </c>
      <c r="AB61" s="4" t="s">
        <v>543</v>
      </c>
      <c r="AE61" s="4" t="s">
        <v>721</v>
      </c>
      <c r="AF61" s="4" t="s">
        <v>661</v>
      </c>
      <c r="AG61" s="4" t="s">
        <v>661</v>
      </c>
      <c r="AH61" s="4" t="s">
        <v>376</v>
      </c>
      <c r="AK61" s="4">
        <v>1</v>
      </c>
      <c r="AM61" s="4">
        <v>1</v>
      </c>
      <c r="AO61" s="4">
        <v>2</v>
      </c>
      <c r="AP61" s="4">
        <v>3</v>
      </c>
      <c r="AQ61" s="4" t="s">
        <v>674</v>
      </c>
      <c r="AR61" s="4" t="s">
        <v>720</v>
      </c>
      <c r="AS61">
        <v>1</v>
      </c>
      <c r="AT61">
        <v>3</v>
      </c>
      <c r="AU61" s="33">
        <v>6289.9999999999891</v>
      </c>
      <c r="AV61" s="36" t="s">
        <v>644</v>
      </c>
      <c r="AW61" s="4">
        <v>6275.9999999999927</v>
      </c>
      <c r="AX61" s="4" t="str">
        <f>IFERROR(VLOOKUP(M61,Roster!$D$2:$E$27,2,FALSE),"")</f>
        <v>R</v>
      </c>
      <c r="AY61" s="4" t="str">
        <f t="shared" si="2"/>
        <v>1好3壞</v>
      </c>
      <c r="BI61" s="5" t="str">
        <f>Lineup!$G$2</f>
        <v>20210817</v>
      </c>
      <c r="BJ61" s="4" t="str">
        <f t="shared" si="3"/>
        <v>外角偏高</v>
      </c>
      <c r="BK61" s="4" t="str">
        <f t="shared" si="4"/>
        <v>13B0O</v>
      </c>
      <c r="BL61" s="4" t="str">
        <f>IFERROR(VLOOKUP('HomeAttackPlay-by-Play'!E61,Roster!$L$2:$M$27,2,FALSE),"")</f>
        <v>R</v>
      </c>
      <c r="BP61" s="48" t="str">
        <f>IF(BO61&lt;&gt;"",HYPERLINK(video!$F$29&amp;"\"&amp;"cam_1_"&amp;$BO61&amp;".avi","Play"),"")</f>
        <v/>
      </c>
      <c r="BQ61" s="48" t="str">
        <f>IF(BO61&lt;&gt;"",HYPERLINK(video!$F$29&amp;"\"&amp;"cam_2_"&amp;$BO61&amp;".avi","Play"),"")</f>
        <v/>
      </c>
      <c r="BR61" s="48" t="str">
        <f>IF(BO61&lt;&gt;"",HYPERLINK(video!$F$29&amp;"\"&amp;"cam_3_"&amp;$BO61&amp;".avi","Play"),"")</f>
        <v/>
      </c>
      <c r="BS61" s="48" t="str">
        <f>IF(BV61&lt;&gt;"",HYPERLINK(video!$F$25&amp;"\"&amp;"cam_4_"&amp;$BV61&amp;".avi","Play"),"")</f>
        <v/>
      </c>
      <c r="BT61" s="48" t="str">
        <f>IF(BV61&lt;&gt;"",HYPERLINK(video!$F$25&amp;"\"&amp;"cam_5_"&amp;$BV61&amp;".avi","Play"),"")</f>
        <v/>
      </c>
      <c r="BU61" s="48" t="str">
        <f>IF(BV61&lt;&gt;"",HYPERLINK(video!$F$25&amp;"\"&amp;"cam_6_"&amp;$BV61&amp;".avi","Play"),"")</f>
        <v/>
      </c>
      <c r="BY61" s="4">
        <f t="shared" si="0"/>
        <v>132</v>
      </c>
      <c r="BZ61" s="4">
        <f t="shared" si="1"/>
        <v>168</v>
      </c>
      <c r="CD61" s="5" t="str">
        <f>Lineup!$G$1</f>
        <v>一軍例行賽</v>
      </c>
      <c r="CE61" s="4">
        <f>Lineup!$I$1</f>
        <v>148</v>
      </c>
      <c r="CF61" s="5" t="str">
        <f>Lineup!$G$5</f>
        <v>王俊宏</v>
      </c>
      <c r="CG61" s="5" t="str">
        <f>Lineup!$G$4</f>
        <v>桃園</v>
      </c>
    </row>
    <row r="62" spans="1:85" x14ac:dyDescent="0.3">
      <c r="A62" s="43">
        <v>61</v>
      </c>
      <c r="B62" s="4">
        <v>2</v>
      </c>
      <c r="C62" s="4">
        <v>8</v>
      </c>
      <c r="D62" s="4">
        <v>4</v>
      </c>
      <c r="E62" s="4" t="s">
        <v>621</v>
      </c>
      <c r="F62" s="4" t="s">
        <v>341</v>
      </c>
      <c r="G62" s="4">
        <v>60</v>
      </c>
      <c r="H62" s="4">
        <v>36</v>
      </c>
      <c r="I62" s="4">
        <v>24</v>
      </c>
      <c r="J62" s="4">
        <v>1</v>
      </c>
      <c r="L62" s="4" t="s">
        <v>643</v>
      </c>
      <c r="M62" s="4" t="s">
        <v>571</v>
      </c>
      <c r="N62" s="4" t="s">
        <v>642</v>
      </c>
      <c r="O62" s="4">
        <v>26.25</v>
      </c>
      <c r="P62" s="4">
        <v>146.25</v>
      </c>
      <c r="Q62" s="4" t="s">
        <v>641</v>
      </c>
      <c r="AB62" s="4" t="s">
        <v>543</v>
      </c>
      <c r="AO62" s="4">
        <v>0</v>
      </c>
      <c r="AP62" s="4">
        <v>1</v>
      </c>
      <c r="AQ62" s="4" t="s">
        <v>652</v>
      </c>
      <c r="AS62">
        <v>0</v>
      </c>
      <c r="AT62">
        <v>0</v>
      </c>
      <c r="AU62" s="33">
        <v>6330.9999999999982</v>
      </c>
      <c r="AV62" s="36" t="s">
        <v>644</v>
      </c>
      <c r="AW62" s="4">
        <v>6327.9999999999882</v>
      </c>
      <c r="AX62" s="4" t="str">
        <f>IFERROR(VLOOKUP(M62,Roster!$D$2:$E$27,2,FALSE),"")</f>
        <v>R</v>
      </c>
      <c r="AY62" s="4" t="str">
        <f t="shared" si="2"/>
        <v>0好0壞</v>
      </c>
      <c r="BI62" s="5" t="str">
        <f>Lineup!$G$2</f>
        <v>20210817</v>
      </c>
      <c r="BJ62" s="4" t="str">
        <f t="shared" si="3"/>
        <v>偏外角偏低</v>
      </c>
      <c r="BK62" s="4" t="str">
        <f t="shared" si="4"/>
        <v>1B1O</v>
      </c>
      <c r="BL62" s="4" t="str">
        <f>IFERROR(VLOOKUP('HomeAttackPlay-by-Play'!E62,Roster!$L$2:$M$27,2,FALSE),"")</f>
        <v>R</v>
      </c>
      <c r="BP62" s="48" t="str">
        <f>IF(BO62&lt;&gt;"",HYPERLINK(video!$F$29&amp;"\"&amp;"cam_1_"&amp;$BO62&amp;".avi","Play"),"")</f>
        <v/>
      </c>
      <c r="BQ62" s="48" t="str">
        <f>IF(BO62&lt;&gt;"",HYPERLINK(video!$F$29&amp;"\"&amp;"cam_2_"&amp;$BO62&amp;".avi","Play"),"")</f>
        <v/>
      </c>
      <c r="BR62" s="48" t="str">
        <f>IF(BO62&lt;&gt;"",HYPERLINK(video!$F$29&amp;"\"&amp;"cam_3_"&amp;$BO62&amp;".avi","Play"),"")</f>
        <v/>
      </c>
      <c r="BS62" s="48" t="str">
        <f>IF(BV62&lt;&gt;"",HYPERLINK(video!$F$25&amp;"\"&amp;"cam_4_"&amp;$BV62&amp;".avi","Play"),"")</f>
        <v/>
      </c>
      <c r="BT62" s="48" t="str">
        <f>IF(BV62&lt;&gt;"",HYPERLINK(video!$F$25&amp;"\"&amp;"cam_5_"&amp;$BV62&amp;".avi","Play"),"")</f>
        <v/>
      </c>
      <c r="BU62" s="48" t="str">
        <f>IF(BV62&lt;&gt;"",HYPERLINK(video!$F$25&amp;"\"&amp;"cam_6_"&amp;$BV62&amp;".avi","Play"),"")</f>
        <v/>
      </c>
      <c r="BY62" s="4">
        <f t="shared" si="0"/>
        <v>39.75</v>
      </c>
      <c r="BZ62" s="4">
        <f t="shared" si="1"/>
        <v>246</v>
      </c>
      <c r="CD62" s="5" t="str">
        <f>Lineup!$G$1</f>
        <v>一軍例行賽</v>
      </c>
      <c r="CE62" s="4">
        <f>Lineup!$I$1</f>
        <v>148</v>
      </c>
      <c r="CF62" s="5" t="str">
        <f>Lineup!$G$5</f>
        <v>王俊宏</v>
      </c>
      <c r="CG62" s="5" t="str">
        <f>Lineup!$G$4</f>
        <v>桃園</v>
      </c>
    </row>
    <row r="63" spans="1:85" x14ac:dyDescent="0.3">
      <c r="A63" s="43">
        <v>62</v>
      </c>
      <c r="B63" s="4">
        <v>2</v>
      </c>
      <c r="C63" s="4">
        <v>8</v>
      </c>
      <c r="D63" s="4">
        <v>4</v>
      </c>
      <c r="E63" s="4" t="s">
        <v>621</v>
      </c>
      <c r="F63" s="4" t="s">
        <v>341</v>
      </c>
      <c r="G63" s="4">
        <v>61</v>
      </c>
      <c r="H63" s="4">
        <v>36</v>
      </c>
      <c r="I63" s="4">
        <v>25</v>
      </c>
      <c r="J63" s="4">
        <v>1</v>
      </c>
      <c r="K63" s="4">
        <v>147</v>
      </c>
      <c r="L63" s="4" t="s">
        <v>643</v>
      </c>
      <c r="M63" s="4" t="s">
        <v>571</v>
      </c>
      <c r="N63" s="4" t="s">
        <v>642</v>
      </c>
      <c r="O63" s="4">
        <v>86.25</v>
      </c>
      <c r="P63" s="4">
        <v>144</v>
      </c>
      <c r="Q63" s="4" t="s">
        <v>641</v>
      </c>
      <c r="AB63" s="4" t="s">
        <v>543</v>
      </c>
      <c r="AO63" s="4">
        <v>0</v>
      </c>
      <c r="AP63" s="4">
        <v>2</v>
      </c>
      <c r="AQ63" s="4" t="s">
        <v>653</v>
      </c>
      <c r="AS63">
        <v>0</v>
      </c>
      <c r="AT63">
        <v>1</v>
      </c>
      <c r="AU63" s="33">
        <v>6390.9999999999982</v>
      </c>
      <c r="AV63" s="36" t="s">
        <v>644</v>
      </c>
      <c r="AW63" s="4">
        <v>6387.0000000000009</v>
      </c>
      <c r="AX63" s="4" t="str">
        <f>IFERROR(VLOOKUP(M63,Roster!$D$2:$E$27,2,FALSE),"")</f>
        <v>R</v>
      </c>
      <c r="AY63" s="4" t="str">
        <f t="shared" si="2"/>
        <v>0好1壞</v>
      </c>
      <c r="BI63" s="5" t="str">
        <f>Lineup!$G$2</f>
        <v>20210817</v>
      </c>
      <c r="BJ63" s="4" t="str">
        <f t="shared" si="3"/>
        <v>內角偏低</v>
      </c>
      <c r="BK63" s="4" t="str">
        <f t="shared" si="4"/>
        <v>1B1O</v>
      </c>
      <c r="BL63" s="4" t="str">
        <f>IFERROR(VLOOKUP('HomeAttackPlay-by-Play'!E63,Roster!$L$2:$M$27,2,FALSE),"")</f>
        <v>R</v>
      </c>
      <c r="BP63" s="48" t="str">
        <f>IF(BO63&lt;&gt;"",HYPERLINK(video!$F$29&amp;"\"&amp;"cam_1_"&amp;$BO63&amp;".avi","Play"),"")</f>
        <v/>
      </c>
      <c r="BQ63" s="48" t="str">
        <f>IF(BO63&lt;&gt;"",HYPERLINK(video!$F$29&amp;"\"&amp;"cam_2_"&amp;$BO63&amp;".avi","Play"),"")</f>
        <v/>
      </c>
      <c r="BR63" s="48" t="str">
        <f>IF(BO63&lt;&gt;"",HYPERLINK(video!$F$29&amp;"\"&amp;"cam_3_"&amp;$BO63&amp;".avi","Play"),"")</f>
        <v/>
      </c>
      <c r="BS63" s="48" t="str">
        <f>IF(BV63&lt;&gt;"",HYPERLINK(video!$F$25&amp;"\"&amp;"cam_4_"&amp;$BV63&amp;".avi","Play"),"")</f>
        <v/>
      </c>
      <c r="BT63" s="48" t="str">
        <f>IF(BV63&lt;&gt;"",HYPERLINK(video!$F$25&amp;"\"&amp;"cam_5_"&amp;$BV63&amp;".avi","Play"),"")</f>
        <v/>
      </c>
      <c r="BU63" s="48" t="str">
        <f>IF(BV63&lt;&gt;"",HYPERLINK(video!$F$25&amp;"\"&amp;"cam_6_"&amp;$BV63&amp;".avi","Play"),"")</f>
        <v/>
      </c>
      <c r="BY63" s="4">
        <f t="shared" ref="BY63:BY119" si="5">186-P63</f>
        <v>42</v>
      </c>
      <c r="BZ63" s="4">
        <f t="shared" ref="BZ63:BZ119" si="6">246-T63</f>
        <v>246</v>
      </c>
      <c r="CD63" s="5" t="str">
        <f>Lineup!$G$1</f>
        <v>一軍例行賽</v>
      </c>
      <c r="CE63" s="4">
        <f>Lineup!$I$1</f>
        <v>148</v>
      </c>
      <c r="CF63" s="5" t="str">
        <f>Lineup!$G$5</f>
        <v>王俊宏</v>
      </c>
      <c r="CG63" s="5" t="str">
        <f>Lineup!$G$4</f>
        <v>桃園</v>
      </c>
    </row>
    <row r="64" spans="1:85" x14ac:dyDescent="0.3">
      <c r="A64" s="43">
        <v>63</v>
      </c>
      <c r="B64" s="4">
        <v>2</v>
      </c>
      <c r="C64" s="4">
        <v>8</v>
      </c>
      <c r="D64" s="4">
        <v>4</v>
      </c>
      <c r="E64" s="4" t="s">
        <v>621</v>
      </c>
      <c r="F64" s="4" t="s">
        <v>341</v>
      </c>
      <c r="G64" s="4">
        <v>62</v>
      </c>
      <c r="H64" s="4">
        <v>37</v>
      </c>
      <c r="I64" s="4">
        <v>25</v>
      </c>
      <c r="J64" s="4">
        <v>1</v>
      </c>
      <c r="K64" s="4">
        <v>148</v>
      </c>
      <c r="L64" s="4" t="s">
        <v>643</v>
      </c>
      <c r="M64" s="4" t="s">
        <v>571</v>
      </c>
      <c r="N64" s="4" t="s">
        <v>642</v>
      </c>
      <c r="O64" s="4">
        <v>59.25</v>
      </c>
      <c r="P64" s="4">
        <v>85.5</v>
      </c>
      <c r="Q64" s="4" t="s">
        <v>639</v>
      </c>
      <c r="AB64" s="4" t="s">
        <v>543</v>
      </c>
      <c r="AO64" s="4">
        <v>1</v>
      </c>
      <c r="AP64" s="4">
        <v>2</v>
      </c>
      <c r="AQ64" s="4" t="s">
        <v>654</v>
      </c>
      <c r="AS64">
        <v>0</v>
      </c>
      <c r="AT64">
        <v>2</v>
      </c>
      <c r="AU64" s="33">
        <v>6413.9999999999955</v>
      </c>
      <c r="AV64" s="36" t="s">
        <v>644</v>
      </c>
      <c r="AW64" s="4">
        <v>6411.0000000000045</v>
      </c>
      <c r="AX64" s="4" t="str">
        <f>IFERROR(VLOOKUP(M64,Roster!$D$2:$E$27,2,FALSE),"")</f>
        <v>R</v>
      </c>
      <c r="AY64" s="4" t="str">
        <f t="shared" si="2"/>
        <v>0好2壞</v>
      </c>
      <c r="BI64" s="5" t="str">
        <f>Lineup!$G$2</f>
        <v>20210817</v>
      </c>
      <c r="BJ64" s="4" t="str">
        <f t="shared" ref="BJ64:BJ120" si="7">IF(AX64="R",IF(O64&lt;46.8,"偏外角",IF(O64&lt;65.5,"外角",IF(O64&lt;84.4,"中",IF(O64 &lt; 103.2,"內角","偏內角"))))&amp;IF(P64&lt;57,"偏高",IF(P64&lt;79.8,"高",IF(P64&lt;102.7,"中",IF(P64 &lt; 125.5,"低","偏低")))),IF(O64&lt;46.8,"偏內角",IF(O64&lt;65.5,"內角",IF(O64&lt;84.4,"中",IF(O64 &lt; 103.2,"外角","偏外角"))))&amp;IF(P64&lt;57,"偏高",IF(P64&lt;79.8,"高",IF(P64&lt;102.7,"中",IF(P64 &lt; 125.5,"低","偏低"))))
)</f>
        <v>外角中</v>
      </c>
      <c r="BK64" s="4" t="str">
        <f t="shared" si="4"/>
        <v>1B1O</v>
      </c>
      <c r="BL64" s="4" t="str">
        <f>IFERROR(VLOOKUP('HomeAttackPlay-by-Play'!E64,Roster!$L$2:$M$27,2,FALSE),"")</f>
        <v>R</v>
      </c>
      <c r="BP64" s="48" t="str">
        <f>IF(BO64&lt;&gt;"",HYPERLINK(video!$F$29&amp;"\"&amp;"cam_1_"&amp;$BO64&amp;".avi","Play"),"")</f>
        <v/>
      </c>
      <c r="BQ64" s="48" t="str">
        <f>IF(BO64&lt;&gt;"",HYPERLINK(video!$F$29&amp;"\"&amp;"cam_2_"&amp;$BO64&amp;".avi","Play"),"")</f>
        <v/>
      </c>
      <c r="BR64" s="48" t="str">
        <f>IF(BO64&lt;&gt;"",HYPERLINK(video!$F$29&amp;"\"&amp;"cam_3_"&amp;$BO64&amp;".avi","Play"),"")</f>
        <v/>
      </c>
      <c r="BS64" s="48" t="str">
        <f>IF(BV64&lt;&gt;"",HYPERLINK(video!$F$25&amp;"\"&amp;"cam_4_"&amp;$BV64&amp;".avi","Play"),"")</f>
        <v/>
      </c>
      <c r="BT64" s="48" t="str">
        <f>IF(BV64&lt;&gt;"",HYPERLINK(video!$F$25&amp;"\"&amp;"cam_5_"&amp;$BV64&amp;".avi","Play"),"")</f>
        <v/>
      </c>
      <c r="BU64" s="48" t="str">
        <f>IF(BV64&lt;&gt;"",HYPERLINK(video!$F$25&amp;"\"&amp;"cam_6_"&amp;$BV64&amp;".avi","Play"),"")</f>
        <v/>
      </c>
      <c r="BY64" s="4">
        <f t="shared" si="5"/>
        <v>100.5</v>
      </c>
      <c r="BZ64" s="4">
        <f t="shared" si="6"/>
        <v>246</v>
      </c>
      <c r="CD64" s="5" t="str">
        <f>Lineup!$G$1</f>
        <v>一軍例行賽</v>
      </c>
      <c r="CE64" s="4">
        <f>Lineup!$I$1</f>
        <v>148</v>
      </c>
      <c r="CF64" s="5" t="str">
        <f>Lineup!$G$5</f>
        <v>王俊宏</v>
      </c>
      <c r="CG64" s="5" t="str">
        <f>Lineup!$G$4</f>
        <v>桃園</v>
      </c>
    </row>
    <row r="65" spans="1:85" x14ac:dyDescent="0.3">
      <c r="A65" s="43">
        <v>64</v>
      </c>
      <c r="B65" s="4">
        <v>2</v>
      </c>
      <c r="C65" s="4">
        <v>8</v>
      </c>
      <c r="D65" s="4">
        <v>4</v>
      </c>
      <c r="E65" s="4" t="s">
        <v>621</v>
      </c>
      <c r="F65" s="4" t="s">
        <v>341</v>
      </c>
      <c r="G65" s="4">
        <v>63</v>
      </c>
      <c r="H65" s="4">
        <v>38</v>
      </c>
      <c r="I65" s="4">
        <v>25</v>
      </c>
      <c r="J65" s="4">
        <v>1</v>
      </c>
      <c r="K65" s="4">
        <v>148</v>
      </c>
      <c r="L65" s="4" t="s">
        <v>643</v>
      </c>
      <c r="M65" s="4" t="s">
        <v>571</v>
      </c>
      <c r="N65" s="4" t="s">
        <v>649</v>
      </c>
      <c r="O65" s="4">
        <v>54.75</v>
      </c>
      <c r="P65" s="4">
        <v>106.5</v>
      </c>
      <c r="Q65" s="4" t="s">
        <v>639</v>
      </c>
      <c r="R65" s="5" t="s">
        <v>657</v>
      </c>
      <c r="AB65" s="4" t="s">
        <v>543</v>
      </c>
      <c r="AO65" s="4">
        <v>2</v>
      </c>
      <c r="AP65" s="4">
        <v>2</v>
      </c>
      <c r="AQ65" s="4" t="s">
        <v>655</v>
      </c>
      <c r="AS65">
        <v>1</v>
      </c>
      <c r="AT65">
        <v>2</v>
      </c>
      <c r="AU65" s="33">
        <v>6437.9999999999991</v>
      </c>
      <c r="AV65" s="36" t="s">
        <v>644</v>
      </c>
      <c r="AW65" s="4">
        <v>6432.9999999999955</v>
      </c>
      <c r="AX65" s="4" t="str">
        <f>IFERROR(VLOOKUP(M65,Roster!$D$2:$E$27,2,FALSE),"")</f>
        <v>R</v>
      </c>
      <c r="AY65" s="4" t="str">
        <f t="shared" si="2"/>
        <v>1好2壞</v>
      </c>
      <c r="BI65" s="5" t="str">
        <f>Lineup!$G$2</f>
        <v>20210817</v>
      </c>
      <c r="BJ65" s="4" t="str">
        <f t="shared" si="7"/>
        <v>外角低</v>
      </c>
      <c r="BK65" s="4" t="str">
        <f t="shared" si="4"/>
        <v>1B1O</v>
      </c>
      <c r="BL65" s="4" t="str">
        <f>IFERROR(VLOOKUP('HomeAttackPlay-by-Play'!E65,Roster!$L$2:$M$27,2,FALSE),"")</f>
        <v>R</v>
      </c>
      <c r="BP65" s="48" t="str">
        <f>IF(BO65&lt;&gt;"",HYPERLINK(video!$F$29&amp;"\"&amp;"cam_1_"&amp;$BO65&amp;".avi","Play"),"")</f>
        <v/>
      </c>
      <c r="BQ65" s="48" t="str">
        <f>IF(BO65&lt;&gt;"",HYPERLINK(video!$F$29&amp;"\"&amp;"cam_2_"&amp;$BO65&amp;".avi","Play"),"")</f>
        <v/>
      </c>
      <c r="BR65" s="48" t="str">
        <f>IF(BO65&lt;&gt;"",HYPERLINK(video!$F$29&amp;"\"&amp;"cam_3_"&amp;$BO65&amp;".avi","Play"),"")</f>
        <v/>
      </c>
      <c r="BS65" s="48" t="str">
        <f>IF(BV65&lt;&gt;"",HYPERLINK(video!$F$25&amp;"\"&amp;"cam_4_"&amp;$BV65&amp;".avi","Play"),"")</f>
        <v/>
      </c>
      <c r="BT65" s="48" t="str">
        <f>IF(BV65&lt;&gt;"",HYPERLINK(video!$F$25&amp;"\"&amp;"cam_5_"&amp;$BV65&amp;".avi","Play"),"")</f>
        <v/>
      </c>
      <c r="BU65" s="48" t="str">
        <f>IF(BV65&lt;&gt;"",HYPERLINK(video!$F$25&amp;"\"&amp;"cam_6_"&amp;$BV65&amp;".avi","Play"),"")</f>
        <v/>
      </c>
      <c r="BY65" s="4">
        <f t="shared" si="5"/>
        <v>79.5</v>
      </c>
      <c r="BZ65" s="4">
        <f t="shared" si="6"/>
        <v>246</v>
      </c>
      <c r="CD65" s="5" t="str">
        <f>Lineup!$G$1</f>
        <v>一軍例行賽</v>
      </c>
      <c r="CE65" s="4">
        <f>Lineup!$I$1</f>
        <v>148</v>
      </c>
      <c r="CF65" s="5" t="str">
        <f>Lineup!$G$5</f>
        <v>王俊宏</v>
      </c>
      <c r="CG65" s="5" t="str">
        <f>Lineup!$G$4</f>
        <v>桃園</v>
      </c>
    </row>
    <row r="66" spans="1:85" x14ac:dyDescent="0.3">
      <c r="A66" s="43">
        <v>65</v>
      </c>
      <c r="B66" s="4">
        <v>2</v>
      </c>
      <c r="C66" s="4">
        <v>8</v>
      </c>
      <c r="D66" s="4">
        <v>4</v>
      </c>
      <c r="E66" s="4" t="s">
        <v>621</v>
      </c>
      <c r="F66" s="4" t="s">
        <v>341</v>
      </c>
      <c r="G66" s="4">
        <v>64</v>
      </c>
      <c r="H66" s="4">
        <v>39</v>
      </c>
      <c r="I66" s="4">
        <v>25</v>
      </c>
      <c r="J66" s="4">
        <v>1</v>
      </c>
      <c r="K66" s="4">
        <v>148</v>
      </c>
      <c r="L66" s="4" t="s">
        <v>643</v>
      </c>
      <c r="M66" s="4" t="s">
        <v>571</v>
      </c>
      <c r="N66" s="4" t="s">
        <v>649</v>
      </c>
      <c r="O66" s="4">
        <v>52.5</v>
      </c>
      <c r="P66" s="4">
        <v>68.25</v>
      </c>
      <c r="Q66" s="4" t="s">
        <v>639</v>
      </c>
      <c r="R66" s="5" t="s">
        <v>696</v>
      </c>
      <c r="AB66" s="4" t="s">
        <v>543</v>
      </c>
      <c r="AO66" s="4">
        <v>2</v>
      </c>
      <c r="AP66" s="4">
        <v>2</v>
      </c>
      <c r="AQ66" s="4" t="s">
        <v>655</v>
      </c>
      <c r="AS66">
        <v>2</v>
      </c>
      <c r="AT66">
        <v>2</v>
      </c>
      <c r="AU66" s="33">
        <v>6465.9999999999909</v>
      </c>
      <c r="AV66" s="36" t="s">
        <v>644</v>
      </c>
      <c r="AW66" s="4">
        <v>6461.9999999999936</v>
      </c>
      <c r="AX66" s="4" t="str">
        <f>IFERROR(VLOOKUP(M66,Roster!$D$2:$E$27,2,FALSE),"")</f>
        <v>R</v>
      </c>
      <c r="AY66" s="4" t="str">
        <f t="shared" si="2"/>
        <v>2好2壞</v>
      </c>
      <c r="BI66" s="5" t="str">
        <f>Lineup!$G$2</f>
        <v>20210817</v>
      </c>
      <c r="BJ66" s="4" t="str">
        <f t="shared" si="7"/>
        <v>外角高</v>
      </c>
      <c r="BK66" s="4" t="str">
        <f t="shared" si="4"/>
        <v>1B1O</v>
      </c>
      <c r="BL66" s="4" t="str">
        <f>IFERROR(VLOOKUP('HomeAttackPlay-by-Play'!E66,Roster!$L$2:$M$27,2,FALSE),"")</f>
        <v>R</v>
      </c>
      <c r="BP66" s="48" t="str">
        <f>IF(BO66&lt;&gt;"",HYPERLINK(video!$F$29&amp;"\"&amp;"cam_1_"&amp;$BO66&amp;".avi","Play"),"")</f>
        <v/>
      </c>
      <c r="BQ66" s="48" t="str">
        <f>IF(BO66&lt;&gt;"",HYPERLINK(video!$F$29&amp;"\"&amp;"cam_2_"&amp;$BO66&amp;".avi","Play"),"")</f>
        <v/>
      </c>
      <c r="BR66" s="48" t="str">
        <f>IF(BO66&lt;&gt;"",HYPERLINK(video!$F$29&amp;"\"&amp;"cam_3_"&amp;$BO66&amp;".avi","Play"),"")</f>
        <v/>
      </c>
      <c r="BS66" s="48" t="str">
        <f>IF(BV66&lt;&gt;"",HYPERLINK(video!$F$25&amp;"\"&amp;"cam_4_"&amp;$BV66&amp;".avi","Play"),"")</f>
        <v/>
      </c>
      <c r="BT66" s="48" t="str">
        <f>IF(BV66&lt;&gt;"",HYPERLINK(video!$F$25&amp;"\"&amp;"cam_5_"&amp;$BV66&amp;".avi","Play"),"")</f>
        <v/>
      </c>
      <c r="BU66" s="48" t="str">
        <f>IF(BV66&lt;&gt;"",HYPERLINK(video!$F$25&amp;"\"&amp;"cam_6_"&amp;$BV66&amp;".avi","Play"),"")</f>
        <v/>
      </c>
      <c r="BY66" s="4">
        <f t="shared" si="5"/>
        <v>117.75</v>
      </c>
      <c r="BZ66" s="4">
        <f t="shared" si="6"/>
        <v>246</v>
      </c>
      <c r="CD66" s="5" t="str">
        <f>Lineup!$G$1</f>
        <v>一軍例行賽</v>
      </c>
      <c r="CE66" s="4">
        <f>Lineup!$I$1</f>
        <v>148</v>
      </c>
      <c r="CF66" s="5" t="str">
        <f>Lineup!$G$5</f>
        <v>王俊宏</v>
      </c>
      <c r="CG66" s="5" t="str">
        <f>Lineup!$G$4</f>
        <v>桃園</v>
      </c>
    </row>
    <row r="67" spans="1:85" x14ac:dyDescent="0.3">
      <c r="A67" s="43">
        <v>66</v>
      </c>
      <c r="B67" s="4">
        <v>2</v>
      </c>
      <c r="C67" s="4">
        <v>8</v>
      </c>
      <c r="D67" s="4">
        <v>4</v>
      </c>
      <c r="E67" s="4" t="s">
        <v>621</v>
      </c>
      <c r="F67" s="4" t="s">
        <v>341</v>
      </c>
      <c r="G67" s="4">
        <v>65</v>
      </c>
      <c r="H67" s="4">
        <v>40</v>
      </c>
      <c r="I67" s="4">
        <v>25</v>
      </c>
      <c r="J67" s="4">
        <v>1</v>
      </c>
      <c r="K67" s="4">
        <v>149</v>
      </c>
      <c r="L67" s="4" t="s">
        <v>643</v>
      </c>
      <c r="M67" s="4" t="s">
        <v>571</v>
      </c>
      <c r="N67" s="4" t="s">
        <v>649</v>
      </c>
      <c r="O67" s="4">
        <v>57.75</v>
      </c>
      <c r="P67" s="4">
        <v>84</v>
      </c>
      <c r="Q67" s="4" t="s">
        <v>639</v>
      </c>
      <c r="R67" s="5" t="s">
        <v>656</v>
      </c>
      <c r="S67" s="4">
        <v>146.25</v>
      </c>
      <c r="T67" s="4">
        <v>184.5</v>
      </c>
      <c r="U67" s="4" t="s">
        <v>350</v>
      </c>
      <c r="AB67" s="4" t="s">
        <v>571</v>
      </c>
      <c r="AC67" s="4" t="s">
        <v>543</v>
      </c>
      <c r="AE67" s="4" t="s">
        <v>661</v>
      </c>
      <c r="AF67" s="4" t="s">
        <v>661</v>
      </c>
      <c r="AG67" s="4" t="s">
        <v>661</v>
      </c>
      <c r="AM67" s="4">
        <v>1</v>
      </c>
      <c r="AO67" s="4">
        <v>3</v>
      </c>
      <c r="AP67" s="4">
        <v>2</v>
      </c>
      <c r="AQ67" s="4" t="s">
        <v>683</v>
      </c>
      <c r="AS67">
        <v>2</v>
      </c>
      <c r="AT67">
        <v>2</v>
      </c>
      <c r="AU67" s="33">
        <v>6503.99999999999</v>
      </c>
      <c r="AV67" s="36" t="s">
        <v>644</v>
      </c>
      <c r="AW67" s="4">
        <v>6492.9999999999945</v>
      </c>
      <c r="AX67" s="4" t="str">
        <f>IFERROR(VLOOKUP(M67,Roster!$D$2:$E$27,2,FALSE),"")</f>
        <v>R</v>
      </c>
      <c r="AY67" s="4" t="str">
        <f t="shared" ref="AY67:AY130" si="8">IF(M67=M66,AS67&amp;"好"&amp;AT67&amp;"壞","0好0壞")</f>
        <v>2好2壞</v>
      </c>
      <c r="BI67" s="5" t="str">
        <f>Lineup!$G$2</f>
        <v>20210817</v>
      </c>
      <c r="BJ67" s="4" t="str">
        <f t="shared" si="7"/>
        <v>外角中</v>
      </c>
      <c r="BK67" s="4" t="str">
        <f t="shared" ref="BK67:BK130" si="9">IF(AB66&lt;&gt;"","1","")&amp;IF(AC66&lt;&gt;"","2","")&amp;IF(AD66&lt;&gt;"","3","")&amp;"B"&amp;J66&amp;"O"</f>
        <v>1B1O</v>
      </c>
      <c r="BL67" s="4" t="str">
        <f>IFERROR(VLOOKUP('HomeAttackPlay-by-Play'!E67,Roster!$L$2:$M$27,2,FALSE),"")</f>
        <v>R</v>
      </c>
      <c r="BP67" s="48" t="str">
        <f>IF(BO67&lt;&gt;"",HYPERLINK(video!$F$29&amp;"\"&amp;"cam_1_"&amp;$BO67&amp;".avi","Play"),"")</f>
        <v/>
      </c>
      <c r="BQ67" s="48" t="str">
        <f>IF(BO67&lt;&gt;"",HYPERLINK(video!$F$29&amp;"\"&amp;"cam_2_"&amp;$BO67&amp;".avi","Play"),"")</f>
        <v/>
      </c>
      <c r="BR67" s="48" t="str">
        <f>IF(BO67&lt;&gt;"",HYPERLINK(video!$F$29&amp;"\"&amp;"cam_3_"&amp;$BO67&amp;".avi","Play"),"")</f>
        <v/>
      </c>
      <c r="BS67" s="48" t="str">
        <f>IF(BV67&lt;&gt;"",HYPERLINK(video!$F$25&amp;"\"&amp;"cam_4_"&amp;$BV67&amp;".avi","Play"),"")</f>
        <v/>
      </c>
      <c r="BT67" s="48" t="str">
        <f>IF(BV67&lt;&gt;"",HYPERLINK(video!$F$25&amp;"\"&amp;"cam_5_"&amp;$BV67&amp;".avi","Play"),"")</f>
        <v/>
      </c>
      <c r="BU67" s="48" t="str">
        <f>IF(BV67&lt;&gt;"",HYPERLINK(video!$F$25&amp;"\"&amp;"cam_6_"&amp;$BV67&amp;".avi","Play"),"")</f>
        <v/>
      </c>
      <c r="BY67" s="4">
        <f t="shared" si="5"/>
        <v>102</v>
      </c>
      <c r="BZ67" s="4">
        <f t="shared" si="6"/>
        <v>61.5</v>
      </c>
      <c r="CD67" s="5" t="str">
        <f>Lineup!$G$1</f>
        <v>一軍例行賽</v>
      </c>
      <c r="CE67" s="4">
        <f>Lineup!$I$1</f>
        <v>148</v>
      </c>
      <c r="CF67" s="5" t="str">
        <f>Lineup!$G$5</f>
        <v>王俊宏</v>
      </c>
      <c r="CG67" s="5" t="str">
        <f>Lineup!$G$4</f>
        <v>桃園</v>
      </c>
    </row>
    <row r="68" spans="1:85" x14ac:dyDescent="0.3">
      <c r="A68" s="43">
        <v>67</v>
      </c>
      <c r="B68" s="4">
        <v>2</v>
      </c>
      <c r="C68" s="4">
        <v>8</v>
      </c>
      <c r="D68" s="4">
        <v>4</v>
      </c>
      <c r="E68" s="4" t="s">
        <v>621</v>
      </c>
      <c r="F68" s="4" t="s">
        <v>341</v>
      </c>
      <c r="G68" s="4">
        <v>66</v>
      </c>
      <c r="H68" s="4">
        <v>40</v>
      </c>
      <c r="I68" s="4">
        <v>26</v>
      </c>
      <c r="J68" s="4">
        <v>1</v>
      </c>
      <c r="L68" s="4" t="s">
        <v>643</v>
      </c>
      <c r="M68" s="4" t="s">
        <v>381</v>
      </c>
      <c r="N68" s="4" t="s">
        <v>642</v>
      </c>
      <c r="O68" s="4">
        <v>32.25</v>
      </c>
      <c r="P68" s="4">
        <v>141.75</v>
      </c>
      <c r="Q68" s="4" t="s">
        <v>641</v>
      </c>
      <c r="AB68" s="4" t="s">
        <v>571</v>
      </c>
      <c r="AC68" s="4" t="s">
        <v>543</v>
      </c>
      <c r="AO68" s="4">
        <v>0</v>
      </c>
      <c r="AP68" s="4">
        <v>1</v>
      </c>
      <c r="AQ68" s="4" t="s">
        <v>652</v>
      </c>
      <c r="AS68">
        <v>0</v>
      </c>
      <c r="AT68">
        <v>0</v>
      </c>
      <c r="AU68" s="33">
        <v>6598.0000000000018</v>
      </c>
      <c r="AV68" s="36" t="s">
        <v>644</v>
      </c>
      <c r="AW68" s="4">
        <v>6594.0000000000045</v>
      </c>
      <c r="AX68" s="4" t="str">
        <f>IFERROR(VLOOKUP(M68,Roster!$D$2:$E$27,2,FALSE),"")</f>
        <v>R</v>
      </c>
      <c r="AY68" s="4" t="str">
        <f t="shared" si="8"/>
        <v>0好0壞</v>
      </c>
      <c r="BI68" s="5" t="str">
        <f>Lineup!$G$2</f>
        <v>20210817</v>
      </c>
      <c r="BJ68" s="4" t="str">
        <f t="shared" si="7"/>
        <v>偏外角偏低</v>
      </c>
      <c r="BK68" s="4" t="str">
        <f t="shared" si="9"/>
        <v>12B1O</v>
      </c>
      <c r="BL68" s="4" t="str">
        <f>IFERROR(VLOOKUP('HomeAttackPlay-by-Play'!E68,Roster!$L$2:$M$27,2,FALSE),"")</f>
        <v>R</v>
      </c>
      <c r="BP68" s="48" t="str">
        <f>IF(BO68&lt;&gt;"",HYPERLINK(video!$F$29&amp;"\"&amp;"cam_1_"&amp;$BO68&amp;".avi","Play"),"")</f>
        <v/>
      </c>
      <c r="BQ68" s="48" t="str">
        <f>IF(BO68&lt;&gt;"",HYPERLINK(video!$F$29&amp;"\"&amp;"cam_2_"&amp;$BO68&amp;".avi","Play"),"")</f>
        <v/>
      </c>
      <c r="BR68" s="48" t="str">
        <f>IF(BO68&lt;&gt;"",HYPERLINK(video!$F$29&amp;"\"&amp;"cam_3_"&amp;$BO68&amp;".avi","Play"),"")</f>
        <v/>
      </c>
      <c r="BS68" s="48" t="str">
        <f>IF(BV68&lt;&gt;"",HYPERLINK(video!$F$25&amp;"\"&amp;"cam_4_"&amp;$BV68&amp;".avi","Play"),"")</f>
        <v/>
      </c>
      <c r="BT68" s="48" t="str">
        <f>IF(BV68&lt;&gt;"",HYPERLINK(video!$F$25&amp;"\"&amp;"cam_5_"&amp;$BV68&amp;".avi","Play"),"")</f>
        <v/>
      </c>
      <c r="BU68" s="48" t="str">
        <f>IF(BV68&lt;&gt;"",HYPERLINK(video!$F$25&amp;"\"&amp;"cam_6_"&amp;$BV68&amp;".avi","Play"),"")</f>
        <v/>
      </c>
      <c r="BY68" s="4">
        <f t="shared" si="5"/>
        <v>44.25</v>
      </c>
      <c r="BZ68" s="4">
        <f t="shared" si="6"/>
        <v>246</v>
      </c>
      <c r="CD68" s="5" t="str">
        <f>Lineup!$G$1</f>
        <v>一軍例行賽</v>
      </c>
      <c r="CE68" s="4">
        <f>Lineup!$I$1</f>
        <v>148</v>
      </c>
      <c r="CF68" s="5" t="str">
        <f>Lineup!$G$5</f>
        <v>王俊宏</v>
      </c>
      <c r="CG68" s="5" t="str">
        <f>Lineup!$G$4</f>
        <v>桃園</v>
      </c>
    </row>
    <row r="69" spans="1:85" x14ac:dyDescent="0.3">
      <c r="A69" s="43">
        <v>68</v>
      </c>
      <c r="B69" s="4">
        <v>2</v>
      </c>
      <c r="C69" s="4">
        <v>8</v>
      </c>
      <c r="D69" s="4">
        <v>4</v>
      </c>
      <c r="E69" s="4" t="s">
        <v>621</v>
      </c>
      <c r="F69" s="4" t="s">
        <v>341</v>
      </c>
      <c r="G69" s="4">
        <v>67</v>
      </c>
      <c r="H69" s="4">
        <v>40</v>
      </c>
      <c r="I69" s="4">
        <v>27</v>
      </c>
      <c r="J69" s="4">
        <v>1</v>
      </c>
      <c r="K69" s="4">
        <v>132</v>
      </c>
      <c r="L69" s="4" t="s">
        <v>646</v>
      </c>
      <c r="M69" s="4" t="s">
        <v>381</v>
      </c>
      <c r="N69" s="4" t="s">
        <v>642</v>
      </c>
      <c r="O69" s="4">
        <v>37.5</v>
      </c>
      <c r="P69" s="4">
        <v>144.75</v>
      </c>
      <c r="Q69" s="4" t="s">
        <v>641</v>
      </c>
      <c r="R69" s="5" t="s">
        <v>715</v>
      </c>
      <c r="AC69" s="4" t="s">
        <v>571</v>
      </c>
      <c r="AD69" s="4" t="s">
        <v>543</v>
      </c>
      <c r="AE69" s="4" t="s">
        <v>661</v>
      </c>
      <c r="AF69" s="4" t="s">
        <v>661</v>
      </c>
      <c r="AG69" s="4" t="s">
        <v>661</v>
      </c>
      <c r="AO69" s="4">
        <v>0</v>
      </c>
      <c r="AP69" s="4">
        <v>2</v>
      </c>
      <c r="AQ69" s="4" t="s">
        <v>653</v>
      </c>
      <c r="AS69">
        <v>0</v>
      </c>
      <c r="AT69">
        <v>1</v>
      </c>
      <c r="AU69" s="33">
        <v>6630.9999999999973</v>
      </c>
      <c r="AV69" s="36" t="s">
        <v>644</v>
      </c>
      <c r="AW69" s="4">
        <v>6620.9999999999991</v>
      </c>
      <c r="AX69" s="4" t="str">
        <f>IFERROR(VLOOKUP(M69,Roster!$D$2:$E$27,2,FALSE),"")</f>
        <v>R</v>
      </c>
      <c r="AY69" s="4" t="str">
        <f t="shared" si="8"/>
        <v>0好1壞</v>
      </c>
      <c r="BI69" s="5" t="str">
        <f>Lineup!$G$2</f>
        <v>20210817</v>
      </c>
      <c r="BJ69" s="4" t="str">
        <f t="shared" si="7"/>
        <v>偏外角偏低</v>
      </c>
      <c r="BK69" s="4" t="str">
        <f t="shared" si="9"/>
        <v>12B1O</v>
      </c>
      <c r="BL69" s="4" t="str">
        <f>IFERROR(VLOOKUP('HomeAttackPlay-by-Play'!E69,Roster!$L$2:$M$27,2,FALSE),"")</f>
        <v>R</v>
      </c>
      <c r="BP69" s="48" t="str">
        <f>IF(BO69&lt;&gt;"",HYPERLINK(video!$F$29&amp;"\"&amp;"cam_1_"&amp;$BO69&amp;".avi","Play"),"")</f>
        <v/>
      </c>
      <c r="BQ69" s="48" t="str">
        <f>IF(BO69&lt;&gt;"",HYPERLINK(video!$F$29&amp;"\"&amp;"cam_2_"&amp;$BO69&amp;".avi","Play"),"")</f>
        <v/>
      </c>
      <c r="BR69" s="48" t="str">
        <f>IF(BO69&lt;&gt;"",HYPERLINK(video!$F$29&amp;"\"&amp;"cam_3_"&amp;$BO69&amp;".avi","Play"),"")</f>
        <v/>
      </c>
      <c r="BS69" s="48" t="str">
        <f>IF(BV69&lt;&gt;"",HYPERLINK(video!$F$25&amp;"\"&amp;"cam_4_"&amp;$BV69&amp;".avi","Play"),"")</f>
        <v/>
      </c>
      <c r="BT69" s="48" t="str">
        <f>IF(BV69&lt;&gt;"",HYPERLINK(video!$F$25&amp;"\"&amp;"cam_5_"&amp;$BV69&amp;".avi","Play"),"")</f>
        <v/>
      </c>
      <c r="BU69" s="48" t="str">
        <f>IF(BV69&lt;&gt;"",HYPERLINK(video!$F$25&amp;"\"&amp;"cam_6_"&amp;$BV69&amp;".avi","Play"),"")</f>
        <v/>
      </c>
      <c r="BY69" s="4">
        <f t="shared" si="5"/>
        <v>41.25</v>
      </c>
      <c r="BZ69" s="4">
        <f t="shared" si="6"/>
        <v>246</v>
      </c>
      <c r="CD69" s="5" t="str">
        <f>Lineup!$G$1</f>
        <v>一軍例行賽</v>
      </c>
      <c r="CE69" s="4">
        <f>Lineup!$I$1</f>
        <v>148</v>
      </c>
      <c r="CF69" s="5" t="str">
        <f>Lineup!$G$5</f>
        <v>王俊宏</v>
      </c>
      <c r="CG69" s="5" t="str">
        <f>Lineup!$G$4</f>
        <v>桃園</v>
      </c>
    </row>
    <row r="70" spans="1:85" x14ac:dyDescent="0.3">
      <c r="A70" s="43">
        <v>69</v>
      </c>
      <c r="B70" s="4">
        <v>2</v>
      </c>
      <c r="C70" s="4">
        <v>8</v>
      </c>
      <c r="D70" s="4">
        <v>4</v>
      </c>
      <c r="E70" s="4" t="s">
        <v>621</v>
      </c>
      <c r="F70" s="4" t="s">
        <v>341</v>
      </c>
      <c r="G70" s="4">
        <v>68</v>
      </c>
      <c r="H70" s="4">
        <v>41</v>
      </c>
      <c r="I70" s="4">
        <v>27</v>
      </c>
      <c r="J70" s="4">
        <v>1</v>
      </c>
      <c r="L70" s="4" t="s">
        <v>643</v>
      </c>
      <c r="M70" s="4" t="s">
        <v>381</v>
      </c>
      <c r="N70" s="4" t="s">
        <v>642</v>
      </c>
      <c r="O70" s="4">
        <v>60.75</v>
      </c>
      <c r="P70" s="4">
        <v>80.25</v>
      </c>
      <c r="Q70" s="4" t="s">
        <v>639</v>
      </c>
      <c r="AC70" s="4" t="s">
        <v>571</v>
      </c>
      <c r="AD70" s="4" t="s">
        <v>543</v>
      </c>
      <c r="AO70" s="4">
        <v>1</v>
      </c>
      <c r="AP70" s="4">
        <v>2</v>
      </c>
      <c r="AQ70" s="4" t="s">
        <v>654</v>
      </c>
      <c r="AS70">
        <v>0</v>
      </c>
      <c r="AT70">
        <v>2</v>
      </c>
      <c r="AU70" s="33">
        <v>6671</v>
      </c>
      <c r="AV70" s="36" t="s">
        <v>644</v>
      </c>
      <c r="AW70" s="4">
        <v>6667.99999999999</v>
      </c>
      <c r="AX70" s="4" t="str">
        <f>IFERROR(VLOOKUP(M70,Roster!$D$2:$E$27,2,FALSE),"")</f>
        <v>R</v>
      </c>
      <c r="AY70" s="4" t="str">
        <f t="shared" si="8"/>
        <v>0好2壞</v>
      </c>
      <c r="BI70" s="5" t="str">
        <f>Lineup!$G$2</f>
        <v>20210817</v>
      </c>
      <c r="BJ70" s="4" t="str">
        <f t="shared" si="7"/>
        <v>外角中</v>
      </c>
      <c r="BK70" s="4" t="str">
        <f t="shared" si="9"/>
        <v>23B1O</v>
      </c>
      <c r="BL70" s="4" t="str">
        <f>IFERROR(VLOOKUP('HomeAttackPlay-by-Play'!E70,Roster!$L$2:$M$27,2,FALSE),"")</f>
        <v>R</v>
      </c>
      <c r="BP70" s="48" t="str">
        <f>IF(BO70&lt;&gt;"",HYPERLINK(video!$F$29&amp;"\"&amp;"cam_1_"&amp;$BO70&amp;".avi","Play"),"")</f>
        <v/>
      </c>
      <c r="BQ70" s="48" t="str">
        <f>IF(BO70&lt;&gt;"",HYPERLINK(video!$F$29&amp;"\"&amp;"cam_2_"&amp;$BO70&amp;".avi","Play"),"")</f>
        <v/>
      </c>
      <c r="BR70" s="48" t="str">
        <f>IF(BO70&lt;&gt;"",HYPERLINK(video!$F$29&amp;"\"&amp;"cam_3_"&amp;$BO70&amp;".avi","Play"),"")</f>
        <v/>
      </c>
      <c r="BS70" s="48" t="str">
        <f>IF(BV70&lt;&gt;"",HYPERLINK(video!$F$25&amp;"\"&amp;"cam_4_"&amp;$BV70&amp;".avi","Play"),"")</f>
        <v/>
      </c>
      <c r="BT70" s="48" t="str">
        <f>IF(BV70&lt;&gt;"",HYPERLINK(video!$F$25&amp;"\"&amp;"cam_5_"&amp;$BV70&amp;".avi","Play"),"")</f>
        <v/>
      </c>
      <c r="BU70" s="48" t="str">
        <f>IF(BV70&lt;&gt;"",HYPERLINK(video!$F$25&amp;"\"&amp;"cam_6_"&amp;$BV70&amp;".avi","Play"),"")</f>
        <v/>
      </c>
      <c r="BY70" s="4">
        <f t="shared" si="5"/>
        <v>105.75</v>
      </c>
      <c r="BZ70" s="4">
        <f t="shared" si="6"/>
        <v>246</v>
      </c>
      <c r="CD70" s="5" t="str">
        <f>Lineup!$G$1</f>
        <v>一軍例行賽</v>
      </c>
      <c r="CE70" s="4">
        <f>Lineup!$I$1</f>
        <v>148</v>
      </c>
      <c r="CF70" s="5" t="str">
        <f>Lineup!$G$5</f>
        <v>王俊宏</v>
      </c>
      <c r="CG70" s="5" t="str">
        <f>Lineup!$G$4</f>
        <v>桃園</v>
      </c>
    </row>
    <row r="71" spans="1:85" x14ac:dyDescent="0.3">
      <c r="A71" s="43">
        <v>70</v>
      </c>
      <c r="B71" s="4">
        <v>2</v>
      </c>
      <c r="C71" s="4">
        <v>8</v>
      </c>
      <c r="D71" s="4">
        <v>4</v>
      </c>
      <c r="E71" s="4" t="s">
        <v>621</v>
      </c>
      <c r="F71" s="4" t="s">
        <v>341</v>
      </c>
      <c r="G71" s="4">
        <v>69</v>
      </c>
      <c r="H71" s="4">
        <v>42</v>
      </c>
      <c r="I71" s="4">
        <v>27</v>
      </c>
      <c r="J71" s="4">
        <v>1</v>
      </c>
      <c r="K71" s="4">
        <v>133</v>
      </c>
      <c r="L71" s="4" t="s">
        <v>646</v>
      </c>
      <c r="M71" s="4" t="s">
        <v>381</v>
      </c>
      <c r="N71" s="4" t="s">
        <v>642</v>
      </c>
      <c r="O71" s="4">
        <v>48</v>
      </c>
      <c r="P71" s="4">
        <v>105.75</v>
      </c>
      <c r="Q71" s="4" t="s">
        <v>639</v>
      </c>
      <c r="AC71" s="4" t="s">
        <v>571</v>
      </c>
      <c r="AD71" s="4" t="s">
        <v>543</v>
      </c>
      <c r="AO71" s="4">
        <v>2</v>
      </c>
      <c r="AP71" s="4">
        <v>2</v>
      </c>
      <c r="AQ71" s="4" t="s">
        <v>655</v>
      </c>
      <c r="AS71">
        <v>1</v>
      </c>
      <c r="AT71">
        <v>2</v>
      </c>
      <c r="AU71" s="33">
        <v>6701.0000000000055</v>
      </c>
      <c r="AV71" s="36" t="s">
        <v>644</v>
      </c>
      <c r="AW71" s="4">
        <v>6696.9999999999982</v>
      </c>
      <c r="AX71" s="4" t="str">
        <f>IFERROR(VLOOKUP(M71,Roster!$D$2:$E$27,2,FALSE),"")</f>
        <v>R</v>
      </c>
      <c r="AY71" s="4" t="str">
        <f t="shared" si="8"/>
        <v>1好2壞</v>
      </c>
      <c r="BI71" s="5" t="str">
        <f>Lineup!$G$2</f>
        <v>20210817</v>
      </c>
      <c r="BJ71" s="4" t="str">
        <f t="shared" si="7"/>
        <v>外角低</v>
      </c>
      <c r="BK71" s="4" t="str">
        <f t="shared" si="9"/>
        <v>23B1O</v>
      </c>
      <c r="BL71" s="4" t="str">
        <f>IFERROR(VLOOKUP('HomeAttackPlay-by-Play'!E71,Roster!$L$2:$M$27,2,FALSE),"")</f>
        <v>R</v>
      </c>
      <c r="BP71" s="48" t="str">
        <f>IF(BO71&lt;&gt;"",HYPERLINK(video!$F$29&amp;"\"&amp;"cam_1_"&amp;$BO71&amp;".avi","Play"),"")</f>
        <v/>
      </c>
      <c r="BQ71" s="48" t="str">
        <f>IF(BO71&lt;&gt;"",HYPERLINK(video!$F$29&amp;"\"&amp;"cam_2_"&amp;$BO71&amp;".avi","Play"),"")</f>
        <v/>
      </c>
      <c r="BR71" s="48" t="str">
        <f>IF(BO71&lt;&gt;"",HYPERLINK(video!$F$29&amp;"\"&amp;"cam_3_"&amp;$BO71&amp;".avi","Play"),"")</f>
        <v/>
      </c>
      <c r="BS71" s="48" t="str">
        <f>IF(BV71&lt;&gt;"",HYPERLINK(video!$F$25&amp;"\"&amp;"cam_4_"&amp;$BV71&amp;".avi","Play"),"")</f>
        <v/>
      </c>
      <c r="BT71" s="48" t="str">
        <f>IF(BV71&lt;&gt;"",HYPERLINK(video!$F$25&amp;"\"&amp;"cam_5_"&amp;$BV71&amp;".avi","Play"),"")</f>
        <v/>
      </c>
      <c r="BU71" s="48" t="str">
        <f>IF(BV71&lt;&gt;"",HYPERLINK(video!$F$25&amp;"\"&amp;"cam_6_"&amp;$BV71&amp;".avi","Play"),"")</f>
        <v/>
      </c>
      <c r="BY71" s="4">
        <f t="shared" si="5"/>
        <v>80.25</v>
      </c>
      <c r="BZ71" s="4">
        <f t="shared" si="6"/>
        <v>246</v>
      </c>
      <c r="CD71" s="5" t="str">
        <f>Lineup!$G$1</f>
        <v>一軍例行賽</v>
      </c>
      <c r="CE71" s="4">
        <f>Lineup!$I$1</f>
        <v>148</v>
      </c>
      <c r="CF71" s="5" t="str">
        <f>Lineup!$G$5</f>
        <v>王俊宏</v>
      </c>
      <c r="CG71" s="5" t="str">
        <f>Lineup!$G$4</f>
        <v>桃園</v>
      </c>
    </row>
    <row r="72" spans="1:85" x14ac:dyDescent="0.3">
      <c r="A72" s="43">
        <v>71</v>
      </c>
      <c r="B72" s="4">
        <v>3</v>
      </c>
      <c r="C72" s="4">
        <v>8</v>
      </c>
      <c r="D72" s="4">
        <v>4</v>
      </c>
      <c r="E72" s="4" t="s">
        <v>621</v>
      </c>
      <c r="F72" s="4" t="s">
        <v>341</v>
      </c>
      <c r="G72" s="4">
        <v>70</v>
      </c>
      <c r="H72" s="4">
        <v>43</v>
      </c>
      <c r="I72" s="4">
        <v>27</v>
      </c>
      <c r="J72" s="4">
        <v>1</v>
      </c>
      <c r="K72" s="4">
        <v>131</v>
      </c>
      <c r="L72" s="4" t="s">
        <v>646</v>
      </c>
      <c r="M72" s="4" t="s">
        <v>381</v>
      </c>
      <c r="N72" s="4" t="s">
        <v>649</v>
      </c>
      <c r="O72" s="4">
        <v>59.25</v>
      </c>
      <c r="P72" s="4">
        <v>109.5</v>
      </c>
      <c r="Q72" s="4" t="s">
        <v>639</v>
      </c>
      <c r="R72" s="5" t="s">
        <v>656</v>
      </c>
      <c r="S72" s="4">
        <v>148.5</v>
      </c>
      <c r="T72" s="4">
        <v>172.5</v>
      </c>
      <c r="U72" s="4" t="s">
        <v>350</v>
      </c>
      <c r="AB72" s="4" t="s">
        <v>381</v>
      </c>
      <c r="AD72" s="4" t="s">
        <v>571</v>
      </c>
      <c r="AE72" s="4" t="s">
        <v>722</v>
      </c>
      <c r="AF72" s="4" t="s">
        <v>661</v>
      </c>
      <c r="AG72" s="4" t="s">
        <v>661</v>
      </c>
      <c r="AM72" s="4">
        <v>1</v>
      </c>
      <c r="AO72" s="4">
        <v>3</v>
      </c>
      <c r="AP72" s="4">
        <v>2</v>
      </c>
      <c r="AQ72" s="4" t="s">
        <v>683</v>
      </c>
      <c r="AS72">
        <v>2</v>
      </c>
      <c r="AT72">
        <v>2</v>
      </c>
      <c r="AU72" s="33">
        <v>6734.9999999999973</v>
      </c>
      <c r="AV72" s="36" t="s">
        <v>644</v>
      </c>
      <c r="AW72" s="4">
        <v>6727.0000000000027</v>
      </c>
      <c r="AX72" s="4" t="str">
        <f>IFERROR(VLOOKUP(M72,Roster!$D$2:$E$27,2,FALSE),"")</f>
        <v>R</v>
      </c>
      <c r="AY72" s="4" t="str">
        <f t="shared" si="8"/>
        <v>2好2壞</v>
      </c>
      <c r="BI72" s="5" t="str">
        <f>Lineup!$G$2</f>
        <v>20210817</v>
      </c>
      <c r="BJ72" s="4" t="str">
        <f t="shared" si="7"/>
        <v>外角低</v>
      </c>
      <c r="BK72" s="4" t="str">
        <f t="shared" si="9"/>
        <v>23B1O</v>
      </c>
      <c r="BL72" s="4" t="str">
        <f>IFERROR(VLOOKUP('HomeAttackPlay-by-Play'!E72,Roster!$L$2:$M$27,2,FALSE),"")</f>
        <v>R</v>
      </c>
      <c r="BP72" s="48" t="str">
        <f>IF(BO72&lt;&gt;"",HYPERLINK(video!$F$29&amp;"\"&amp;"cam_1_"&amp;$BO72&amp;".avi","Play"),"")</f>
        <v/>
      </c>
      <c r="BQ72" s="48" t="str">
        <f>IF(BO72&lt;&gt;"",HYPERLINK(video!$F$29&amp;"\"&amp;"cam_2_"&amp;$BO72&amp;".avi","Play"),"")</f>
        <v/>
      </c>
      <c r="BR72" s="48" t="str">
        <f>IF(BO72&lt;&gt;"",HYPERLINK(video!$F$29&amp;"\"&amp;"cam_3_"&amp;$BO72&amp;".avi","Play"),"")</f>
        <v/>
      </c>
      <c r="BS72" s="48" t="str">
        <f>IF(BV72&lt;&gt;"",HYPERLINK(video!$F$25&amp;"\"&amp;"cam_4_"&amp;$BV72&amp;".avi","Play"),"")</f>
        <v/>
      </c>
      <c r="BT72" s="48" t="str">
        <f>IF(BV72&lt;&gt;"",HYPERLINK(video!$F$25&amp;"\"&amp;"cam_5_"&amp;$BV72&amp;".avi","Play"),"")</f>
        <v/>
      </c>
      <c r="BU72" s="48" t="str">
        <f>IF(BV72&lt;&gt;"",HYPERLINK(video!$F$25&amp;"\"&amp;"cam_6_"&amp;$BV72&amp;".avi","Play"),"")</f>
        <v/>
      </c>
      <c r="BY72" s="4">
        <f t="shared" si="5"/>
        <v>76.5</v>
      </c>
      <c r="BZ72" s="4">
        <f t="shared" si="6"/>
        <v>73.5</v>
      </c>
      <c r="CD72" s="5" t="str">
        <f>Lineup!$G$1</f>
        <v>一軍例行賽</v>
      </c>
      <c r="CE72" s="4">
        <f>Lineup!$I$1</f>
        <v>148</v>
      </c>
      <c r="CF72" s="5" t="str">
        <f>Lineup!$G$5</f>
        <v>王俊宏</v>
      </c>
      <c r="CG72" s="5" t="str">
        <f>Lineup!$G$4</f>
        <v>桃園</v>
      </c>
    </row>
    <row r="73" spans="1:85" x14ac:dyDescent="0.3">
      <c r="A73" s="43">
        <v>72</v>
      </c>
      <c r="B73" s="4">
        <v>3</v>
      </c>
      <c r="C73" s="4">
        <v>8</v>
      </c>
      <c r="D73" s="4">
        <v>4</v>
      </c>
      <c r="E73" s="4" t="s">
        <v>462</v>
      </c>
      <c r="F73" s="4" t="s">
        <v>341</v>
      </c>
      <c r="G73" s="4">
        <v>1</v>
      </c>
      <c r="H73" s="4">
        <v>0</v>
      </c>
      <c r="I73" s="4">
        <v>1</v>
      </c>
      <c r="J73" s="4">
        <v>1</v>
      </c>
      <c r="L73" s="4" t="s">
        <v>643</v>
      </c>
      <c r="M73" s="4" t="s">
        <v>588</v>
      </c>
      <c r="N73" s="4" t="s">
        <v>642</v>
      </c>
      <c r="O73" s="4">
        <v>81</v>
      </c>
      <c r="P73" s="4">
        <v>144</v>
      </c>
      <c r="Q73" s="4" t="s">
        <v>641</v>
      </c>
      <c r="AB73" s="4" t="s">
        <v>381</v>
      </c>
      <c r="AD73" s="4" t="s">
        <v>571</v>
      </c>
      <c r="AO73" s="4">
        <v>0</v>
      </c>
      <c r="AP73" s="4">
        <v>1</v>
      </c>
      <c r="AQ73" s="4" t="s">
        <v>652</v>
      </c>
      <c r="AS73">
        <v>0</v>
      </c>
      <c r="AT73">
        <v>0</v>
      </c>
      <c r="AU73" s="33">
        <v>6926.0000000000018</v>
      </c>
      <c r="AV73" s="36" t="s">
        <v>644</v>
      </c>
      <c r="AW73" s="4">
        <v>6924</v>
      </c>
      <c r="AX73" s="4" t="str">
        <f>IFERROR(VLOOKUP(M73,Roster!$D$2:$E$27,2,FALSE),"")</f>
        <v>L</v>
      </c>
      <c r="AY73" s="4" t="str">
        <f t="shared" si="8"/>
        <v>0好0壞</v>
      </c>
      <c r="BI73" s="5" t="str">
        <f>Lineup!$G$2</f>
        <v>20210817</v>
      </c>
      <c r="BJ73" s="4" t="str">
        <f t="shared" si="7"/>
        <v>中偏低</v>
      </c>
      <c r="BK73" s="4" t="str">
        <f t="shared" si="9"/>
        <v>13B1O</v>
      </c>
      <c r="BL73" s="4" t="str">
        <f>IFERROR(VLOOKUP('HomeAttackPlay-by-Play'!E73,Roster!$L$2:$M$27,2,FALSE),"")</f>
        <v>R</v>
      </c>
      <c r="BP73" s="48" t="str">
        <f>IF(BO73&lt;&gt;"",HYPERLINK(video!$F$29&amp;"\"&amp;"cam_1_"&amp;$BO73&amp;".avi","Play"),"")</f>
        <v/>
      </c>
      <c r="BQ73" s="48" t="str">
        <f>IF(BO73&lt;&gt;"",HYPERLINK(video!$F$29&amp;"\"&amp;"cam_2_"&amp;$BO73&amp;".avi","Play"),"")</f>
        <v/>
      </c>
      <c r="BR73" s="48" t="str">
        <f>IF(BO73&lt;&gt;"",HYPERLINK(video!$F$29&amp;"\"&amp;"cam_3_"&amp;$BO73&amp;".avi","Play"),"")</f>
        <v/>
      </c>
      <c r="BS73" s="48" t="str">
        <f>IF(BV73&lt;&gt;"",HYPERLINK(video!$F$25&amp;"\"&amp;"cam_4_"&amp;$BV73&amp;".avi","Play"),"")</f>
        <v/>
      </c>
      <c r="BT73" s="48" t="str">
        <f>IF(BV73&lt;&gt;"",HYPERLINK(video!$F$25&amp;"\"&amp;"cam_5_"&amp;$BV73&amp;".avi","Play"),"")</f>
        <v/>
      </c>
      <c r="BU73" s="48" t="str">
        <f>IF(BV73&lt;&gt;"",HYPERLINK(video!$F$25&amp;"\"&amp;"cam_6_"&amp;$BV73&amp;".avi","Play"),"")</f>
        <v/>
      </c>
      <c r="BY73" s="4">
        <f t="shared" si="5"/>
        <v>42</v>
      </c>
      <c r="BZ73" s="4">
        <f t="shared" si="6"/>
        <v>246</v>
      </c>
      <c r="CD73" s="5" t="str">
        <f>Lineup!$G$1</f>
        <v>一軍例行賽</v>
      </c>
      <c r="CE73" s="4">
        <f>Lineup!$I$1</f>
        <v>148</v>
      </c>
      <c r="CF73" s="5" t="str">
        <f>Lineup!$G$5</f>
        <v>王俊宏</v>
      </c>
      <c r="CG73" s="5" t="str">
        <f>Lineup!$G$4</f>
        <v>桃園</v>
      </c>
    </row>
    <row r="74" spans="1:85" x14ac:dyDescent="0.3">
      <c r="A74" s="43">
        <v>73</v>
      </c>
      <c r="B74" s="4">
        <v>3</v>
      </c>
      <c r="C74" s="4">
        <v>8</v>
      </c>
      <c r="D74" s="4">
        <v>4</v>
      </c>
      <c r="E74" s="4" t="s">
        <v>462</v>
      </c>
      <c r="F74" s="4" t="s">
        <v>341</v>
      </c>
      <c r="G74" s="4">
        <v>1</v>
      </c>
      <c r="H74" s="4">
        <v>0</v>
      </c>
      <c r="I74" s="4">
        <v>1</v>
      </c>
      <c r="J74" s="4">
        <v>2</v>
      </c>
      <c r="L74" s="4" t="s">
        <v>664</v>
      </c>
      <c r="M74" s="4" t="s">
        <v>588</v>
      </c>
      <c r="N74" s="4" t="s">
        <v>642</v>
      </c>
      <c r="R74" s="5" t="s">
        <v>723</v>
      </c>
      <c r="AA74" s="4" t="s">
        <v>723</v>
      </c>
      <c r="AD74" s="4" t="s">
        <v>571</v>
      </c>
      <c r="AE74" s="4" t="s">
        <v>661</v>
      </c>
      <c r="AF74" s="4" t="s">
        <v>661</v>
      </c>
      <c r="AG74" s="4" t="s">
        <v>661</v>
      </c>
      <c r="AI74" s="4" t="s">
        <v>381</v>
      </c>
      <c r="AK74" s="4">
        <v>1</v>
      </c>
      <c r="AO74" s="4">
        <v>0</v>
      </c>
      <c r="AP74" s="4">
        <v>1</v>
      </c>
      <c r="AQ74" s="4" t="s">
        <v>652</v>
      </c>
      <c r="AR74" s="4" t="s">
        <v>680</v>
      </c>
      <c r="AS74">
        <v>0</v>
      </c>
      <c r="AT74">
        <v>1</v>
      </c>
      <c r="AU74" s="33">
        <v>6980.0000000000009</v>
      </c>
      <c r="AV74" s="36" t="s">
        <v>644</v>
      </c>
      <c r="AW74" s="4">
        <v>6961</v>
      </c>
      <c r="AX74" s="4" t="str">
        <f>IFERROR(VLOOKUP(M74,Roster!$D$2:$E$27,2,FALSE),"")</f>
        <v>L</v>
      </c>
      <c r="AY74" s="4" t="str">
        <f t="shared" si="8"/>
        <v>0好1壞</v>
      </c>
      <c r="BI74" s="5" t="str">
        <f>Lineup!$G$2</f>
        <v>20210817</v>
      </c>
      <c r="BJ74" s="4" t="str">
        <f t="shared" si="7"/>
        <v>偏內角偏高</v>
      </c>
      <c r="BK74" s="4" t="str">
        <f t="shared" si="9"/>
        <v>13B1O</v>
      </c>
      <c r="BL74" s="4" t="str">
        <f>IFERROR(VLOOKUP('HomeAttackPlay-by-Play'!E74,Roster!$L$2:$M$27,2,FALSE),"")</f>
        <v>R</v>
      </c>
      <c r="BP74" s="48" t="str">
        <f>IF(BO74&lt;&gt;"",HYPERLINK(video!$F$29&amp;"\"&amp;"cam_1_"&amp;$BO74&amp;".avi","Play"),"")</f>
        <v/>
      </c>
      <c r="BQ74" s="48" t="str">
        <f>IF(BO74&lt;&gt;"",HYPERLINK(video!$F$29&amp;"\"&amp;"cam_2_"&amp;$BO74&amp;".avi","Play"),"")</f>
        <v/>
      </c>
      <c r="BR74" s="48" t="str">
        <f>IF(BO74&lt;&gt;"",HYPERLINK(video!$F$29&amp;"\"&amp;"cam_3_"&amp;$BO74&amp;".avi","Play"),"")</f>
        <v/>
      </c>
      <c r="BS74" s="48" t="str">
        <f>IF(BV74&lt;&gt;"",HYPERLINK(video!$F$25&amp;"\"&amp;"cam_4_"&amp;$BV74&amp;".avi","Play"),"")</f>
        <v/>
      </c>
      <c r="BT74" s="48" t="str">
        <f>IF(BV74&lt;&gt;"",HYPERLINK(video!$F$25&amp;"\"&amp;"cam_5_"&amp;$BV74&amp;".avi","Play"),"")</f>
        <v/>
      </c>
      <c r="BU74" s="48" t="str">
        <f>IF(BV74&lt;&gt;"",HYPERLINK(video!$F$25&amp;"\"&amp;"cam_6_"&amp;$BV74&amp;".avi","Play"),"")</f>
        <v/>
      </c>
      <c r="BY74" s="4">
        <f t="shared" si="5"/>
        <v>186</v>
      </c>
      <c r="BZ74" s="4">
        <f t="shared" si="6"/>
        <v>246</v>
      </c>
      <c r="CD74" s="5" t="str">
        <f>Lineup!$G$1</f>
        <v>一軍例行賽</v>
      </c>
      <c r="CE74" s="4">
        <f>Lineup!$I$1</f>
        <v>148</v>
      </c>
      <c r="CF74" s="5" t="str">
        <f>Lineup!$G$5</f>
        <v>王俊宏</v>
      </c>
      <c r="CG74" s="5" t="str">
        <f>Lineup!$G$4</f>
        <v>桃園</v>
      </c>
    </row>
    <row r="75" spans="1:85" x14ac:dyDescent="0.3">
      <c r="A75" s="43">
        <v>74</v>
      </c>
      <c r="B75" s="4">
        <v>3</v>
      </c>
      <c r="C75" s="4">
        <v>8</v>
      </c>
      <c r="D75" s="4">
        <v>4</v>
      </c>
      <c r="E75" s="4" t="s">
        <v>462</v>
      </c>
      <c r="F75" s="4" t="s">
        <v>341</v>
      </c>
      <c r="G75" s="4">
        <v>2</v>
      </c>
      <c r="H75" s="4">
        <v>0</v>
      </c>
      <c r="I75" s="4">
        <v>2</v>
      </c>
      <c r="J75" s="4">
        <v>2</v>
      </c>
      <c r="K75" s="4">
        <v>132</v>
      </c>
      <c r="L75" s="4" t="s">
        <v>646</v>
      </c>
      <c r="M75" s="4" t="s">
        <v>588</v>
      </c>
      <c r="N75" s="4" t="s">
        <v>642</v>
      </c>
      <c r="O75" s="4">
        <v>81</v>
      </c>
      <c r="P75" s="4">
        <v>159</v>
      </c>
      <c r="Q75" s="4" t="s">
        <v>641</v>
      </c>
      <c r="AD75" s="4" t="s">
        <v>571</v>
      </c>
      <c r="AO75" s="4">
        <v>0</v>
      </c>
      <c r="AP75" s="4">
        <v>2</v>
      </c>
      <c r="AQ75" s="4" t="s">
        <v>653</v>
      </c>
      <c r="AS75">
        <v>0</v>
      </c>
      <c r="AT75">
        <v>1</v>
      </c>
      <c r="AU75" s="33">
        <v>7327.9999999999973</v>
      </c>
      <c r="AV75" s="36" t="s">
        <v>644</v>
      </c>
      <c r="AW75" s="4">
        <v>7324.9999999999973</v>
      </c>
      <c r="AX75" s="4" t="str">
        <f>IFERROR(VLOOKUP(M75,Roster!$D$2:$E$27,2,FALSE),"")</f>
        <v>L</v>
      </c>
      <c r="AY75" s="4" t="str">
        <f t="shared" si="8"/>
        <v>0好1壞</v>
      </c>
      <c r="BI75" s="5" t="str">
        <f>Lineup!$G$2</f>
        <v>20210817</v>
      </c>
      <c r="BJ75" s="4" t="str">
        <f t="shared" si="7"/>
        <v>中偏低</v>
      </c>
      <c r="BK75" s="4" t="str">
        <f t="shared" si="9"/>
        <v>3B2O</v>
      </c>
      <c r="BL75" s="4" t="str">
        <f>IFERROR(VLOOKUP('HomeAttackPlay-by-Play'!E75,Roster!$L$2:$M$27,2,FALSE),"")</f>
        <v>R</v>
      </c>
      <c r="BP75" s="48" t="str">
        <f>IF(BO75&lt;&gt;"",HYPERLINK(video!$F$29&amp;"\"&amp;"cam_1_"&amp;$BO75&amp;".avi","Play"),"")</f>
        <v/>
      </c>
      <c r="BQ75" s="48" t="str">
        <f>IF(BO75&lt;&gt;"",HYPERLINK(video!$F$29&amp;"\"&amp;"cam_2_"&amp;$BO75&amp;".avi","Play"),"")</f>
        <v/>
      </c>
      <c r="BR75" s="48" t="str">
        <f>IF(BO75&lt;&gt;"",HYPERLINK(video!$F$29&amp;"\"&amp;"cam_3_"&amp;$BO75&amp;".avi","Play"),"")</f>
        <v/>
      </c>
      <c r="BS75" s="48" t="str">
        <f>IF(BV75&lt;&gt;"",HYPERLINK(video!$F$25&amp;"\"&amp;"cam_4_"&amp;$BV75&amp;".avi","Play"),"")</f>
        <v/>
      </c>
      <c r="BT75" s="48" t="str">
        <f>IF(BV75&lt;&gt;"",HYPERLINK(video!$F$25&amp;"\"&amp;"cam_5_"&amp;$BV75&amp;".avi","Play"),"")</f>
        <v/>
      </c>
      <c r="BU75" s="48" t="str">
        <f>IF(BV75&lt;&gt;"",HYPERLINK(video!$F$25&amp;"\"&amp;"cam_6_"&amp;$BV75&amp;".avi","Play"),"")</f>
        <v/>
      </c>
      <c r="BY75" s="4">
        <f t="shared" si="5"/>
        <v>27</v>
      </c>
      <c r="BZ75" s="4">
        <f t="shared" si="6"/>
        <v>246</v>
      </c>
      <c r="CD75" s="5" t="str">
        <f>Lineup!$G$1</f>
        <v>一軍例行賽</v>
      </c>
      <c r="CE75" s="4">
        <f>Lineup!$I$1</f>
        <v>148</v>
      </c>
      <c r="CF75" s="5" t="str">
        <f>Lineup!$G$5</f>
        <v>王俊宏</v>
      </c>
      <c r="CG75" s="5" t="str">
        <f>Lineup!$G$4</f>
        <v>桃園</v>
      </c>
    </row>
    <row r="76" spans="1:85" x14ac:dyDescent="0.3">
      <c r="A76" s="43">
        <v>75</v>
      </c>
      <c r="B76" s="4">
        <v>3</v>
      </c>
      <c r="C76" s="4">
        <v>8</v>
      </c>
      <c r="D76" s="4">
        <v>4</v>
      </c>
      <c r="E76" s="4" t="s">
        <v>462</v>
      </c>
      <c r="F76" s="4" t="s">
        <v>341</v>
      </c>
      <c r="G76" s="4">
        <v>3</v>
      </c>
      <c r="H76" s="4">
        <v>1</v>
      </c>
      <c r="I76" s="4">
        <v>2</v>
      </c>
      <c r="J76" s="4">
        <v>2</v>
      </c>
      <c r="K76" s="4">
        <v>139</v>
      </c>
      <c r="L76" s="4" t="s">
        <v>643</v>
      </c>
      <c r="M76" s="4" t="s">
        <v>588</v>
      </c>
      <c r="N76" s="4" t="s">
        <v>642</v>
      </c>
      <c r="O76" s="4">
        <v>63</v>
      </c>
      <c r="P76" s="4">
        <v>108</v>
      </c>
      <c r="Q76" s="4" t="s">
        <v>639</v>
      </c>
      <c r="AD76" s="4" t="s">
        <v>571</v>
      </c>
      <c r="AO76" s="4">
        <v>1</v>
      </c>
      <c r="AP76" s="4">
        <v>2</v>
      </c>
      <c r="AQ76" s="4" t="s">
        <v>654</v>
      </c>
      <c r="AS76">
        <v>0</v>
      </c>
      <c r="AT76">
        <v>2</v>
      </c>
      <c r="AU76" s="33">
        <v>7353.9999999999955</v>
      </c>
      <c r="AV76" s="36" t="s">
        <v>644</v>
      </c>
      <c r="AW76" s="4">
        <v>7350.9999999999945</v>
      </c>
      <c r="AX76" s="4" t="str">
        <f>IFERROR(VLOOKUP(M76,Roster!$D$2:$E$27,2,FALSE),"")</f>
        <v>L</v>
      </c>
      <c r="AY76" s="4" t="str">
        <f t="shared" si="8"/>
        <v>0好2壞</v>
      </c>
      <c r="BI76" s="5" t="str">
        <f>Lineup!$G$2</f>
        <v>20210817</v>
      </c>
      <c r="BJ76" s="4" t="str">
        <f t="shared" si="7"/>
        <v>內角低</v>
      </c>
      <c r="BK76" s="4" t="str">
        <f t="shared" si="9"/>
        <v>3B2O</v>
      </c>
      <c r="BL76" s="4" t="str">
        <f>IFERROR(VLOOKUP('HomeAttackPlay-by-Play'!E76,Roster!$L$2:$M$27,2,FALSE),"")</f>
        <v>R</v>
      </c>
      <c r="BP76" s="48" t="str">
        <f>IF(BO76&lt;&gt;"",HYPERLINK(video!$F$29&amp;"\"&amp;"cam_1_"&amp;$BO76&amp;".avi","Play"),"")</f>
        <v/>
      </c>
      <c r="BQ76" s="48" t="str">
        <f>IF(BO76&lt;&gt;"",HYPERLINK(video!$F$29&amp;"\"&amp;"cam_2_"&amp;$BO76&amp;".avi","Play"),"")</f>
        <v/>
      </c>
      <c r="BR76" s="48" t="str">
        <f>IF(BO76&lt;&gt;"",HYPERLINK(video!$F$29&amp;"\"&amp;"cam_3_"&amp;$BO76&amp;".avi","Play"),"")</f>
        <v/>
      </c>
      <c r="BS76" s="48" t="str">
        <f>IF(BV76&lt;&gt;"",HYPERLINK(video!$F$25&amp;"\"&amp;"cam_4_"&amp;$BV76&amp;".avi","Play"),"")</f>
        <v/>
      </c>
      <c r="BT76" s="48" t="str">
        <f>IF(BV76&lt;&gt;"",HYPERLINK(video!$F$25&amp;"\"&amp;"cam_5_"&amp;$BV76&amp;".avi","Play"),"")</f>
        <v/>
      </c>
      <c r="BU76" s="48" t="str">
        <f>IF(BV76&lt;&gt;"",HYPERLINK(video!$F$25&amp;"\"&amp;"cam_6_"&amp;$BV76&amp;".avi","Play"),"")</f>
        <v/>
      </c>
      <c r="BY76" s="4">
        <f t="shared" si="5"/>
        <v>78</v>
      </c>
      <c r="BZ76" s="4">
        <f t="shared" si="6"/>
        <v>246</v>
      </c>
      <c r="CD76" s="5" t="str">
        <f>Lineup!$G$1</f>
        <v>一軍例行賽</v>
      </c>
      <c r="CE76" s="4">
        <f>Lineup!$I$1</f>
        <v>148</v>
      </c>
      <c r="CF76" s="5" t="str">
        <f>Lineup!$G$5</f>
        <v>王俊宏</v>
      </c>
      <c r="CG76" s="5" t="str">
        <f>Lineup!$G$4</f>
        <v>桃園</v>
      </c>
    </row>
    <row r="77" spans="1:85" x14ac:dyDescent="0.3">
      <c r="A77" s="43">
        <v>76</v>
      </c>
      <c r="B77" s="4">
        <v>3</v>
      </c>
      <c r="C77" s="4">
        <v>8</v>
      </c>
      <c r="D77" s="4">
        <v>4</v>
      </c>
      <c r="E77" s="4" t="s">
        <v>462</v>
      </c>
      <c r="F77" s="4" t="s">
        <v>341</v>
      </c>
      <c r="G77" s="4">
        <v>4</v>
      </c>
      <c r="H77" s="4">
        <v>2</v>
      </c>
      <c r="I77" s="4">
        <v>2</v>
      </c>
      <c r="J77" s="4">
        <v>2</v>
      </c>
      <c r="K77" s="4">
        <v>141</v>
      </c>
      <c r="L77" s="4" t="s">
        <v>643</v>
      </c>
      <c r="M77" s="4" t="s">
        <v>588</v>
      </c>
      <c r="N77" s="4" t="s">
        <v>649</v>
      </c>
      <c r="O77" s="4">
        <v>96.75</v>
      </c>
      <c r="P77" s="4">
        <v>87</v>
      </c>
      <c r="Q77" s="4" t="s">
        <v>639</v>
      </c>
      <c r="R77" s="5" t="s">
        <v>657</v>
      </c>
      <c r="AD77" s="4" t="s">
        <v>571</v>
      </c>
      <c r="AO77" s="4">
        <v>2</v>
      </c>
      <c r="AP77" s="4">
        <v>2</v>
      </c>
      <c r="AQ77" s="4" t="s">
        <v>655</v>
      </c>
      <c r="AS77">
        <v>1</v>
      </c>
      <c r="AT77">
        <v>2</v>
      </c>
      <c r="AU77" s="33">
        <v>7374.9999999999982</v>
      </c>
      <c r="AV77" s="36" t="s">
        <v>644</v>
      </c>
      <c r="AW77" s="4">
        <v>7371.0000000000009</v>
      </c>
      <c r="AX77" s="4" t="str">
        <f>IFERROR(VLOOKUP(M77,Roster!$D$2:$E$27,2,FALSE),"")</f>
        <v>L</v>
      </c>
      <c r="AY77" s="4" t="str">
        <f t="shared" si="8"/>
        <v>1好2壞</v>
      </c>
      <c r="BI77" s="5" t="str">
        <f>Lineup!$G$2</f>
        <v>20210817</v>
      </c>
      <c r="BJ77" s="4" t="str">
        <f t="shared" si="7"/>
        <v>外角中</v>
      </c>
      <c r="BK77" s="4" t="str">
        <f t="shared" si="9"/>
        <v>3B2O</v>
      </c>
      <c r="BL77" s="4" t="str">
        <f>IFERROR(VLOOKUP('HomeAttackPlay-by-Play'!E77,Roster!$L$2:$M$27,2,FALSE),"")</f>
        <v>R</v>
      </c>
      <c r="BP77" s="48" t="str">
        <f>IF(BO77&lt;&gt;"",HYPERLINK(video!$F$29&amp;"\"&amp;"cam_1_"&amp;$BO77&amp;".avi","Play"),"")</f>
        <v/>
      </c>
      <c r="BQ77" s="48" t="str">
        <f>IF(BO77&lt;&gt;"",HYPERLINK(video!$F$29&amp;"\"&amp;"cam_2_"&amp;$BO77&amp;".avi","Play"),"")</f>
        <v/>
      </c>
      <c r="BR77" s="48" t="str">
        <f>IF(BO77&lt;&gt;"",HYPERLINK(video!$F$29&amp;"\"&amp;"cam_3_"&amp;$BO77&amp;".avi","Play"),"")</f>
        <v/>
      </c>
      <c r="BS77" s="48" t="str">
        <f>IF(BV77&lt;&gt;"",HYPERLINK(video!$F$25&amp;"\"&amp;"cam_4_"&amp;$BV77&amp;".avi","Play"),"")</f>
        <v/>
      </c>
      <c r="BT77" s="48" t="str">
        <f>IF(BV77&lt;&gt;"",HYPERLINK(video!$F$25&amp;"\"&amp;"cam_5_"&amp;$BV77&amp;".avi","Play"),"")</f>
        <v/>
      </c>
      <c r="BU77" s="48" t="str">
        <f>IF(BV77&lt;&gt;"",HYPERLINK(video!$F$25&amp;"\"&amp;"cam_6_"&amp;$BV77&amp;".avi","Play"),"")</f>
        <v/>
      </c>
      <c r="BY77" s="4">
        <f t="shared" si="5"/>
        <v>99</v>
      </c>
      <c r="BZ77" s="4">
        <f t="shared" si="6"/>
        <v>246</v>
      </c>
      <c r="CD77" s="5" t="str">
        <f>Lineup!$G$1</f>
        <v>一軍例行賽</v>
      </c>
      <c r="CE77" s="4">
        <f>Lineup!$I$1</f>
        <v>148</v>
      </c>
      <c r="CF77" s="5" t="str">
        <f>Lineup!$G$5</f>
        <v>王俊宏</v>
      </c>
      <c r="CG77" s="5" t="str">
        <f>Lineup!$G$4</f>
        <v>桃園</v>
      </c>
    </row>
    <row r="78" spans="1:85" x14ac:dyDescent="0.3">
      <c r="A78" s="43">
        <v>77</v>
      </c>
      <c r="B78" s="4">
        <v>3</v>
      </c>
      <c r="C78" s="4">
        <v>8</v>
      </c>
      <c r="D78" s="4">
        <v>4</v>
      </c>
      <c r="E78" s="4" t="s">
        <v>462</v>
      </c>
      <c r="F78" s="4" t="s">
        <v>341</v>
      </c>
      <c r="G78" s="4">
        <v>5</v>
      </c>
      <c r="H78" s="4">
        <v>3</v>
      </c>
      <c r="I78" s="4">
        <v>2</v>
      </c>
      <c r="J78" s="4">
        <v>2</v>
      </c>
      <c r="K78" s="4">
        <v>118</v>
      </c>
      <c r="L78" s="4" t="s">
        <v>646</v>
      </c>
      <c r="M78" s="4" t="s">
        <v>588</v>
      </c>
      <c r="N78" s="4" t="s">
        <v>649</v>
      </c>
      <c r="O78" s="4">
        <v>39.75</v>
      </c>
      <c r="P78" s="4">
        <v>135</v>
      </c>
      <c r="Q78" s="4" t="s">
        <v>639</v>
      </c>
      <c r="R78" s="5" t="s">
        <v>696</v>
      </c>
      <c r="AD78" s="4" t="s">
        <v>571</v>
      </c>
      <c r="AO78" s="4">
        <v>2</v>
      </c>
      <c r="AP78" s="4">
        <v>2</v>
      </c>
      <c r="AQ78" s="4" t="s">
        <v>655</v>
      </c>
      <c r="AS78">
        <v>2</v>
      </c>
      <c r="AT78">
        <v>2</v>
      </c>
      <c r="AU78" s="33">
        <v>7400.9999999999964</v>
      </c>
      <c r="AV78" s="36" t="s">
        <v>644</v>
      </c>
      <c r="AW78" s="4">
        <v>7395.9999999999927</v>
      </c>
      <c r="AX78" s="4" t="str">
        <f>IFERROR(VLOOKUP(M78,Roster!$D$2:$E$27,2,FALSE),"")</f>
        <v>L</v>
      </c>
      <c r="AY78" s="4" t="str">
        <f t="shared" si="8"/>
        <v>2好2壞</v>
      </c>
      <c r="BI78" s="5" t="str">
        <f>Lineup!$G$2</f>
        <v>20210817</v>
      </c>
      <c r="BJ78" s="4" t="str">
        <f t="shared" si="7"/>
        <v>偏內角偏低</v>
      </c>
      <c r="BK78" s="4" t="str">
        <f t="shared" si="9"/>
        <v>3B2O</v>
      </c>
      <c r="BL78" s="4" t="str">
        <f>IFERROR(VLOOKUP('HomeAttackPlay-by-Play'!E78,Roster!$L$2:$M$27,2,FALSE),"")</f>
        <v>R</v>
      </c>
      <c r="BP78" s="48" t="str">
        <f>IF(BO78&lt;&gt;"",HYPERLINK(video!$F$29&amp;"\"&amp;"cam_1_"&amp;$BO78&amp;".avi","Play"),"")</f>
        <v/>
      </c>
      <c r="BQ78" s="48" t="str">
        <f>IF(BO78&lt;&gt;"",HYPERLINK(video!$F$29&amp;"\"&amp;"cam_2_"&amp;$BO78&amp;".avi","Play"),"")</f>
        <v/>
      </c>
      <c r="BR78" s="48" t="str">
        <f>IF(BO78&lt;&gt;"",HYPERLINK(video!$F$29&amp;"\"&amp;"cam_3_"&amp;$BO78&amp;".avi","Play"),"")</f>
        <v/>
      </c>
      <c r="BS78" s="48" t="str">
        <f>IF(BV78&lt;&gt;"",HYPERLINK(video!$F$25&amp;"\"&amp;"cam_4_"&amp;$BV78&amp;".avi","Play"),"")</f>
        <v/>
      </c>
      <c r="BT78" s="48" t="str">
        <f>IF(BV78&lt;&gt;"",HYPERLINK(video!$F$25&amp;"\"&amp;"cam_5_"&amp;$BV78&amp;".avi","Play"),"")</f>
        <v/>
      </c>
      <c r="BU78" s="48" t="str">
        <f>IF(BV78&lt;&gt;"",HYPERLINK(video!$F$25&amp;"\"&amp;"cam_6_"&amp;$BV78&amp;".avi","Play"),"")</f>
        <v/>
      </c>
      <c r="BY78" s="4">
        <f t="shared" si="5"/>
        <v>51</v>
      </c>
      <c r="BZ78" s="4">
        <f t="shared" si="6"/>
        <v>246</v>
      </c>
      <c r="CD78" s="5" t="str">
        <f>Lineup!$G$1</f>
        <v>一軍例行賽</v>
      </c>
      <c r="CE78" s="4">
        <f>Lineup!$I$1</f>
        <v>148</v>
      </c>
      <c r="CF78" s="5" t="str">
        <f>Lineup!$G$5</f>
        <v>王俊宏</v>
      </c>
      <c r="CG78" s="5" t="str">
        <f>Lineup!$G$4</f>
        <v>桃園</v>
      </c>
    </row>
    <row r="79" spans="1:85" x14ac:dyDescent="0.3">
      <c r="A79" s="43">
        <v>78</v>
      </c>
      <c r="B79" s="4">
        <v>3</v>
      </c>
      <c r="C79" s="4">
        <v>8</v>
      </c>
      <c r="D79" s="4">
        <v>4</v>
      </c>
      <c r="E79" s="4" t="s">
        <v>462</v>
      </c>
      <c r="F79" s="4" t="s">
        <v>341</v>
      </c>
      <c r="G79" s="4">
        <v>6</v>
      </c>
      <c r="H79" s="4">
        <v>3</v>
      </c>
      <c r="I79" s="4">
        <v>3</v>
      </c>
      <c r="J79" s="4">
        <v>2</v>
      </c>
      <c r="K79" s="4">
        <v>131</v>
      </c>
      <c r="L79" s="4" t="s">
        <v>724</v>
      </c>
      <c r="M79" s="4" t="s">
        <v>588</v>
      </c>
      <c r="N79" s="4" t="s">
        <v>642</v>
      </c>
      <c r="O79" s="4">
        <v>81.75</v>
      </c>
      <c r="P79" s="4">
        <v>150.75</v>
      </c>
      <c r="Q79" s="4" t="s">
        <v>641</v>
      </c>
      <c r="AD79" s="4" t="s">
        <v>571</v>
      </c>
      <c r="AO79" s="4">
        <v>2</v>
      </c>
      <c r="AP79" s="4">
        <v>3</v>
      </c>
      <c r="AQ79" s="4" t="s">
        <v>674</v>
      </c>
      <c r="AS79">
        <v>2</v>
      </c>
      <c r="AT79">
        <v>2</v>
      </c>
      <c r="AU79" s="33">
        <v>7426.0000000000064</v>
      </c>
      <c r="AV79" s="36" t="s">
        <v>644</v>
      </c>
      <c r="AW79" s="4">
        <v>7421.9999999999991</v>
      </c>
      <c r="AX79" s="4" t="str">
        <f>IFERROR(VLOOKUP(M79,Roster!$D$2:$E$27,2,FALSE),"")</f>
        <v>L</v>
      </c>
      <c r="AY79" s="4" t="str">
        <f t="shared" si="8"/>
        <v>2好2壞</v>
      </c>
      <c r="BI79" s="5" t="str">
        <f>Lineup!$G$2</f>
        <v>20210817</v>
      </c>
      <c r="BJ79" s="4" t="str">
        <f t="shared" si="7"/>
        <v>中偏低</v>
      </c>
      <c r="BK79" s="4" t="str">
        <f t="shared" si="9"/>
        <v>3B2O</v>
      </c>
      <c r="BL79" s="4" t="str">
        <f>IFERROR(VLOOKUP('HomeAttackPlay-by-Play'!E79,Roster!$L$2:$M$27,2,FALSE),"")</f>
        <v>R</v>
      </c>
      <c r="BP79" s="48" t="str">
        <f>IF(BO79&lt;&gt;"",HYPERLINK(video!$F$29&amp;"\"&amp;"cam_1_"&amp;$BO79&amp;".avi","Play"),"")</f>
        <v/>
      </c>
      <c r="BQ79" s="48" t="str">
        <f>IF(BO79&lt;&gt;"",HYPERLINK(video!$F$29&amp;"\"&amp;"cam_2_"&amp;$BO79&amp;".avi","Play"),"")</f>
        <v/>
      </c>
      <c r="BR79" s="48" t="str">
        <f>IF(BO79&lt;&gt;"",HYPERLINK(video!$F$29&amp;"\"&amp;"cam_3_"&amp;$BO79&amp;".avi","Play"),"")</f>
        <v/>
      </c>
      <c r="BS79" s="48" t="str">
        <f>IF(BV79&lt;&gt;"",HYPERLINK(video!$F$25&amp;"\"&amp;"cam_4_"&amp;$BV79&amp;".avi","Play"),"")</f>
        <v/>
      </c>
      <c r="BT79" s="48" t="str">
        <f>IF(BV79&lt;&gt;"",HYPERLINK(video!$F$25&amp;"\"&amp;"cam_5_"&amp;$BV79&amp;".avi","Play"),"")</f>
        <v/>
      </c>
      <c r="BU79" s="48" t="str">
        <f>IF(BV79&lt;&gt;"",HYPERLINK(video!$F$25&amp;"\"&amp;"cam_6_"&amp;$BV79&amp;".avi","Play"),"")</f>
        <v/>
      </c>
      <c r="BY79" s="4">
        <f t="shared" si="5"/>
        <v>35.25</v>
      </c>
      <c r="BZ79" s="4">
        <f t="shared" si="6"/>
        <v>246</v>
      </c>
      <c r="CD79" s="5" t="str">
        <f>Lineup!$G$1</f>
        <v>一軍例行賽</v>
      </c>
      <c r="CE79" s="4">
        <f>Lineup!$I$1</f>
        <v>148</v>
      </c>
      <c r="CF79" s="5" t="str">
        <f>Lineup!$G$5</f>
        <v>王俊宏</v>
      </c>
      <c r="CG79" s="5" t="str">
        <f>Lineup!$G$4</f>
        <v>桃園</v>
      </c>
    </row>
    <row r="80" spans="1:85" x14ac:dyDescent="0.3">
      <c r="A80" s="43">
        <v>79</v>
      </c>
      <c r="B80" s="4">
        <v>3</v>
      </c>
      <c r="C80" s="4">
        <v>8</v>
      </c>
      <c r="D80" s="4">
        <v>4</v>
      </c>
      <c r="E80" s="4" t="s">
        <v>462</v>
      </c>
      <c r="F80" s="4" t="s">
        <v>341</v>
      </c>
      <c r="G80" s="4">
        <v>7</v>
      </c>
      <c r="H80" s="4">
        <v>3</v>
      </c>
      <c r="I80" s="4">
        <v>4</v>
      </c>
      <c r="J80" s="4">
        <v>2</v>
      </c>
      <c r="K80" s="4">
        <v>141</v>
      </c>
      <c r="L80" s="4" t="s">
        <v>643</v>
      </c>
      <c r="M80" s="4" t="s">
        <v>588</v>
      </c>
      <c r="N80" s="4" t="s">
        <v>642</v>
      </c>
      <c r="O80" s="4">
        <v>45.75</v>
      </c>
      <c r="P80" s="4">
        <v>144.75</v>
      </c>
      <c r="Q80" s="4" t="s">
        <v>641</v>
      </c>
      <c r="R80" s="5" t="s">
        <v>660</v>
      </c>
      <c r="AB80" s="4" t="s">
        <v>588</v>
      </c>
      <c r="AD80" s="4" t="s">
        <v>571</v>
      </c>
      <c r="AE80" s="4" t="s">
        <v>661</v>
      </c>
      <c r="AF80" s="4" t="s">
        <v>661</v>
      </c>
      <c r="AG80" s="4" t="s">
        <v>661</v>
      </c>
      <c r="AM80" s="4">
        <v>1</v>
      </c>
      <c r="AO80" s="4">
        <v>2</v>
      </c>
      <c r="AP80" s="4">
        <v>4</v>
      </c>
      <c r="AQ80" s="4" t="s">
        <v>725</v>
      </c>
      <c r="AS80">
        <v>2</v>
      </c>
      <c r="AT80">
        <v>3</v>
      </c>
      <c r="AU80" s="33">
        <v>7460.9999999999964</v>
      </c>
      <c r="AV80" s="36" t="s">
        <v>644</v>
      </c>
      <c r="AW80" s="4">
        <v>7453.9999999999982</v>
      </c>
      <c r="AX80" s="4" t="str">
        <f>IFERROR(VLOOKUP(M80,Roster!$D$2:$E$27,2,FALSE),"")</f>
        <v>L</v>
      </c>
      <c r="AY80" s="4" t="str">
        <f t="shared" si="8"/>
        <v>2好3壞</v>
      </c>
      <c r="BI80" s="5" t="str">
        <f>Lineup!$G$2</f>
        <v>20210817</v>
      </c>
      <c r="BJ80" s="4" t="str">
        <f t="shared" si="7"/>
        <v>偏內角偏低</v>
      </c>
      <c r="BK80" s="4" t="str">
        <f t="shared" si="9"/>
        <v>3B2O</v>
      </c>
      <c r="BL80" s="4" t="str">
        <f>IFERROR(VLOOKUP('HomeAttackPlay-by-Play'!E80,Roster!$L$2:$M$27,2,FALSE),"")</f>
        <v>R</v>
      </c>
      <c r="BP80" s="48" t="str">
        <f>IF(BO80&lt;&gt;"",HYPERLINK(video!$F$29&amp;"\"&amp;"cam_1_"&amp;$BO80&amp;".avi","Play"),"")</f>
        <v/>
      </c>
      <c r="BQ80" s="48" t="str">
        <f>IF(BO80&lt;&gt;"",HYPERLINK(video!$F$29&amp;"\"&amp;"cam_2_"&amp;$BO80&amp;".avi","Play"),"")</f>
        <v/>
      </c>
      <c r="BR80" s="48" t="str">
        <f>IF(BO80&lt;&gt;"",HYPERLINK(video!$F$29&amp;"\"&amp;"cam_3_"&amp;$BO80&amp;".avi","Play"),"")</f>
        <v/>
      </c>
      <c r="BS80" s="48" t="str">
        <f>IF(BV80&lt;&gt;"",HYPERLINK(video!$F$25&amp;"\"&amp;"cam_4_"&amp;$BV80&amp;".avi","Play"),"")</f>
        <v/>
      </c>
      <c r="BT80" s="48" t="str">
        <f>IF(BV80&lt;&gt;"",HYPERLINK(video!$F$25&amp;"\"&amp;"cam_5_"&amp;$BV80&amp;".avi","Play"),"")</f>
        <v/>
      </c>
      <c r="BU80" s="48" t="str">
        <f>IF(BV80&lt;&gt;"",HYPERLINK(video!$F$25&amp;"\"&amp;"cam_6_"&amp;$BV80&amp;".avi","Play"),"")</f>
        <v/>
      </c>
      <c r="BY80" s="4">
        <f t="shared" si="5"/>
        <v>41.25</v>
      </c>
      <c r="BZ80" s="4">
        <f t="shared" si="6"/>
        <v>246</v>
      </c>
      <c r="CD80" s="5" t="str">
        <f>Lineup!$G$1</f>
        <v>一軍例行賽</v>
      </c>
      <c r="CE80" s="4">
        <f>Lineup!$I$1</f>
        <v>148</v>
      </c>
      <c r="CF80" s="5" t="str">
        <f>Lineup!$G$5</f>
        <v>王俊宏</v>
      </c>
      <c r="CG80" s="5" t="str">
        <f>Lineup!$G$4</f>
        <v>桃園</v>
      </c>
    </row>
    <row r="81" spans="1:85" x14ac:dyDescent="0.3">
      <c r="A81" s="43">
        <v>80</v>
      </c>
      <c r="B81" s="4">
        <v>3</v>
      </c>
      <c r="C81" s="4">
        <v>8</v>
      </c>
      <c r="D81" s="4">
        <v>4</v>
      </c>
      <c r="E81" s="4" t="s">
        <v>462</v>
      </c>
      <c r="F81" s="4" t="s">
        <v>341</v>
      </c>
      <c r="G81" s="4">
        <v>8</v>
      </c>
      <c r="H81" s="4">
        <v>3</v>
      </c>
      <c r="I81" s="4">
        <v>5</v>
      </c>
      <c r="J81" s="4">
        <v>2</v>
      </c>
      <c r="L81" s="4" t="s">
        <v>689</v>
      </c>
      <c r="M81" s="4" t="s">
        <v>343</v>
      </c>
      <c r="N81" s="4" t="s">
        <v>642</v>
      </c>
      <c r="O81" s="4">
        <v>55.5</v>
      </c>
      <c r="P81" s="4">
        <v>141.75</v>
      </c>
      <c r="Q81" s="4" t="s">
        <v>641</v>
      </c>
      <c r="AB81" s="4" t="s">
        <v>588</v>
      </c>
      <c r="AD81" s="4" t="s">
        <v>571</v>
      </c>
      <c r="AO81" s="4">
        <v>0</v>
      </c>
      <c r="AP81" s="4">
        <v>1</v>
      </c>
      <c r="AQ81" s="4" t="s">
        <v>652</v>
      </c>
      <c r="AS81">
        <v>0</v>
      </c>
      <c r="AT81">
        <v>0</v>
      </c>
      <c r="AU81" s="33">
        <v>7506.0000000000027</v>
      </c>
      <c r="AV81" s="36" t="s">
        <v>644</v>
      </c>
      <c r="AW81" s="4">
        <v>7502.9999999999927</v>
      </c>
      <c r="AX81" s="4" t="str">
        <f>IFERROR(VLOOKUP(M81,Roster!$D$2:$E$27,2,FALSE),"")</f>
        <v>L</v>
      </c>
      <c r="AY81" s="4" t="str">
        <f t="shared" si="8"/>
        <v>0好0壞</v>
      </c>
      <c r="BI81" s="5" t="str">
        <f>Lineup!$G$2</f>
        <v>20210817</v>
      </c>
      <c r="BJ81" s="4" t="str">
        <f t="shared" si="7"/>
        <v>內角偏低</v>
      </c>
      <c r="BK81" s="4" t="str">
        <f t="shared" si="9"/>
        <v>13B2O</v>
      </c>
      <c r="BL81" s="4" t="str">
        <f>IFERROR(VLOOKUP('HomeAttackPlay-by-Play'!E81,Roster!$L$2:$M$27,2,FALSE),"")</f>
        <v>R</v>
      </c>
      <c r="BP81" s="48" t="str">
        <f>IF(BO81&lt;&gt;"",HYPERLINK(video!$F$29&amp;"\"&amp;"cam_1_"&amp;$BO81&amp;".avi","Play"),"")</f>
        <v/>
      </c>
      <c r="BQ81" s="48" t="str">
        <f>IF(BO81&lt;&gt;"",HYPERLINK(video!$F$29&amp;"\"&amp;"cam_2_"&amp;$BO81&amp;".avi","Play"),"")</f>
        <v/>
      </c>
      <c r="BR81" s="48" t="str">
        <f>IF(BO81&lt;&gt;"",HYPERLINK(video!$F$29&amp;"\"&amp;"cam_3_"&amp;$BO81&amp;".avi","Play"),"")</f>
        <v/>
      </c>
      <c r="BS81" s="48" t="str">
        <f>IF(BV81&lt;&gt;"",HYPERLINK(video!$F$25&amp;"\"&amp;"cam_4_"&amp;$BV81&amp;".avi","Play"),"")</f>
        <v/>
      </c>
      <c r="BT81" s="48" t="str">
        <f>IF(BV81&lt;&gt;"",HYPERLINK(video!$F$25&amp;"\"&amp;"cam_5_"&amp;$BV81&amp;".avi","Play"),"")</f>
        <v/>
      </c>
      <c r="BU81" s="48" t="str">
        <f>IF(BV81&lt;&gt;"",HYPERLINK(video!$F$25&amp;"\"&amp;"cam_6_"&amp;$BV81&amp;".avi","Play"),"")</f>
        <v/>
      </c>
      <c r="BY81" s="4">
        <f t="shared" si="5"/>
        <v>44.25</v>
      </c>
      <c r="BZ81" s="4">
        <f t="shared" si="6"/>
        <v>246</v>
      </c>
      <c r="CD81" s="5" t="str">
        <f>Lineup!$G$1</f>
        <v>一軍例行賽</v>
      </c>
      <c r="CE81" s="4">
        <f>Lineup!$I$1</f>
        <v>148</v>
      </c>
      <c r="CF81" s="5" t="str">
        <f>Lineup!$G$5</f>
        <v>王俊宏</v>
      </c>
      <c r="CG81" s="5" t="str">
        <f>Lineup!$G$4</f>
        <v>桃園</v>
      </c>
    </row>
    <row r="82" spans="1:85" x14ac:dyDescent="0.3">
      <c r="A82" s="43">
        <v>81</v>
      </c>
      <c r="B82" s="4">
        <v>3</v>
      </c>
      <c r="C82" s="4">
        <v>8</v>
      </c>
      <c r="D82" s="4">
        <v>4</v>
      </c>
      <c r="E82" s="4" t="s">
        <v>462</v>
      </c>
      <c r="F82" s="4" t="s">
        <v>341</v>
      </c>
      <c r="G82" s="4">
        <v>9</v>
      </c>
      <c r="H82" s="4">
        <v>4</v>
      </c>
      <c r="I82" s="4">
        <v>5</v>
      </c>
      <c r="J82" s="4">
        <v>3</v>
      </c>
      <c r="K82" s="4">
        <v>140</v>
      </c>
      <c r="L82" s="4" t="s">
        <v>643</v>
      </c>
      <c r="M82" s="4" t="s">
        <v>343</v>
      </c>
      <c r="N82" s="4" t="s">
        <v>649</v>
      </c>
      <c r="O82" s="4">
        <v>90.75</v>
      </c>
      <c r="P82" s="4">
        <v>72</v>
      </c>
      <c r="Q82" s="4" t="s">
        <v>639</v>
      </c>
      <c r="R82" s="5" t="s">
        <v>676</v>
      </c>
      <c r="S82" s="4">
        <v>180</v>
      </c>
      <c r="T82" s="4">
        <v>48.75</v>
      </c>
      <c r="U82" s="4" t="s">
        <v>383</v>
      </c>
      <c r="AB82" s="4" t="s">
        <v>588</v>
      </c>
      <c r="AD82" s="4" t="s">
        <v>571</v>
      </c>
      <c r="AE82" s="4" t="s">
        <v>661</v>
      </c>
      <c r="AF82" s="4" t="s">
        <v>661</v>
      </c>
      <c r="AG82" s="4" t="s">
        <v>661</v>
      </c>
      <c r="AJ82" s="4" t="s">
        <v>343</v>
      </c>
      <c r="AK82" s="4">
        <v>1</v>
      </c>
      <c r="AM82" s="4">
        <v>1</v>
      </c>
      <c r="AO82" s="4">
        <v>1</v>
      </c>
      <c r="AP82" s="4">
        <v>1</v>
      </c>
      <c r="AQ82" s="4" t="s">
        <v>645</v>
      </c>
      <c r="AR82" s="4" t="s">
        <v>684</v>
      </c>
      <c r="AS82">
        <v>0</v>
      </c>
      <c r="AT82">
        <v>1</v>
      </c>
      <c r="AU82" s="33">
        <v>7537.9999999999918</v>
      </c>
      <c r="AV82" s="36" t="s">
        <v>644</v>
      </c>
      <c r="AW82" s="4">
        <v>7528.0000000000036</v>
      </c>
      <c r="AX82" s="4" t="str">
        <f>IFERROR(VLOOKUP(M82,Roster!$D$2:$E$27,2,FALSE),"")</f>
        <v>L</v>
      </c>
      <c r="AY82" s="4" t="str">
        <f t="shared" si="8"/>
        <v>0好1壞</v>
      </c>
      <c r="BI82" s="5" t="str">
        <f>Lineup!$G$2</f>
        <v>20210817</v>
      </c>
      <c r="BJ82" s="4" t="str">
        <f t="shared" si="7"/>
        <v>外角高</v>
      </c>
      <c r="BK82" s="4" t="str">
        <f t="shared" si="9"/>
        <v>13B2O</v>
      </c>
      <c r="BL82" s="4" t="str">
        <f>IFERROR(VLOOKUP('HomeAttackPlay-by-Play'!E82,Roster!$L$2:$M$27,2,FALSE),"")</f>
        <v>R</v>
      </c>
      <c r="BP82" s="48" t="str">
        <f>IF(BO82&lt;&gt;"",HYPERLINK(video!$F$29&amp;"\"&amp;"cam_1_"&amp;$BO82&amp;".avi","Play"),"")</f>
        <v/>
      </c>
      <c r="BQ82" s="48" t="str">
        <f>IF(BO82&lt;&gt;"",HYPERLINK(video!$F$29&amp;"\"&amp;"cam_2_"&amp;$BO82&amp;".avi","Play"),"")</f>
        <v/>
      </c>
      <c r="BR82" s="48" t="str">
        <f>IF(BO82&lt;&gt;"",HYPERLINK(video!$F$29&amp;"\"&amp;"cam_3_"&amp;$BO82&amp;".avi","Play"),"")</f>
        <v/>
      </c>
      <c r="BS82" s="48" t="str">
        <f>IF(BV82&lt;&gt;"",HYPERLINK(video!$F$25&amp;"\"&amp;"cam_4_"&amp;$BV82&amp;".avi","Play"),"")</f>
        <v/>
      </c>
      <c r="BT82" s="48" t="str">
        <f>IF(BV82&lt;&gt;"",HYPERLINK(video!$F$25&amp;"\"&amp;"cam_5_"&amp;$BV82&amp;".avi","Play"),"")</f>
        <v/>
      </c>
      <c r="BU82" s="48" t="str">
        <f>IF(BV82&lt;&gt;"",HYPERLINK(video!$F$25&amp;"\"&amp;"cam_6_"&amp;$BV82&amp;".avi","Play"),"")</f>
        <v/>
      </c>
      <c r="BY82" s="4">
        <f t="shared" si="5"/>
        <v>114</v>
      </c>
      <c r="BZ82" s="4">
        <f t="shared" si="6"/>
        <v>197.25</v>
      </c>
      <c r="CD82" s="5" t="str">
        <f>Lineup!$G$1</f>
        <v>一軍例行賽</v>
      </c>
      <c r="CE82" s="4">
        <f>Lineup!$I$1</f>
        <v>148</v>
      </c>
      <c r="CF82" s="5" t="str">
        <f>Lineup!$G$5</f>
        <v>王俊宏</v>
      </c>
      <c r="CG82" s="5" t="str">
        <f>Lineup!$G$4</f>
        <v>桃園</v>
      </c>
    </row>
    <row r="83" spans="1:85" x14ac:dyDescent="0.3">
      <c r="A83" s="43">
        <v>82</v>
      </c>
      <c r="B83" s="4">
        <v>3</v>
      </c>
      <c r="C83" s="4">
        <v>8</v>
      </c>
      <c r="D83" s="4">
        <v>5</v>
      </c>
      <c r="E83" s="4" t="s">
        <v>462</v>
      </c>
      <c r="F83" s="4" t="s">
        <v>341</v>
      </c>
      <c r="G83" s="4">
        <v>10</v>
      </c>
      <c r="H83" s="4">
        <v>5</v>
      </c>
      <c r="I83" s="4">
        <v>5</v>
      </c>
      <c r="J83" s="4">
        <v>0</v>
      </c>
      <c r="K83" s="4">
        <v>111</v>
      </c>
      <c r="L83" s="4" t="s">
        <v>646</v>
      </c>
      <c r="M83" s="4" t="s">
        <v>352</v>
      </c>
      <c r="N83" s="4" t="s">
        <v>642</v>
      </c>
      <c r="O83" s="4">
        <v>87.75</v>
      </c>
      <c r="P83" s="4">
        <v>112.5</v>
      </c>
      <c r="Q83" s="4" t="s">
        <v>639</v>
      </c>
      <c r="AO83" s="4">
        <v>1</v>
      </c>
      <c r="AP83" s="4">
        <v>0</v>
      </c>
      <c r="AQ83" s="4" t="s">
        <v>640</v>
      </c>
      <c r="AS83">
        <v>0</v>
      </c>
      <c r="AT83">
        <v>0</v>
      </c>
      <c r="AU83" s="33">
        <v>8150.9999999999891</v>
      </c>
      <c r="AV83" s="36" t="s">
        <v>644</v>
      </c>
      <c r="AW83" s="4">
        <v>8147.9999999999982</v>
      </c>
      <c r="AX83" s="4" t="str">
        <f>IFERROR(VLOOKUP(M83,Roster!$D$2:$E$27,2,FALSE),"")</f>
        <v>R</v>
      </c>
      <c r="AY83" s="4" t="str">
        <f t="shared" si="8"/>
        <v>0好0壞</v>
      </c>
      <c r="BI83" s="5" t="str">
        <f>Lineup!$G$2</f>
        <v>20210817</v>
      </c>
      <c r="BJ83" s="4" t="str">
        <f t="shared" si="7"/>
        <v>內角低</v>
      </c>
      <c r="BK83" s="4" t="str">
        <f t="shared" si="9"/>
        <v>13B3O</v>
      </c>
      <c r="BL83" s="4" t="str">
        <f>IFERROR(VLOOKUP('HomeAttackPlay-by-Play'!E83,Roster!$L$2:$M$27,2,FALSE),"")</f>
        <v>R</v>
      </c>
      <c r="BP83" s="48" t="str">
        <f>IF(BO83&lt;&gt;"",HYPERLINK(video!$F$29&amp;"\"&amp;"cam_1_"&amp;$BO83&amp;".avi","Play"),"")</f>
        <v/>
      </c>
      <c r="BQ83" s="48" t="str">
        <f>IF(BO83&lt;&gt;"",HYPERLINK(video!$F$29&amp;"\"&amp;"cam_2_"&amp;$BO83&amp;".avi","Play"),"")</f>
        <v/>
      </c>
      <c r="BR83" s="48" t="str">
        <f>IF(BO83&lt;&gt;"",HYPERLINK(video!$F$29&amp;"\"&amp;"cam_3_"&amp;$BO83&amp;".avi","Play"),"")</f>
        <v/>
      </c>
      <c r="BS83" s="48" t="str">
        <f>IF(BV83&lt;&gt;"",HYPERLINK(video!$F$25&amp;"\"&amp;"cam_4_"&amp;$BV83&amp;".avi","Play"),"")</f>
        <v/>
      </c>
      <c r="BT83" s="48" t="str">
        <f>IF(BV83&lt;&gt;"",HYPERLINK(video!$F$25&amp;"\"&amp;"cam_5_"&amp;$BV83&amp;".avi","Play"),"")</f>
        <v/>
      </c>
      <c r="BU83" s="48" t="str">
        <f>IF(BV83&lt;&gt;"",HYPERLINK(video!$F$25&amp;"\"&amp;"cam_6_"&amp;$BV83&amp;".avi","Play"),"")</f>
        <v/>
      </c>
      <c r="BY83" s="4">
        <f t="shared" si="5"/>
        <v>73.5</v>
      </c>
      <c r="BZ83" s="4">
        <f t="shared" si="6"/>
        <v>246</v>
      </c>
      <c r="CD83" s="5" t="str">
        <f>Lineup!$G$1</f>
        <v>一軍例行賽</v>
      </c>
      <c r="CE83" s="4">
        <f>Lineup!$I$1</f>
        <v>148</v>
      </c>
      <c r="CF83" s="5" t="str">
        <f>Lineup!$G$5</f>
        <v>王俊宏</v>
      </c>
      <c r="CG83" s="5" t="str">
        <f>Lineup!$G$4</f>
        <v>桃園</v>
      </c>
    </row>
    <row r="84" spans="1:85" x14ac:dyDescent="0.3">
      <c r="A84" s="43">
        <v>83</v>
      </c>
      <c r="B84" s="4">
        <v>3</v>
      </c>
      <c r="C84" s="4">
        <v>8</v>
      </c>
      <c r="D84" s="4">
        <v>5</v>
      </c>
      <c r="E84" s="4" t="s">
        <v>462</v>
      </c>
      <c r="F84" s="4" t="s">
        <v>341</v>
      </c>
      <c r="G84" s="4">
        <v>11</v>
      </c>
      <c r="H84" s="4">
        <v>5</v>
      </c>
      <c r="I84" s="4">
        <v>6</v>
      </c>
      <c r="J84" s="4">
        <v>0</v>
      </c>
      <c r="K84" s="4">
        <v>119</v>
      </c>
      <c r="L84" s="4" t="s">
        <v>646</v>
      </c>
      <c r="M84" s="4" t="s">
        <v>352</v>
      </c>
      <c r="N84" s="4" t="s">
        <v>642</v>
      </c>
      <c r="O84" s="4">
        <v>38.25</v>
      </c>
      <c r="P84" s="4">
        <v>138.75</v>
      </c>
      <c r="Q84" s="4" t="s">
        <v>641</v>
      </c>
      <c r="AO84" s="4">
        <v>1</v>
      </c>
      <c r="AP84" s="4">
        <v>1</v>
      </c>
      <c r="AQ84" s="4" t="s">
        <v>645</v>
      </c>
      <c r="AS84">
        <v>1</v>
      </c>
      <c r="AT84">
        <v>0</v>
      </c>
      <c r="AU84" s="33">
        <v>8165.0000000000036</v>
      </c>
      <c r="AV84" s="36" t="s">
        <v>644</v>
      </c>
      <c r="AW84" s="4">
        <v>8162.0000000000036</v>
      </c>
      <c r="AX84" s="4" t="str">
        <f>IFERROR(VLOOKUP(M84,Roster!$D$2:$E$27,2,FALSE),"")</f>
        <v>R</v>
      </c>
      <c r="AY84" s="4" t="str">
        <f t="shared" si="8"/>
        <v>1好0壞</v>
      </c>
      <c r="BI84" s="5" t="str">
        <f>Lineup!$G$2</f>
        <v>20210817</v>
      </c>
      <c r="BJ84" s="4" t="str">
        <f t="shared" si="7"/>
        <v>偏外角偏低</v>
      </c>
      <c r="BK84" s="4" t="str">
        <f t="shared" si="9"/>
        <v>B0O</v>
      </c>
      <c r="BL84" s="4" t="str">
        <f>IFERROR(VLOOKUP('HomeAttackPlay-by-Play'!E84,Roster!$L$2:$M$27,2,FALSE),"")</f>
        <v>R</v>
      </c>
      <c r="BP84" s="48" t="str">
        <f>IF(BO84&lt;&gt;"",HYPERLINK(video!$F$29&amp;"\"&amp;"cam_1_"&amp;$BO84&amp;".avi","Play"),"")</f>
        <v/>
      </c>
      <c r="BQ84" s="48" t="str">
        <f>IF(BO84&lt;&gt;"",HYPERLINK(video!$F$29&amp;"\"&amp;"cam_2_"&amp;$BO84&amp;".avi","Play"),"")</f>
        <v/>
      </c>
      <c r="BR84" s="48" t="str">
        <f>IF(BO84&lt;&gt;"",HYPERLINK(video!$F$29&amp;"\"&amp;"cam_3_"&amp;$BO84&amp;".avi","Play"),"")</f>
        <v/>
      </c>
      <c r="BS84" s="48" t="str">
        <f>IF(BV84&lt;&gt;"",HYPERLINK(video!$F$25&amp;"\"&amp;"cam_4_"&amp;$BV84&amp;".avi","Play"),"")</f>
        <v/>
      </c>
      <c r="BT84" s="48" t="str">
        <f>IF(BV84&lt;&gt;"",HYPERLINK(video!$F$25&amp;"\"&amp;"cam_5_"&amp;$BV84&amp;".avi","Play"),"")</f>
        <v/>
      </c>
      <c r="BU84" s="48" t="str">
        <f>IF(BV84&lt;&gt;"",HYPERLINK(video!$F$25&amp;"\"&amp;"cam_6_"&amp;$BV84&amp;".avi","Play"),"")</f>
        <v/>
      </c>
      <c r="BY84" s="4">
        <f t="shared" si="5"/>
        <v>47.25</v>
      </c>
      <c r="BZ84" s="4">
        <f t="shared" si="6"/>
        <v>246</v>
      </c>
      <c r="CD84" s="5" t="str">
        <f>Lineup!$G$1</f>
        <v>一軍例行賽</v>
      </c>
      <c r="CE84" s="4">
        <f>Lineup!$I$1</f>
        <v>148</v>
      </c>
      <c r="CF84" s="5" t="str">
        <f>Lineup!$G$5</f>
        <v>王俊宏</v>
      </c>
      <c r="CG84" s="5" t="str">
        <f>Lineup!$G$4</f>
        <v>桃園</v>
      </c>
    </row>
    <row r="85" spans="1:85" x14ac:dyDescent="0.3">
      <c r="A85" s="43">
        <v>84</v>
      </c>
      <c r="B85" s="4">
        <v>3</v>
      </c>
      <c r="C85" s="4">
        <v>8</v>
      </c>
      <c r="D85" s="4">
        <v>5</v>
      </c>
      <c r="E85" s="4" t="s">
        <v>462</v>
      </c>
      <c r="F85" s="4" t="s">
        <v>341</v>
      </c>
      <c r="G85" s="4">
        <v>12</v>
      </c>
      <c r="H85" s="4">
        <v>5</v>
      </c>
      <c r="I85" s="4">
        <v>7</v>
      </c>
      <c r="J85" s="4">
        <v>0</v>
      </c>
      <c r="L85" s="4" t="s">
        <v>643</v>
      </c>
      <c r="M85" s="4" t="s">
        <v>352</v>
      </c>
      <c r="N85" s="4" t="s">
        <v>642</v>
      </c>
      <c r="O85" s="4">
        <v>110.25</v>
      </c>
      <c r="P85" s="4">
        <v>129.75</v>
      </c>
      <c r="Q85" s="4" t="s">
        <v>641</v>
      </c>
      <c r="AO85" s="4">
        <v>1</v>
      </c>
      <c r="AP85" s="4">
        <v>2</v>
      </c>
      <c r="AQ85" s="4" t="s">
        <v>654</v>
      </c>
      <c r="AS85">
        <v>1</v>
      </c>
      <c r="AT85">
        <v>1</v>
      </c>
      <c r="AU85" s="33">
        <v>8204</v>
      </c>
      <c r="AV85" s="36" t="s">
        <v>644</v>
      </c>
      <c r="AW85" s="4">
        <v>8197</v>
      </c>
      <c r="AX85" s="4" t="str">
        <f>IFERROR(VLOOKUP(M85,Roster!$D$2:$E$27,2,FALSE),"")</f>
        <v>R</v>
      </c>
      <c r="AY85" s="4" t="str">
        <f t="shared" si="8"/>
        <v>1好1壞</v>
      </c>
      <c r="BI85" s="5" t="str">
        <f>Lineup!$G$2</f>
        <v>20210817</v>
      </c>
      <c r="BJ85" s="4" t="str">
        <f t="shared" si="7"/>
        <v>偏內角偏低</v>
      </c>
      <c r="BK85" s="4" t="str">
        <f t="shared" si="9"/>
        <v>B0O</v>
      </c>
      <c r="BL85" s="4" t="str">
        <f>IFERROR(VLOOKUP('HomeAttackPlay-by-Play'!E85,Roster!$L$2:$M$27,2,FALSE),"")</f>
        <v>R</v>
      </c>
      <c r="BP85" s="48" t="str">
        <f>IF(BO85&lt;&gt;"",HYPERLINK(video!$F$29&amp;"\"&amp;"cam_1_"&amp;$BO85&amp;".avi","Play"),"")</f>
        <v/>
      </c>
      <c r="BQ85" s="48" t="str">
        <f>IF(BO85&lt;&gt;"",HYPERLINK(video!$F$29&amp;"\"&amp;"cam_2_"&amp;$BO85&amp;".avi","Play"),"")</f>
        <v/>
      </c>
      <c r="BR85" s="48" t="str">
        <f>IF(BO85&lt;&gt;"",HYPERLINK(video!$F$29&amp;"\"&amp;"cam_3_"&amp;$BO85&amp;".avi","Play"),"")</f>
        <v/>
      </c>
      <c r="BS85" s="48" t="str">
        <f>IF(BV85&lt;&gt;"",HYPERLINK(video!$F$25&amp;"\"&amp;"cam_4_"&amp;$BV85&amp;".avi","Play"),"")</f>
        <v/>
      </c>
      <c r="BT85" s="48" t="str">
        <f>IF(BV85&lt;&gt;"",HYPERLINK(video!$F$25&amp;"\"&amp;"cam_5_"&amp;$BV85&amp;".avi","Play"),"")</f>
        <v/>
      </c>
      <c r="BU85" s="48" t="str">
        <f>IF(BV85&lt;&gt;"",HYPERLINK(video!$F$25&amp;"\"&amp;"cam_6_"&amp;$BV85&amp;".avi","Play"),"")</f>
        <v/>
      </c>
      <c r="BY85" s="4">
        <f t="shared" si="5"/>
        <v>56.25</v>
      </c>
      <c r="BZ85" s="4">
        <f t="shared" si="6"/>
        <v>246</v>
      </c>
      <c r="CD85" s="5" t="str">
        <f>Lineup!$G$1</f>
        <v>一軍例行賽</v>
      </c>
      <c r="CE85" s="4">
        <f>Lineup!$I$1</f>
        <v>148</v>
      </c>
      <c r="CF85" s="5" t="str">
        <f>Lineup!$G$5</f>
        <v>王俊宏</v>
      </c>
      <c r="CG85" s="5" t="str">
        <f>Lineup!$G$4</f>
        <v>桃園</v>
      </c>
    </row>
    <row r="86" spans="1:85" x14ac:dyDescent="0.3">
      <c r="A86" s="43">
        <v>85</v>
      </c>
      <c r="B86" s="4">
        <v>3</v>
      </c>
      <c r="C86" s="4">
        <v>8</v>
      </c>
      <c r="D86" s="4">
        <v>5</v>
      </c>
      <c r="E86" s="4" t="s">
        <v>462</v>
      </c>
      <c r="F86" s="4" t="s">
        <v>341</v>
      </c>
      <c r="G86" s="4">
        <v>13</v>
      </c>
      <c r="H86" s="4">
        <v>6</v>
      </c>
      <c r="I86" s="4">
        <v>7</v>
      </c>
      <c r="J86" s="4">
        <v>0</v>
      </c>
      <c r="K86" s="4">
        <v>137</v>
      </c>
      <c r="L86" s="4" t="s">
        <v>643</v>
      </c>
      <c r="M86" s="4" t="s">
        <v>352</v>
      </c>
      <c r="N86" s="4" t="s">
        <v>649</v>
      </c>
      <c r="O86" s="4">
        <v>98.25</v>
      </c>
      <c r="P86" s="4">
        <v>48.75</v>
      </c>
      <c r="Q86" s="4" t="s">
        <v>109</v>
      </c>
      <c r="R86" s="5" t="s">
        <v>656</v>
      </c>
      <c r="S86" s="4">
        <v>135</v>
      </c>
      <c r="T86" s="4">
        <v>104.25</v>
      </c>
      <c r="U86" s="4" t="s">
        <v>396</v>
      </c>
      <c r="AB86" s="4" t="s">
        <v>352</v>
      </c>
      <c r="AM86" s="4">
        <v>1</v>
      </c>
      <c r="AO86" s="4">
        <v>2</v>
      </c>
      <c r="AP86" s="4">
        <v>2</v>
      </c>
      <c r="AQ86" s="4" t="s">
        <v>655</v>
      </c>
      <c r="AS86">
        <v>1</v>
      </c>
      <c r="AT86">
        <v>2</v>
      </c>
      <c r="AU86" s="33">
        <v>8222.0000000000036</v>
      </c>
      <c r="AV86" s="36" t="s">
        <v>644</v>
      </c>
      <c r="AW86" s="4">
        <v>8211.9999999999945</v>
      </c>
      <c r="AX86" s="4" t="str">
        <f>IFERROR(VLOOKUP(M86,Roster!$D$2:$E$27,2,FALSE),"")</f>
        <v>R</v>
      </c>
      <c r="AY86" s="4" t="str">
        <f t="shared" si="8"/>
        <v>1好2壞</v>
      </c>
      <c r="BI86" s="5" t="str">
        <f>Lineup!$G$2</f>
        <v>20210817</v>
      </c>
      <c r="BJ86" s="4" t="str">
        <f t="shared" si="7"/>
        <v>內角偏高</v>
      </c>
      <c r="BK86" s="4" t="str">
        <f t="shared" si="9"/>
        <v>B0O</v>
      </c>
      <c r="BL86" s="4" t="str">
        <f>IFERROR(VLOOKUP('HomeAttackPlay-by-Play'!E86,Roster!$L$2:$M$27,2,FALSE),"")</f>
        <v>R</v>
      </c>
      <c r="BP86" s="48" t="str">
        <f>IF(BO86&lt;&gt;"",HYPERLINK(video!$F$29&amp;"\"&amp;"cam_1_"&amp;$BO86&amp;".avi","Play"),"")</f>
        <v/>
      </c>
      <c r="BQ86" s="48" t="str">
        <f>IF(BO86&lt;&gt;"",HYPERLINK(video!$F$29&amp;"\"&amp;"cam_2_"&amp;$BO86&amp;".avi","Play"),"")</f>
        <v/>
      </c>
      <c r="BR86" s="48" t="str">
        <f>IF(BO86&lt;&gt;"",HYPERLINK(video!$F$29&amp;"\"&amp;"cam_3_"&amp;$BO86&amp;".avi","Play"),"")</f>
        <v/>
      </c>
      <c r="BS86" s="48" t="str">
        <f>IF(BV86&lt;&gt;"",HYPERLINK(video!$F$25&amp;"\"&amp;"cam_4_"&amp;$BV86&amp;".avi","Play"),"")</f>
        <v/>
      </c>
      <c r="BT86" s="48" t="str">
        <f>IF(BV86&lt;&gt;"",HYPERLINK(video!$F$25&amp;"\"&amp;"cam_5_"&amp;$BV86&amp;".avi","Play"),"")</f>
        <v/>
      </c>
      <c r="BU86" s="48" t="str">
        <f>IF(BV86&lt;&gt;"",HYPERLINK(video!$F$25&amp;"\"&amp;"cam_6_"&amp;$BV86&amp;".avi","Play"),"")</f>
        <v/>
      </c>
      <c r="BY86" s="4">
        <f t="shared" si="5"/>
        <v>137.25</v>
      </c>
      <c r="BZ86" s="4">
        <f t="shared" si="6"/>
        <v>141.75</v>
      </c>
      <c r="CD86" s="5" t="str">
        <f>Lineup!$G$1</f>
        <v>一軍例行賽</v>
      </c>
      <c r="CE86" s="4">
        <f>Lineup!$I$1</f>
        <v>148</v>
      </c>
      <c r="CF86" s="5" t="str">
        <f>Lineup!$G$5</f>
        <v>王俊宏</v>
      </c>
      <c r="CG86" s="5" t="str">
        <f>Lineup!$G$4</f>
        <v>桃園</v>
      </c>
    </row>
    <row r="87" spans="1:85" x14ac:dyDescent="0.3">
      <c r="A87" s="43">
        <v>86</v>
      </c>
      <c r="B87" s="4">
        <v>3</v>
      </c>
      <c r="C87" s="4">
        <v>8</v>
      </c>
      <c r="D87" s="4">
        <v>5</v>
      </c>
      <c r="E87" s="4" t="s">
        <v>462</v>
      </c>
      <c r="F87" s="4" t="s">
        <v>341</v>
      </c>
      <c r="G87" s="4">
        <v>14</v>
      </c>
      <c r="H87" s="4">
        <v>7</v>
      </c>
      <c r="I87" s="4">
        <v>7</v>
      </c>
      <c r="J87" s="4">
        <v>0</v>
      </c>
      <c r="L87" s="4" t="s">
        <v>643</v>
      </c>
      <c r="M87" s="4" t="s">
        <v>355</v>
      </c>
      <c r="N87" s="4" t="s">
        <v>642</v>
      </c>
      <c r="O87" s="4">
        <v>53.25</v>
      </c>
      <c r="P87" s="4">
        <v>67.5</v>
      </c>
      <c r="Q87" s="4" t="s">
        <v>639</v>
      </c>
      <c r="AB87" s="4" t="s">
        <v>352</v>
      </c>
      <c r="AO87" s="4">
        <v>1</v>
      </c>
      <c r="AP87" s="4">
        <v>0</v>
      </c>
      <c r="AQ87" s="4" t="s">
        <v>640</v>
      </c>
      <c r="AS87">
        <v>0</v>
      </c>
      <c r="AT87">
        <v>0</v>
      </c>
      <c r="AU87" s="33">
        <v>8268.9999999999945</v>
      </c>
      <c r="AV87" s="36" t="s">
        <v>644</v>
      </c>
      <c r="AW87" s="4">
        <v>8265.9999999999945</v>
      </c>
      <c r="AX87" s="4" t="str">
        <f>IFERROR(VLOOKUP(M87,Roster!$D$2:$E$27,2,FALSE),"")</f>
        <v>L</v>
      </c>
      <c r="AY87" s="4" t="str">
        <f t="shared" si="8"/>
        <v>0好0壞</v>
      </c>
      <c r="BI87" s="5" t="str">
        <f>Lineup!$G$2</f>
        <v>20210817</v>
      </c>
      <c r="BJ87" s="4" t="str">
        <f t="shared" si="7"/>
        <v>內角高</v>
      </c>
      <c r="BK87" s="4" t="str">
        <f t="shared" si="9"/>
        <v>1B0O</v>
      </c>
      <c r="BL87" s="4" t="str">
        <f>IFERROR(VLOOKUP('HomeAttackPlay-by-Play'!E87,Roster!$L$2:$M$27,2,FALSE),"")</f>
        <v>R</v>
      </c>
      <c r="BP87" s="48" t="str">
        <f>IF(BO87&lt;&gt;"",HYPERLINK(video!$F$29&amp;"\"&amp;"cam_1_"&amp;$BO87&amp;".avi","Play"),"")</f>
        <v/>
      </c>
      <c r="BQ87" s="48" t="str">
        <f>IF(BO87&lt;&gt;"",HYPERLINK(video!$F$29&amp;"\"&amp;"cam_2_"&amp;$BO87&amp;".avi","Play"),"")</f>
        <v/>
      </c>
      <c r="BR87" s="48" t="str">
        <f>IF(BO87&lt;&gt;"",HYPERLINK(video!$F$29&amp;"\"&amp;"cam_3_"&amp;$BO87&amp;".avi","Play"),"")</f>
        <v/>
      </c>
      <c r="BS87" s="48" t="str">
        <f>IF(BV87&lt;&gt;"",HYPERLINK(video!$F$25&amp;"\"&amp;"cam_4_"&amp;$BV87&amp;".avi","Play"),"")</f>
        <v/>
      </c>
      <c r="BT87" s="48" t="str">
        <f>IF(BV87&lt;&gt;"",HYPERLINK(video!$F$25&amp;"\"&amp;"cam_5_"&amp;$BV87&amp;".avi","Play"),"")</f>
        <v/>
      </c>
      <c r="BU87" s="48" t="str">
        <f>IF(BV87&lt;&gt;"",HYPERLINK(video!$F$25&amp;"\"&amp;"cam_6_"&amp;$BV87&amp;".avi","Play"),"")</f>
        <v/>
      </c>
      <c r="BY87" s="4">
        <f t="shared" si="5"/>
        <v>118.5</v>
      </c>
      <c r="BZ87" s="4">
        <f t="shared" si="6"/>
        <v>246</v>
      </c>
      <c r="CD87" s="5" t="str">
        <f>Lineup!$G$1</f>
        <v>一軍例行賽</v>
      </c>
      <c r="CE87" s="4">
        <f>Lineup!$I$1</f>
        <v>148</v>
      </c>
      <c r="CF87" s="5" t="str">
        <f>Lineup!$G$5</f>
        <v>王俊宏</v>
      </c>
      <c r="CG87" s="5" t="str">
        <f>Lineup!$G$4</f>
        <v>桃園</v>
      </c>
    </row>
    <row r="88" spans="1:85" x14ac:dyDescent="0.3">
      <c r="A88" s="43">
        <v>87</v>
      </c>
      <c r="B88" s="4">
        <v>3</v>
      </c>
      <c r="C88" s="4">
        <v>8</v>
      </c>
      <c r="D88" s="4">
        <v>5</v>
      </c>
      <c r="E88" s="4" t="s">
        <v>462</v>
      </c>
      <c r="F88" s="4" t="s">
        <v>341</v>
      </c>
      <c r="G88" s="4">
        <v>15</v>
      </c>
      <c r="H88" s="4">
        <v>7</v>
      </c>
      <c r="I88" s="4">
        <v>8</v>
      </c>
      <c r="J88" s="4">
        <v>0</v>
      </c>
      <c r="K88" s="4">
        <v>140</v>
      </c>
      <c r="L88" s="4" t="s">
        <v>643</v>
      </c>
      <c r="M88" s="4" t="s">
        <v>355</v>
      </c>
      <c r="N88" s="4" t="s">
        <v>642</v>
      </c>
      <c r="O88" s="4">
        <v>33.75</v>
      </c>
      <c r="P88" s="4">
        <v>134.25</v>
      </c>
      <c r="Q88" s="4" t="s">
        <v>641</v>
      </c>
      <c r="AB88" s="4" t="s">
        <v>352</v>
      </c>
      <c r="AO88" s="4">
        <v>1</v>
      </c>
      <c r="AP88" s="4">
        <v>1</v>
      </c>
      <c r="AQ88" s="4" t="s">
        <v>645</v>
      </c>
      <c r="AS88">
        <v>1</v>
      </c>
      <c r="AT88">
        <v>0</v>
      </c>
      <c r="AU88" s="33">
        <v>8291.0000000000036</v>
      </c>
      <c r="AV88" s="36" t="s">
        <v>644</v>
      </c>
      <c r="AW88" s="4">
        <v>8286.9999999999964</v>
      </c>
      <c r="AX88" s="4" t="str">
        <f>IFERROR(VLOOKUP(M88,Roster!$D$2:$E$27,2,FALSE),"")</f>
        <v>L</v>
      </c>
      <c r="AY88" s="4" t="str">
        <f t="shared" si="8"/>
        <v>1好0壞</v>
      </c>
      <c r="BI88" s="5" t="str">
        <f>Lineup!$G$2</f>
        <v>20210817</v>
      </c>
      <c r="BJ88" s="4" t="str">
        <f t="shared" si="7"/>
        <v>偏內角偏低</v>
      </c>
      <c r="BK88" s="4" t="str">
        <f t="shared" si="9"/>
        <v>1B0O</v>
      </c>
      <c r="BL88" s="4" t="str">
        <f>IFERROR(VLOOKUP('HomeAttackPlay-by-Play'!E88,Roster!$L$2:$M$27,2,FALSE),"")</f>
        <v>R</v>
      </c>
      <c r="BP88" s="48" t="str">
        <f>IF(BO88&lt;&gt;"",HYPERLINK(video!$F$29&amp;"\"&amp;"cam_1_"&amp;$BO88&amp;".avi","Play"),"")</f>
        <v/>
      </c>
      <c r="BQ88" s="48" t="str">
        <f>IF(BO88&lt;&gt;"",HYPERLINK(video!$F$29&amp;"\"&amp;"cam_2_"&amp;$BO88&amp;".avi","Play"),"")</f>
        <v/>
      </c>
      <c r="BR88" s="48" t="str">
        <f>IF(BO88&lt;&gt;"",HYPERLINK(video!$F$29&amp;"\"&amp;"cam_3_"&amp;$BO88&amp;".avi","Play"),"")</f>
        <v/>
      </c>
      <c r="BS88" s="48" t="str">
        <f>IF(BV88&lt;&gt;"",HYPERLINK(video!$F$25&amp;"\"&amp;"cam_4_"&amp;$BV88&amp;".avi","Play"),"")</f>
        <v/>
      </c>
      <c r="BT88" s="48" t="str">
        <f>IF(BV88&lt;&gt;"",HYPERLINK(video!$F$25&amp;"\"&amp;"cam_5_"&amp;$BV88&amp;".avi","Play"),"")</f>
        <v/>
      </c>
      <c r="BU88" s="48" t="str">
        <f>IF(BV88&lt;&gt;"",HYPERLINK(video!$F$25&amp;"\"&amp;"cam_6_"&amp;$BV88&amp;".avi","Play"),"")</f>
        <v/>
      </c>
      <c r="BY88" s="4">
        <f t="shared" si="5"/>
        <v>51.75</v>
      </c>
      <c r="BZ88" s="4">
        <f t="shared" si="6"/>
        <v>246</v>
      </c>
      <c r="CD88" s="5" t="str">
        <f>Lineup!$G$1</f>
        <v>一軍例行賽</v>
      </c>
      <c r="CE88" s="4">
        <f>Lineup!$I$1</f>
        <v>148</v>
      </c>
      <c r="CF88" s="5" t="str">
        <f>Lineup!$G$5</f>
        <v>王俊宏</v>
      </c>
      <c r="CG88" s="5" t="str">
        <f>Lineup!$G$4</f>
        <v>桃園</v>
      </c>
    </row>
    <row r="89" spans="1:85" x14ac:dyDescent="0.3">
      <c r="A89" s="43">
        <v>88</v>
      </c>
      <c r="B89" s="4">
        <v>3</v>
      </c>
      <c r="C89" s="4">
        <v>8</v>
      </c>
      <c r="D89" s="4">
        <v>5</v>
      </c>
      <c r="E89" s="4" t="s">
        <v>462</v>
      </c>
      <c r="F89" s="4" t="s">
        <v>341</v>
      </c>
      <c r="G89" s="4">
        <v>16</v>
      </c>
      <c r="H89" s="4">
        <v>7</v>
      </c>
      <c r="I89" s="4">
        <v>9</v>
      </c>
      <c r="J89" s="4">
        <v>0</v>
      </c>
      <c r="K89" s="4">
        <v>130</v>
      </c>
      <c r="L89" s="4" t="s">
        <v>665</v>
      </c>
      <c r="M89" s="4" t="s">
        <v>355</v>
      </c>
      <c r="N89" s="4" t="s">
        <v>642</v>
      </c>
      <c r="O89" s="4">
        <v>124.5</v>
      </c>
      <c r="P89" s="4">
        <v>78</v>
      </c>
      <c r="Q89" s="4" t="s">
        <v>641</v>
      </c>
      <c r="AB89" s="4" t="s">
        <v>352</v>
      </c>
      <c r="AO89" s="4">
        <v>1</v>
      </c>
      <c r="AP89" s="4">
        <v>2</v>
      </c>
      <c r="AQ89" s="4" t="s">
        <v>654</v>
      </c>
      <c r="AS89">
        <v>1</v>
      </c>
      <c r="AT89">
        <v>1</v>
      </c>
      <c r="AU89" s="33">
        <v>8314.9999999999891</v>
      </c>
      <c r="AV89" s="36" t="s">
        <v>644</v>
      </c>
      <c r="AW89" s="4">
        <v>8311.0000000000018</v>
      </c>
      <c r="AX89" s="4" t="str">
        <f>IFERROR(VLOOKUP(M89,Roster!$D$2:$E$27,2,FALSE),"")</f>
        <v>L</v>
      </c>
      <c r="AY89" s="4" t="str">
        <f t="shared" si="8"/>
        <v>1好1壞</v>
      </c>
      <c r="BI89" s="5" t="str">
        <f>Lineup!$G$2</f>
        <v>20210817</v>
      </c>
      <c r="BJ89" s="4" t="str">
        <f t="shared" si="7"/>
        <v>偏外角高</v>
      </c>
      <c r="BK89" s="4" t="str">
        <f t="shared" si="9"/>
        <v>1B0O</v>
      </c>
      <c r="BL89" s="4" t="str">
        <f>IFERROR(VLOOKUP('HomeAttackPlay-by-Play'!E89,Roster!$L$2:$M$27,2,FALSE),"")</f>
        <v>R</v>
      </c>
      <c r="BP89" s="48" t="str">
        <f>IF(BO89&lt;&gt;"",HYPERLINK(video!$F$29&amp;"\"&amp;"cam_1_"&amp;$BO89&amp;".avi","Play"),"")</f>
        <v/>
      </c>
      <c r="BQ89" s="48" t="str">
        <f>IF(BO89&lt;&gt;"",HYPERLINK(video!$F$29&amp;"\"&amp;"cam_2_"&amp;$BO89&amp;".avi","Play"),"")</f>
        <v/>
      </c>
      <c r="BR89" s="48" t="str">
        <f>IF(BO89&lt;&gt;"",HYPERLINK(video!$F$29&amp;"\"&amp;"cam_3_"&amp;$BO89&amp;".avi","Play"),"")</f>
        <v/>
      </c>
      <c r="BS89" s="48" t="str">
        <f>IF(BV89&lt;&gt;"",HYPERLINK(video!$F$25&amp;"\"&amp;"cam_4_"&amp;$BV89&amp;".avi","Play"),"")</f>
        <v/>
      </c>
      <c r="BT89" s="48" t="str">
        <f>IF(BV89&lt;&gt;"",HYPERLINK(video!$F$25&amp;"\"&amp;"cam_5_"&amp;$BV89&amp;".avi","Play"),"")</f>
        <v/>
      </c>
      <c r="BU89" s="48" t="str">
        <f>IF(BV89&lt;&gt;"",HYPERLINK(video!$F$25&amp;"\"&amp;"cam_6_"&amp;$BV89&amp;".avi","Play"),"")</f>
        <v/>
      </c>
      <c r="BY89" s="4">
        <f t="shared" si="5"/>
        <v>108</v>
      </c>
      <c r="BZ89" s="4">
        <f t="shared" si="6"/>
        <v>246</v>
      </c>
      <c r="CD89" s="5" t="str">
        <f>Lineup!$G$1</f>
        <v>一軍例行賽</v>
      </c>
      <c r="CE89" s="4">
        <f>Lineup!$I$1</f>
        <v>148</v>
      </c>
      <c r="CF89" s="5" t="str">
        <f>Lineup!$G$5</f>
        <v>王俊宏</v>
      </c>
      <c r="CG89" s="5" t="str">
        <f>Lineup!$G$4</f>
        <v>桃園</v>
      </c>
    </row>
    <row r="90" spans="1:85" x14ac:dyDescent="0.3">
      <c r="A90" s="43">
        <v>89</v>
      </c>
      <c r="B90" s="4">
        <v>3</v>
      </c>
      <c r="C90" s="4">
        <v>8</v>
      </c>
      <c r="D90" s="4">
        <v>5</v>
      </c>
      <c r="E90" s="4" t="s">
        <v>462</v>
      </c>
      <c r="F90" s="4" t="s">
        <v>341</v>
      </c>
      <c r="G90" s="4">
        <v>17</v>
      </c>
      <c r="H90" s="4">
        <v>8</v>
      </c>
      <c r="I90" s="4">
        <v>9</v>
      </c>
      <c r="J90" s="4">
        <v>1</v>
      </c>
      <c r="K90" s="4">
        <v>139</v>
      </c>
      <c r="L90" s="4" t="s">
        <v>643</v>
      </c>
      <c r="M90" s="4" t="s">
        <v>355</v>
      </c>
      <c r="N90" s="4" t="s">
        <v>649</v>
      </c>
      <c r="O90" s="4">
        <v>81.75</v>
      </c>
      <c r="P90" s="4">
        <v>114.75</v>
      </c>
      <c r="Q90" s="4" t="s">
        <v>109</v>
      </c>
      <c r="R90" s="5" t="s">
        <v>676</v>
      </c>
      <c r="S90" s="4">
        <v>203.25</v>
      </c>
      <c r="T90" s="4">
        <v>57</v>
      </c>
      <c r="U90" s="4" t="s">
        <v>383</v>
      </c>
      <c r="AB90" s="4" t="s">
        <v>352</v>
      </c>
      <c r="AE90" s="4" t="s">
        <v>661</v>
      </c>
      <c r="AF90" s="4" t="s">
        <v>661</v>
      </c>
      <c r="AG90" s="4" t="s">
        <v>661</v>
      </c>
      <c r="AH90" s="4" t="s">
        <v>355</v>
      </c>
      <c r="AK90" s="4">
        <v>1</v>
      </c>
      <c r="AM90" s="4">
        <v>1</v>
      </c>
      <c r="AO90" s="4">
        <v>2</v>
      </c>
      <c r="AP90" s="4">
        <v>2</v>
      </c>
      <c r="AQ90" s="4" t="s">
        <v>655</v>
      </c>
      <c r="AR90" s="4" t="s">
        <v>713</v>
      </c>
      <c r="AS90">
        <v>1</v>
      </c>
      <c r="AT90">
        <v>2</v>
      </c>
      <c r="AU90" s="33">
        <v>8349</v>
      </c>
      <c r="AV90" s="36" t="s">
        <v>644</v>
      </c>
      <c r="AW90" s="4">
        <v>8338.9999999999927</v>
      </c>
      <c r="AX90" s="4" t="str">
        <f>IFERROR(VLOOKUP(M90,Roster!$D$2:$E$27,2,FALSE),"")</f>
        <v>L</v>
      </c>
      <c r="AY90" s="4" t="str">
        <f t="shared" si="8"/>
        <v>1好2壞</v>
      </c>
      <c r="BI90" s="5" t="str">
        <f>Lineup!$G$2</f>
        <v>20210817</v>
      </c>
      <c r="BJ90" s="4" t="str">
        <f t="shared" si="7"/>
        <v>中低</v>
      </c>
      <c r="BK90" s="4" t="str">
        <f t="shared" si="9"/>
        <v>1B0O</v>
      </c>
      <c r="BL90" s="4" t="str">
        <f>IFERROR(VLOOKUP('HomeAttackPlay-by-Play'!E90,Roster!$L$2:$M$27,2,FALSE),"")</f>
        <v>R</v>
      </c>
      <c r="BP90" s="48" t="str">
        <f>IF(BO90&lt;&gt;"",HYPERLINK(video!$F$29&amp;"\"&amp;"cam_1_"&amp;$BO90&amp;".avi","Play"),"")</f>
        <v/>
      </c>
      <c r="BQ90" s="48" t="str">
        <f>IF(BO90&lt;&gt;"",HYPERLINK(video!$F$29&amp;"\"&amp;"cam_2_"&amp;$BO90&amp;".avi","Play"),"")</f>
        <v/>
      </c>
      <c r="BR90" s="48" t="str">
        <f>IF(BO90&lt;&gt;"",HYPERLINK(video!$F$29&amp;"\"&amp;"cam_3_"&amp;$BO90&amp;".avi","Play"),"")</f>
        <v/>
      </c>
      <c r="BS90" s="48" t="str">
        <f>IF(BV90&lt;&gt;"",HYPERLINK(video!$F$25&amp;"\"&amp;"cam_4_"&amp;$BV90&amp;".avi","Play"),"")</f>
        <v/>
      </c>
      <c r="BT90" s="48" t="str">
        <f>IF(BV90&lt;&gt;"",HYPERLINK(video!$F$25&amp;"\"&amp;"cam_5_"&amp;$BV90&amp;".avi","Play"),"")</f>
        <v/>
      </c>
      <c r="BU90" s="48" t="str">
        <f>IF(BV90&lt;&gt;"",HYPERLINK(video!$F$25&amp;"\"&amp;"cam_6_"&amp;$BV90&amp;".avi","Play"),"")</f>
        <v/>
      </c>
      <c r="BY90" s="4">
        <f t="shared" si="5"/>
        <v>71.25</v>
      </c>
      <c r="BZ90" s="4">
        <f t="shared" si="6"/>
        <v>189</v>
      </c>
      <c r="CD90" s="5" t="str">
        <f>Lineup!$G$1</f>
        <v>一軍例行賽</v>
      </c>
      <c r="CE90" s="4">
        <f>Lineup!$I$1</f>
        <v>148</v>
      </c>
      <c r="CF90" s="5" t="str">
        <f>Lineup!$G$5</f>
        <v>王俊宏</v>
      </c>
      <c r="CG90" s="5" t="str">
        <f>Lineup!$G$4</f>
        <v>桃園</v>
      </c>
    </row>
    <row r="91" spans="1:85" x14ac:dyDescent="0.3">
      <c r="A91" s="43">
        <v>90</v>
      </c>
      <c r="B91" s="4">
        <v>3</v>
      </c>
      <c r="C91" s="4">
        <v>8</v>
      </c>
      <c r="D91" s="4">
        <v>5</v>
      </c>
      <c r="E91" s="4" t="s">
        <v>462</v>
      </c>
      <c r="F91" s="4" t="s">
        <v>341</v>
      </c>
      <c r="G91" s="4">
        <v>18</v>
      </c>
      <c r="H91" s="4">
        <v>9</v>
      </c>
      <c r="I91" s="4">
        <v>9</v>
      </c>
      <c r="J91" s="4">
        <v>1</v>
      </c>
      <c r="L91" s="4" t="s">
        <v>646</v>
      </c>
      <c r="M91" s="4" t="s">
        <v>535</v>
      </c>
      <c r="N91" s="4" t="s">
        <v>642</v>
      </c>
      <c r="O91" s="4">
        <v>60.75</v>
      </c>
      <c r="P91" s="4">
        <v>99</v>
      </c>
      <c r="Q91" s="4" t="s">
        <v>639</v>
      </c>
      <c r="AB91" s="4" t="s">
        <v>352</v>
      </c>
      <c r="AO91" s="4">
        <v>1</v>
      </c>
      <c r="AP91" s="4">
        <v>0</v>
      </c>
      <c r="AQ91" s="4" t="s">
        <v>640</v>
      </c>
      <c r="AS91">
        <v>0</v>
      </c>
      <c r="AT91">
        <v>0</v>
      </c>
      <c r="AU91" s="33">
        <v>8386.0000000000036</v>
      </c>
      <c r="AV91" s="36" t="s">
        <v>644</v>
      </c>
      <c r="AW91" s="4">
        <v>8381.9999999999964</v>
      </c>
      <c r="AX91" s="4" t="str">
        <f>IFERROR(VLOOKUP(M91,Roster!$D$2:$E$27,2,FALSE),"")</f>
        <v>L</v>
      </c>
      <c r="AY91" s="4" t="str">
        <f t="shared" si="8"/>
        <v>0好0壞</v>
      </c>
      <c r="BI91" s="5" t="str">
        <f>Lineup!$G$2</f>
        <v>20210817</v>
      </c>
      <c r="BJ91" s="4" t="str">
        <f t="shared" si="7"/>
        <v>內角中</v>
      </c>
      <c r="BK91" s="4" t="str">
        <f t="shared" si="9"/>
        <v>1B1O</v>
      </c>
      <c r="BL91" s="4" t="str">
        <f>IFERROR(VLOOKUP('HomeAttackPlay-by-Play'!E91,Roster!$L$2:$M$27,2,FALSE),"")</f>
        <v>R</v>
      </c>
      <c r="BP91" s="48" t="str">
        <f>IF(BO91&lt;&gt;"",HYPERLINK(video!$F$29&amp;"\"&amp;"cam_1_"&amp;$BO91&amp;".avi","Play"),"")</f>
        <v/>
      </c>
      <c r="BQ91" s="48" t="str">
        <f>IF(BO91&lt;&gt;"",HYPERLINK(video!$F$29&amp;"\"&amp;"cam_2_"&amp;$BO91&amp;".avi","Play"),"")</f>
        <v/>
      </c>
      <c r="BR91" s="48" t="str">
        <f>IF(BO91&lt;&gt;"",HYPERLINK(video!$F$29&amp;"\"&amp;"cam_3_"&amp;$BO91&amp;".avi","Play"),"")</f>
        <v/>
      </c>
      <c r="BS91" s="48" t="str">
        <f>IF(BV91&lt;&gt;"",HYPERLINK(video!$F$25&amp;"\"&amp;"cam_4_"&amp;$BV91&amp;".avi","Play"),"")</f>
        <v/>
      </c>
      <c r="BT91" s="48" t="str">
        <f>IF(BV91&lt;&gt;"",HYPERLINK(video!$F$25&amp;"\"&amp;"cam_5_"&amp;$BV91&amp;".avi","Play"),"")</f>
        <v/>
      </c>
      <c r="BU91" s="48" t="str">
        <f>IF(BV91&lt;&gt;"",HYPERLINK(video!$F$25&amp;"\"&amp;"cam_6_"&amp;$BV91&amp;".avi","Play"),"")</f>
        <v/>
      </c>
      <c r="BY91" s="4">
        <f t="shared" si="5"/>
        <v>87</v>
      </c>
      <c r="BZ91" s="4">
        <f t="shared" si="6"/>
        <v>246</v>
      </c>
      <c r="CD91" s="5" t="str">
        <f>Lineup!$G$1</f>
        <v>一軍例行賽</v>
      </c>
      <c r="CE91" s="4">
        <f>Lineup!$I$1</f>
        <v>148</v>
      </c>
      <c r="CF91" s="5" t="str">
        <f>Lineup!$G$5</f>
        <v>王俊宏</v>
      </c>
      <c r="CG91" s="5" t="str">
        <f>Lineup!$G$4</f>
        <v>桃園</v>
      </c>
    </row>
    <row r="92" spans="1:85" x14ac:dyDescent="0.3">
      <c r="A92" s="43">
        <v>91</v>
      </c>
      <c r="B92" s="4">
        <v>3</v>
      </c>
      <c r="C92" s="4">
        <v>8</v>
      </c>
      <c r="D92" s="4">
        <v>5</v>
      </c>
      <c r="E92" s="4" t="s">
        <v>462</v>
      </c>
      <c r="F92" s="4" t="s">
        <v>341</v>
      </c>
      <c r="G92" s="4">
        <v>19</v>
      </c>
      <c r="H92" s="4">
        <v>9</v>
      </c>
      <c r="I92" s="4">
        <v>10</v>
      </c>
      <c r="J92" s="4">
        <v>1</v>
      </c>
      <c r="K92" s="4">
        <v>132</v>
      </c>
      <c r="L92" s="4" t="s">
        <v>643</v>
      </c>
      <c r="M92" s="4" t="s">
        <v>535</v>
      </c>
      <c r="N92" s="4" t="s">
        <v>642</v>
      </c>
      <c r="O92" s="4">
        <v>129</v>
      </c>
      <c r="P92" s="4">
        <v>74.25</v>
      </c>
      <c r="Q92" s="4" t="s">
        <v>641</v>
      </c>
      <c r="AB92" s="4" t="s">
        <v>352</v>
      </c>
      <c r="AO92" s="4">
        <v>1</v>
      </c>
      <c r="AP92" s="4">
        <v>1</v>
      </c>
      <c r="AQ92" s="4" t="s">
        <v>645</v>
      </c>
      <c r="AS92">
        <v>1</v>
      </c>
      <c r="AT92">
        <v>0</v>
      </c>
      <c r="AU92" s="33">
        <v>8403.9999999999964</v>
      </c>
      <c r="AV92" s="36" t="s">
        <v>644</v>
      </c>
      <c r="AW92" s="4">
        <v>8399.9999999999982</v>
      </c>
      <c r="AX92" s="4" t="str">
        <f>IFERROR(VLOOKUP(M92,Roster!$D$2:$E$27,2,FALSE),"")</f>
        <v>L</v>
      </c>
      <c r="AY92" s="4" t="str">
        <f t="shared" si="8"/>
        <v>1好0壞</v>
      </c>
      <c r="BI92" s="5" t="str">
        <f>Lineup!$G$2</f>
        <v>20210817</v>
      </c>
      <c r="BJ92" s="4" t="str">
        <f t="shared" si="7"/>
        <v>偏外角高</v>
      </c>
      <c r="BK92" s="4" t="str">
        <f t="shared" si="9"/>
        <v>1B1O</v>
      </c>
      <c r="BL92" s="4" t="str">
        <f>IFERROR(VLOOKUP('HomeAttackPlay-by-Play'!E92,Roster!$L$2:$M$27,2,FALSE),"")</f>
        <v>R</v>
      </c>
      <c r="BP92" s="48" t="str">
        <f>IF(BO92&lt;&gt;"",HYPERLINK(video!$F$29&amp;"\"&amp;"cam_1_"&amp;$BO92&amp;".avi","Play"),"")</f>
        <v/>
      </c>
      <c r="BQ92" s="48" t="str">
        <f>IF(BO92&lt;&gt;"",HYPERLINK(video!$F$29&amp;"\"&amp;"cam_2_"&amp;$BO92&amp;".avi","Play"),"")</f>
        <v/>
      </c>
      <c r="BR92" s="48" t="str">
        <f>IF(BO92&lt;&gt;"",HYPERLINK(video!$F$29&amp;"\"&amp;"cam_3_"&amp;$BO92&amp;".avi","Play"),"")</f>
        <v/>
      </c>
      <c r="BS92" s="48" t="str">
        <f>IF(BV92&lt;&gt;"",HYPERLINK(video!$F$25&amp;"\"&amp;"cam_4_"&amp;$BV92&amp;".avi","Play"),"")</f>
        <v/>
      </c>
      <c r="BT92" s="48" t="str">
        <f>IF(BV92&lt;&gt;"",HYPERLINK(video!$F$25&amp;"\"&amp;"cam_5_"&amp;$BV92&amp;".avi","Play"),"")</f>
        <v/>
      </c>
      <c r="BU92" s="48" t="str">
        <f>IF(BV92&lt;&gt;"",HYPERLINK(video!$F$25&amp;"\"&amp;"cam_6_"&amp;$BV92&amp;".avi","Play"),"")</f>
        <v/>
      </c>
      <c r="BY92" s="4">
        <f t="shared" si="5"/>
        <v>111.75</v>
      </c>
      <c r="BZ92" s="4">
        <f t="shared" si="6"/>
        <v>246</v>
      </c>
      <c r="CD92" s="5" t="str">
        <f>Lineup!$G$1</f>
        <v>一軍例行賽</v>
      </c>
      <c r="CE92" s="4">
        <f>Lineup!$I$1</f>
        <v>148</v>
      </c>
      <c r="CF92" s="5" t="str">
        <f>Lineup!$G$5</f>
        <v>王俊宏</v>
      </c>
      <c r="CG92" s="5" t="str">
        <f>Lineup!$G$4</f>
        <v>桃園</v>
      </c>
    </row>
    <row r="93" spans="1:85" x14ac:dyDescent="0.3">
      <c r="A93" s="43">
        <v>92</v>
      </c>
      <c r="B93" s="4">
        <v>3</v>
      </c>
      <c r="C93" s="4">
        <v>8</v>
      </c>
      <c r="D93" s="4">
        <v>5</v>
      </c>
      <c r="E93" s="4" t="s">
        <v>462</v>
      </c>
      <c r="F93" s="4" t="s">
        <v>341</v>
      </c>
      <c r="G93" s="4">
        <v>20</v>
      </c>
      <c r="H93" s="4">
        <v>9</v>
      </c>
      <c r="I93" s="4">
        <v>11</v>
      </c>
      <c r="J93" s="4">
        <v>1</v>
      </c>
      <c r="K93" s="4">
        <v>121</v>
      </c>
      <c r="L93" s="4" t="s">
        <v>646</v>
      </c>
      <c r="M93" s="4" t="s">
        <v>535</v>
      </c>
      <c r="N93" s="4" t="s">
        <v>642</v>
      </c>
      <c r="O93" s="4">
        <v>110.25</v>
      </c>
      <c r="P93" s="4">
        <v>60.75</v>
      </c>
      <c r="Q93" s="4" t="s">
        <v>641</v>
      </c>
      <c r="AB93" s="4" t="s">
        <v>352</v>
      </c>
      <c r="AO93" s="4">
        <v>1</v>
      </c>
      <c r="AP93" s="4">
        <v>2</v>
      </c>
      <c r="AQ93" s="4" t="s">
        <v>654</v>
      </c>
      <c r="AS93">
        <v>1</v>
      </c>
      <c r="AT93">
        <v>1</v>
      </c>
      <c r="AU93" s="33">
        <v>8424.0000000000018</v>
      </c>
      <c r="AV93" s="36" t="s">
        <v>644</v>
      </c>
      <c r="AW93" s="4">
        <v>8418.9999999999982</v>
      </c>
      <c r="AX93" s="4" t="str">
        <f>IFERROR(VLOOKUP(M93,Roster!$D$2:$E$27,2,FALSE),"")</f>
        <v>L</v>
      </c>
      <c r="AY93" s="4" t="str">
        <f t="shared" si="8"/>
        <v>1好1壞</v>
      </c>
      <c r="BI93" s="5" t="str">
        <f>Lineup!$G$2</f>
        <v>20210817</v>
      </c>
      <c r="BJ93" s="4" t="str">
        <f t="shared" si="7"/>
        <v>偏外角高</v>
      </c>
      <c r="BK93" s="4" t="str">
        <f t="shared" si="9"/>
        <v>1B1O</v>
      </c>
      <c r="BL93" s="4" t="str">
        <f>IFERROR(VLOOKUP('HomeAttackPlay-by-Play'!E93,Roster!$L$2:$M$27,2,FALSE),"")</f>
        <v>R</v>
      </c>
      <c r="BP93" s="48" t="str">
        <f>IF(BO93&lt;&gt;"",HYPERLINK(video!$F$29&amp;"\"&amp;"cam_1_"&amp;$BO93&amp;".avi","Play"),"")</f>
        <v/>
      </c>
      <c r="BQ93" s="48" t="str">
        <f>IF(BO93&lt;&gt;"",HYPERLINK(video!$F$29&amp;"\"&amp;"cam_2_"&amp;$BO93&amp;".avi","Play"),"")</f>
        <v/>
      </c>
      <c r="BR93" s="48" t="str">
        <f>IF(BO93&lt;&gt;"",HYPERLINK(video!$F$29&amp;"\"&amp;"cam_3_"&amp;$BO93&amp;".avi","Play"),"")</f>
        <v/>
      </c>
      <c r="BS93" s="48" t="str">
        <f>IF(BV93&lt;&gt;"",HYPERLINK(video!$F$25&amp;"\"&amp;"cam_4_"&amp;$BV93&amp;".avi","Play"),"")</f>
        <v/>
      </c>
      <c r="BT93" s="48" t="str">
        <f>IF(BV93&lt;&gt;"",HYPERLINK(video!$F$25&amp;"\"&amp;"cam_5_"&amp;$BV93&amp;".avi","Play"),"")</f>
        <v/>
      </c>
      <c r="BU93" s="48" t="str">
        <f>IF(BV93&lt;&gt;"",HYPERLINK(video!$F$25&amp;"\"&amp;"cam_6_"&amp;$BV93&amp;".avi","Play"),"")</f>
        <v/>
      </c>
      <c r="BY93" s="4">
        <f t="shared" si="5"/>
        <v>125.25</v>
      </c>
      <c r="BZ93" s="4">
        <f t="shared" si="6"/>
        <v>246</v>
      </c>
      <c r="CD93" s="5" t="str">
        <f>Lineup!$G$1</f>
        <v>一軍例行賽</v>
      </c>
      <c r="CE93" s="4">
        <f>Lineup!$I$1</f>
        <v>148</v>
      </c>
      <c r="CF93" s="5" t="str">
        <f>Lineup!$G$5</f>
        <v>王俊宏</v>
      </c>
      <c r="CG93" s="5" t="str">
        <f>Lineup!$G$4</f>
        <v>桃園</v>
      </c>
    </row>
    <row r="94" spans="1:85" x14ac:dyDescent="0.3">
      <c r="A94" s="43">
        <v>93</v>
      </c>
      <c r="B94" s="4">
        <v>3</v>
      </c>
      <c r="C94" s="4">
        <v>8</v>
      </c>
      <c r="D94" s="4">
        <v>5</v>
      </c>
      <c r="E94" s="4" t="s">
        <v>462</v>
      </c>
      <c r="F94" s="4" t="s">
        <v>341</v>
      </c>
      <c r="G94" s="4">
        <v>21</v>
      </c>
      <c r="H94" s="4">
        <v>9</v>
      </c>
      <c r="I94" s="4">
        <v>12</v>
      </c>
      <c r="J94" s="4">
        <v>1</v>
      </c>
      <c r="K94" s="4">
        <v>118</v>
      </c>
      <c r="L94" s="4" t="s">
        <v>646</v>
      </c>
      <c r="M94" s="4" t="s">
        <v>535</v>
      </c>
      <c r="N94" s="4" t="s">
        <v>642</v>
      </c>
      <c r="O94" s="4">
        <v>41.25</v>
      </c>
      <c r="P94" s="4">
        <v>143.25</v>
      </c>
      <c r="Q94" s="4" t="s">
        <v>641</v>
      </c>
      <c r="AB94" s="4" t="s">
        <v>352</v>
      </c>
      <c r="AO94" s="4">
        <v>1</v>
      </c>
      <c r="AP94" s="4">
        <v>3</v>
      </c>
      <c r="AQ94" s="4" t="s">
        <v>658</v>
      </c>
      <c r="AS94">
        <v>1</v>
      </c>
      <c r="AT94">
        <v>2</v>
      </c>
      <c r="AU94" s="33">
        <v>8450.9999999999982</v>
      </c>
      <c r="AV94" s="36" t="s">
        <v>644</v>
      </c>
      <c r="AW94" s="4">
        <v>8447</v>
      </c>
      <c r="AX94" s="4" t="str">
        <f>IFERROR(VLOOKUP(M94,Roster!$D$2:$E$27,2,FALSE),"")</f>
        <v>L</v>
      </c>
      <c r="AY94" s="4" t="str">
        <f t="shared" si="8"/>
        <v>1好2壞</v>
      </c>
      <c r="BI94" s="5" t="str">
        <f>Lineup!$G$2</f>
        <v>20210817</v>
      </c>
      <c r="BJ94" s="4" t="str">
        <f t="shared" si="7"/>
        <v>偏內角偏低</v>
      </c>
      <c r="BK94" s="4" t="str">
        <f t="shared" si="9"/>
        <v>1B1O</v>
      </c>
      <c r="BL94" s="4" t="str">
        <f>IFERROR(VLOOKUP('HomeAttackPlay-by-Play'!E94,Roster!$L$2:$M$27,2,FALSE),"")</f>
        <v>R</v>
      </c>
      <c r="BP94" s="48" t="str">
        <f>IF(BO94&lt;&gt;"",HYPERLINK(video!$F$29&amp;"\"&amp;"cam_1_"&amp;$BO94&amp;".avi","Play"),"")</f>
        <v/>
      </c>
      <c r="BQ94" s="48" t="str">
        <f>IF(BO94&lt;&gt;"",HYPERLINK(video!$F$29&amp;"\"&amp;"cam_2_"&amp;$BO94&amp;".avi","Play"),"")</f>
        <v/>
      </c>
      <c r="BR94" s="48" t="str">
        <f>IF(BO94&lt;&gt;"",HYPERLINK(video!$F$29&amp;"\"&amp;"cam_3_"&amp;$BO94&amp;".avi","Play"),"")</f>
        <v/>
      </c>
      <c r="BS94" s="48" t="str">
        <f>IF(BV94&lt;&gt;"",HYPERLINK(video!$F$25&amp;"\"&amp;"cam_4_"&amp;$BV94&amp;".avi","Play"),"")</f>
        <v/>
      </c>
      <c r="BT94" s="48" t="str">
        <f>IF(BV94&lt;&gt;"",HYPERLINK(video!$F$25&amp;"\"&amp;"cam_5_"&amp;$BV94&amp;".avi","Play"),"")</f>
        <v/>
      </c>
      <c r="BU94" s="48" t="str">
        <f>IF(BV94&lt;&gt;"",HYPERLINK(video!$F$25&amp;"\"&amp;"cam_6_"&amp;$BV94&amp;".avi","Play"),"")</f>
        <v/>
      </c>
      <c r="BY94" s="4">
        <f t="shared" si="5"/>
        <v>42.75</v>
      </c>
      <c r="BZ94" s="4">
        <f t="shared" si="6"/>
        <v>246</v>
      </c>
      <c r="CD94" s="5" t="str">
        <f>Lineup!$G$1</f>
        <v>一軍例行賽</v>
      </c>
      <c r="CE94" s="4">
        <f>Lineup!$I$1</f>
        <v>148</v>
      </c>
      <c r="CF94" s="5" t="str">
        <f>Lineup!$G$5</f>
        <v>王俊宏</v>
      </c>
      <c r="CG94" s="5" t="str">
        <f>Lineup!$G$4</f>
        <v>桃園</v>
      </c>
    </row>
    <row r="95" spans="1:85" x14ac:dyDescent="0.3">
      <c r="A95" s="43">
        <v>94</v>
      </c>
      <c r="B95" s="4">
        <v>3</v>
      </c>
      <c r="C95" s="4">
        <v>8</v>
      </c>
      <c r="D95" s="4">
        <v>5</v>
      </c>
      <c r="E95" s="4" t="s">
        <v>462</v>
      </c>
      <c r="F95" s="4" t="s">
        <v>341</v>
      </c>
      <c r="G95" s="4">
        <v>22</v>
      </c>
      <c r="H95" s="4">
        <v>10</v>
      </c>
      <c r="I95" s="4">
        <v>12</v>
      </c>
      <c r="J95" s="4">
        <v>1</v>
      </c>
      <c r="K95" s="4">
        <v>136</v>
      </c>
      <c r="L95" s="4" t="s">
        <v>643</v>
      </c>
      <c r="M95" s="4" t="s">
        <v>535</v>
      </c>
      <c r="N95" s="4" t="s">
        <v>649</v>
      </c>
      <c r="O95" s="4">
        <v>103.5</v>
      </c>
      <c r="P95" s="4">
        <v>95.25</v>
      </c>
      <c r="Q95" s="4" t="s">
        <v>639</v>
      </c>
      <c r="R95" s="5" t="s">
        <v>657</v>
      </c>
      <c r="AB95" s="4" t="s">
        <v>352</v>
      </c>
      <c r="AO95" s="4">
        <v>2</v>
      </c>
      <c r="AP95" s="4">
        <v>3</v>
      </c>
      <c r="AQ95" s="4" t="s">
        <v>674</v>
      </c>
      <c r="AS95">
        <v>1</v>
      </c>
      <c r="AT95">
        <v>3</v>
      </c>
      <c r="AU95" s="33">
        <v>8490.9999999999909</v>
      </c>
      <c r="AV95" s="36" t="s">
        <v>644</v>
      </c>
      <c r="AW95" s="4">
        <v>8488</v>
      </c>
      <c r="AX95" s="4" t="str">
        <f>IFERROR(VLOOKUP(M95,Roster!$D$2:$E$27,2,FALSE),"")</f>
        <v>L</v>
      </c>
      <c r="AY95" s="4" t="str">
        <f t="shared" si="8"/>
        <v>1好3壞</v>
      </c>
      <c r="BI95" s="5" t="str">
        <f>Lineup!$G$2</f>
        <v>20210817</v>
      </c>
      <c r="BJ95" s="4" t="str">
        <f t="shared" si="7"/>
        <v>偏外角中</v>
      </c>
      <c r="BK95" s="4" t="str">
        <f t="shared" si="9"/>
        <v>1B1O</v>
      </c>
      <c r="BL95" s="4" t="str">
        <f>IFERROR(VLOOKUP('HomeAttackPlay-by-Play'!E95,Roster!$L$2:$M$27,2,FALSE),"")</f>
        <v>R</v>
      </c>
      <c r="BP95" s="48" t="str">
        <f>IF(BO95&lt;&gt;"",HYPERLINK(video!$F$29&amp;"\"&amp;"cam_1_"&amp;$BO95&amp;".avi","Play"),"")</f>
        <v/>
      </c>
      <c r="BQ95" s="48" t="str">
        <f>IF(BO95&lt;&gt;"",HYPERLINK(video!$F$29&amp;"\"&amp;"cam_2_"&amp;$BO95&amp;".avi","Play"),"")</f>
        <v/>
      </c>
      <c r="BR95" s="48" t="str">
        <f>IF(BO95&lt;&gt;"",HYPERLINK(video!$F$29&amp;"\"&amp;"cam_3_"&amp;$BO95&amp;".avi","Play"),"")</f>
        <v/>
      </c>
      <c r="BS95" s="48" t="str">
        <f>IF(BV95&lt;&gt;"",HYPERLINK(video!$F$25&amp;"\"&amp;"cam_4_"&amp;$BV95&amp;".avi","Play"),"")</f>
        <v/>
      </c>
      <c r="BT95" s="48" t="str">
        <f>IF(BV95&lt;&gt;"",HYPERLINK(video!$F$25&amp;"\"&amp;"cam_5_"&amp;$BV95&amp;".avi","Play"),"")</f>
        <v/>
      </c>
      <c r="BU95" s="48" t="str">
        <f>IF(BV95&lt;&gt;"",HYPERLINK(video!$F$25&amp;"\"&amp;"cam_6_"&amp;$BV95&amp;".avi","Play"),"")</f>
        <v/>
      </c>
      <c r="BY95" s="4">
        <f t="shared" si="5"/>
        <v>90.75</v>
      </c>
      <c r="BZ95" s="4">
        <f t="shared" si="6"/>
        <v>246</v>
      </c>
      <c r="CD95" s="5" t="str">
        <f>Lineup!$G$1</f>
        <v>一軍例行賽</v>
      </c>
      <c r="CE95" s="4">
        <f>Lineup!$I$1</f>
        <v>148</v>
      </c>
      <c r="CF95" s="5" t="str">
        <f>Lineup!$G$5</f>
        <v>王俊宏</v>
      </c>
      <c r="CG95" s="5" t="str">
        <f>Lineup!$G$4</f>
        <v>桃園</v>
      </c>
    </row>
    <row r="96" spans="1:85" x14ac:dyDescent="0.3">
      <c r="A96" s="43">
        <v>95</v>
      </c>
      <c r="B96" s="4">
        <v>3</v>
      </c>
      <c r="C96" s="4">
        <v>8</v>
      </c>
      <c r="D96" s="4">
        <v>5</v>
      </c>
      <c r="E96" s="4" t="s">
        <v>462</v>
      </c>
      <c r="F96" s="4" t="s">
        <v>341</v>
      </c>
      <c r="G96" s="4">
        <v>23</v>
      </c>
      <c r="H96" s="4">
        <v>11</v>
      </c>
      <c r="I96" s="4">
        <v>12</v>
      </c>
      <c r="J96" s="4">
        <v>1</v>
      </c>
      <c r="K96" s="4">
        <v>139</v>
      </c>
      <c r="L96" s="4" t="s">
        <v>643</v>
      </c>
      <c r="M96" s="4" t="s">
        <v>535</v>
      </c>
      <c r="N96" s="4" t="s">
        <v>649</v>
      </c>
      <c r="O96" s="4">
        <v>57.75</v>
      </c>
      <c r="P96" s="4">
        <v>114.75</v>
      </c>
      <c r="Q96" s="4" t="s">
        <v>639</v>
      </c>
      <c r="R96" s="5" t="s">
        <v>696</v>
      </c>
      <c r="AB96" s="4" t="s">
        <v>352</v>
      </c>
      <c r="AO96" s="4">
        <v>2</v>
      </c>
      <c r="AP96" s="4">
        <v>3</v>
      </c>
      <c r="AQ96" s="4" t="s">
        <v>674</v>
      </c>
      <c r="AS96">
        <v>2</v>
      </c>
      <c r="AT96">
        <v>3</v>
      </c>
      <c r="AU96" s="33">
        <v>8547.0000000000036</v>
      </c>
      <c r="AV96" s="36" t="s">
        <v>644</v>
      </c>
      <c r="AW96" s="4">
        <v>8540.9999999999927</v>
      </c>
      <c r="AX96" s="4" t="str">
        <f>IFERROR(VLOOKUP(M96,Roster!$D$2:$E$27,2,FALSE),"")</f>
        <v>L</v>
      </c>
      <c r="AY96" s="4" t="str">
        <f t="shared" si="8"/>
        <v>2好3壞</v>
      </c>
      <c r="BI96" s="5" t="str">
        <f>Lineup!$G$2</f>
        <v>20210817</v>
      </c>
      <c r="BJ96" s="4" t="str">
        <f t="shared" si="7"/>
        <v>內角低</v>
      </c>
      <c r="BK96" s="4" t="str">
        <f t="shared" si="9"/>
        <v>1B1O</v>
      </c>
      <c r="BL96" s="4" t="str">
        <f>IFERROR(VLOOKUP('HomeAttackPlay-by-Play'!E96,Roster!$L$2:$M$27,2,FALSE),"")</f>
        <v>R</v>
      </c>
      <c r="BP96" s="48" t="str">
        <f>IF(BO96&lt;&gt;"",HYPERLINK(video!$F$29&amp;"\"&amp;"cam_1_"&amp;$BO96&amp;".avi","Play"),"")</f>
        <v/>
      </c>
      <c r="BQ96" s="48" t="str">
        <f>IF(BO96&lt;&gt;"",HYPERLINK(video!$F$29&amp;"\"&amp;"cam_2_"&amp;$BO96&amp;".avi","Play"),"")</f>
        <v/>
      </c>
      <c r="BR96" s="48" t="str">
        <f>IF(BO96&lt;&gt;"",HYPERLINK(video!$F$29&amp;"\"&amp;"cam_3_"&amp;$BO96&amp;".avi","Play"),"")</f>
        <v/>
      </c>
      <c r="BS96" s="48" t="str">
        <f>IF(BV96&lt;&gt;"",HYPERLINK(video!$F$25&amp;"\"&amp;"cam_4_"&amp;$BV96&amp;".avi","Play"),"")</f>
        <v/>
      </c>
      <c r="BT96" s="48" t="str">
        <f>IF(BV96&lt;&gt;"",HYPERLINK(video!$F$25&amp;"\"&amp;"cam_5_"&amp;$BV96&amp;".avi","Play"),"")</f>
        <v/>
      </c>
      <c r="BU96" s="48" t="str">
        <f>IF(BV96&lt;&gt;"",HYPERLINK(video!$F$25&amp;"\"&amp;"cam_6_"&amp;$BV96&amp;".avi","Play"),"")</f>
        <v/>
      </c>
      <c r="BY96" s="4">
        <f t="shared" si="5"/>
        <v>71.25</v>
      </c>
      <c r="BZ96" s="4">
        <f t="shared" si="6"/>
        <v>246</v>
      </c>
      <c r="CD96" s="5" t="str">
        <f>Lineup!$G$1</f>
        <v>一軍例行賽</v>
      </c>
      <c r="CE96" s="4">
        <f>Lineup!$I$1</f>
        <v>148</v>
      </c>
      <c r="CF96" s="5" t="str">
        <f>Lineup!$G$5</f>
        <v>王俊宏</v>
      </c>
      <c r="CG96" s="5" t="str">
        <f>Lineup!$G$4</f>
        <v>桃園</v>
      </c>
    </row>
    <row r="97" spans="1:85" x14ac:dyDescent="0.3">
      <c r="A97" s="43">
        <v>96</v>
      </c>
      <c r="B97" s="4">
        <v>3</v>
      </c>
      <c r="C97" s="4">
        <v>8</v>
      </c>
      <c r="D97" s="4">
        <v>5</v>
      </c>
      <c r="E97" s="4" t="s">
        <v>462</v>
      </c>
      <c r="F97" s="4" t="s">
        <v>341</v>
      </c>
      <c r="G97" s="4">
        <v>24</v>
      </c>
      <c r="H97" s="4">
        <v>11</v>
      </c>
      <c r="I97" s="4">
        <v>13</v>
      </c>
      <c r="J97" s="4">
        <v>1</v>
      </c>
      <c r="K97" s="4">
        <v>142</v>
      </c>
      <c r="L97" s="4" t="s">
        <v>643</v>
      </c>
      <c r="M97" s="4" t="s">
        <v>535</v>
      </c>
      <c r="N97" s="4" t="s">
        <v>642</v>
      </c>
      <c r="O97" s="4">
        <v>56.25</v>
      </c>
      <c r="P97" s="4">
        <v>128.25</v>
      </c>
      <c r="Q97" s="4" t="s">
        <v>641</v>
      </c>
      <c r="R97" s="5" t="s">
        <v>660</v>
      </c>
      <c r="AB97" s="4" t="s">
        <v>535</v>
      </c>
      <c r="AC97" s="4" t="s">
        <v>352</v>
      </c>
      <c r="AE97" s="4" t="s">
        <v>661</v>
      </c>
      <c r="AF97" s="4" t="s">
        <v>661</v>
      </c>
      <c r="AG97" s="4" t="s">
        <v>661</v>
      </c>
      <c r="AM97" s="4">
        <v>1</v>
      </c>
      <c r="AO97" s="4">
        <v>2</v>
      </c>
      <c r="AP97" s="4">
        <v>4</v>
      </c>
      <c r="AQ97" s="4" t="s">
        <v>725</v>
      </c>
      <c r="AS97">
        <v>2</v>
      </c>
      <c r="AT97">
        <v>3</v>
      </c>
      <c r="AU97" s="33">
        <v>8582.9999999999982</v>
      </c>
      <c r="AV97" s="36" t="s">
        <v>644</v>
      </c>
      <c r="AW97" s="4">
        <v>8576</v>
      </c>
      <c r="AX97" s="4" t="str">
        <f>IFERROR(VLOOKUP(M97,Roster!$D$2:$E$27,2,FALSE),"")</f>
        <v>L</v>
      </c>
      <c r="AY97" s="4" t="str">
        <f t="shared" si="8"/>
        <v>2好3壞</v>
      </c>
      <c r="BI97" s="5" t="str">
        <f>Lineup!$G$2</f>
        <v>20210817</v>
      </c>
      <c r="BJ97" s="4" t="str">
        <f t="shared" si="7"/>
        <v>內角偏低</v>
      </c>
      <c r="BK97" s="4" t="str">
        <f t="shared" si="9"/>
        <v>1B1O</v>
      </c>
      <c r="BL97" s="4" t="str">
        <f>IFERROR(VLOOKUP('HomeAttackPlay-by-Play'!E97,Roster!$L$2:$M$27,2,FALSE),"")</f>
        <v>R</v>
      </c>
      <c r="BP97" s="48" t="str">
        <f>IF(BO97&lt;&gt;"",HYPERLINK(video!$F$29&amp;"\"&amp;"cam_1_"&amp;$BO97&amp;".avi","Play"),"")</f>
        <v/>
      </c>
      <c r="BQ97" s="48" t="str">
        <f>IF(BO97&lt;&gt;"",HYPERLINK(video!$F$29&amp;"\"&amp;"cam_2_"&amp;$BO97&amp;".avi","Play"),"")</f>
        <v/>
      </c>
      <c r="BR97" s="48" t="str">
        <f>IF(BO97&lt;&gt;"",HYPERLINK(video!$F$29&amp;"\"&amp;"cam_3_"&amp;$BO97&amp;".avi","Play"),"")</f>
        <v/>
      </c>
      <c r="BS97" s="48" t="str">
        <f>IF(BV97&lt;&gt;"",HYPERLINK(video!$F$25&amp;"\"&amp;"cam_4_"&amp;$BV97&amp;".avi","Play"),"")</f>
        <v/>
      </c>
      <c r="BT97" s="48" t="str">
        <f>IF(BV97&lt;&gt;"",HYPERLINK(video!$F$25&amp;"\"&amp;"cam_5_"&amp;$BV97&amp;".avi","Play"),"")</f>
        <v/>
      </c>
      <c r="BU97" s="48" t="str">
        <f>IF(BV97&lt;&gt;"",HYPERLINK(video!$F$25&amp;"\"&amp;"cam_6_"&amp;$BV97&amp;".avi","Play"),"")</f>
        <v/>
      </c>
      <c r="BY97" s="4">
        <f t="shared" si="5"/>
        <v>57.75</v>
      </c>
      <c r="BZ97" s="4">
        <f t="shared" si="6"/>
        <v>246</v>
      </c>
      <c r="CD97" s="5" t="str">
        <f>Lineup!$G$1</f>
        <v>一軍例行賽</v>
      </c>
      <c r="CE97" s="4">
        <f>Lineup!$I$1</f>
        <v>148</v>
      </c>
      <c r="CF97" s="5" t="str">
        <f>Lineup!$G$5</f>
        <v>王俊宏</v>
      </c>
      <c r="CG97" s="5" t="str">
        <f>Lineup!$G$4</f>
        <v>桃園</v>
      </c>
    </row>
    <row r="98" spans="1:85" x14ac:dyDescent="0.3">
      <c r="A98" s="43">
        <v>97</v>
      </c>
      <c r="B98" s="4">
        <v>3</v>
      </c>
      <c r="C98" s="4">
        <v>8</v>
      </c>
      <c r="D98" s="4">
        <v>5</v>
      </c>
      <c r="E98" s="4" t="s">
        <v>283</v>
      </c>
      <c r="F98" s="4" t="s">
        <v>341</v>
      </c>
      <c r="G98" s="4">
        <v>1</v>
      </c>
      <c r="H98" s="4">
        <v>0</v>
      </c>
      <c r="I98" s="4">
        <v>1</v>
      </c>
      <c r="J98" s="4">
        <v>1</v>
      </c>
      <c r="L98" s="4" t="s">
        <v>643</v>
      </c>
      <c r="M98" s="4" t="s">
        <v>543</v>
      </c>
      <c r="N98" s="4" t="s">
        <v>642</v>
      </c>
      <c r="O98" s="4">
        <v>28.5</v>
      </c>
      <c r="P98" s="4">
        <v>145.5</v>
      </c>
      <c r="Q98" s="4" t="s">
        <v>641</v>
      </c>
      <c r="AB98" s="4" t="s">
        <v>535</v>
      </c>
      <c r="AC98" s="4" t="s">
        <v>352</v>
      </c>
      <c r="AO98" s="4">
        <v>0</v>
      </c>
      <c r="AP98" s="4">
        <v>1</v>
      </c>
      <c r="AQ98" s="4" t="s">
        <v>652</v>
      </c>
      <c r="AS98">
        <v>0</v>
      </c>
      <c r="AT98">
        <v>0</v>
      </c>
      <c r="AU98" s="33">
        <v>8778</v>
      </c>
      <c r="AV98" s="36" t="s">
        <v>644</v>
      </c>
      <c r="AW98" s="4">
        <v>8773.9999999999927</v>
      </c>
      <c r="AX98" s="4" t="str">
        <f>IFERROR(VLOOKUP(M98,Roster!$D$2:$E$27,2,FALSE),"")</f>
        <v>R</v>
      </c>
      <c r="AY98" s="4" t="str">
        <f t="shared" si="8"/>
        <v>0好0壞</v>
      </c>
      <c r="BI98" s="5" t="str">
        <f>Lineup!$G$2</f>
        <v>20210817</v>
      </c>
      <c r="BJ98" s="4" t="str">
        <f t="shared" si="7"/>
        <v>偏外角偏低</v>
      </c>
      <c r="BK98" s="4" t="str">
        <f t="shared" si="9"/>
        <v>12B1O</v>
      </c>
      <c r="BL98" s="4" t="str">
        <f>IFERROR(VLOOKUP('HomeAttackPlay-by-Play'!E98,Roster!$L$2:$M$27,2,FALSE),"")</f>
        <v>R</v>
      </c>
      <c r="BP98" s="48" t="str">
        <f>IF(BO98&lt;&gt;"",HYPERLINK(video!$F$29&amp;"\"&amp;"cam_1_"&amp;$BO98&amp;".avi","Play"),"")</f>
        <v/>
      </c>
      <c r="BQ98" s="48" t="str">
        <f>IF(BO98&lt;&gt;"",HYPERLINK(video!$F$29&amp;"\"&amp;"cam_2_"&amp;$BO98&amp;".avi","Play"),"")</f>
        <v/>
      </c>
      <c r="BR98" s="48" t="str">
        <f>IF(BO98&lt;&gt;"",HYPERLINK(video!$F$29&amp;"\"&amp;"cam_3_"&amp;$BO98&amp;".avi","Play"),"")</f>
        <v/>
      </c>
      <c r="BS98" s="48" t="str">
        <f>IF(BV98&lt;&gt;"",HYPERLINK(video!$F$25&amp;"\"&amp;"cam_4_"&amp;$BV98&amp;".avi","Play"),"")</f>
        <v/>
      </c>
      <c r="BT98" s="48" t="str">
        <f>IF(BV98&lt;&gt;"",HYPERLINK(video!$F$25&amp;"\"&amp;"cam_5_"&amp;$BV98&amp;".avi","Play"),"")</f>
        <v/>
      </c>
      <c r="BU98" s="48" t="str">
        <f>IF(BV98&lt;&gt;"",HYPERLINK(video!$F$25&amp;"\"&amp;"cam_6_"&amp;$BV98&amp;".avi","Play"),"")</f>
        <v/>
      </c>
      <c r="BY98" s="4">
        <f t="shared" si="5"/>
        <v>40.5</v>
      </c>
      <c r="BZ98" s="4">
        <f t="shared" si="6"/>
        <v>246</v>
      </c>
      <c r="CD98" s="5" t="str">
        <f>Lineup!$G$1</f>
        <v>一軍例行賽</v>
      </c>
      <c r="CE98" s="4">
        <f>Lineup!$I$1</f>
        <v>148</v>
      </c>
      <c r="CF98" s="5" t="str">
        <f>Lineup!$G$5</f>
        <v>王俊宏</v>
      </c>
      <c r="CG98" s="5" t="str">
        <f>Lineup!$G$4</f>
        <v>桃園</v>
      </c>
    </row>
    <row r="99" spans="1:85" x14ac:dyDescent="0.3">
      <c r="A99" s="43">
        <v>98</v>
      </c>
      <c r="B99" s="4">
        <v>3</v>
      </c>
      <c r="C99" s="4">
        <v>8</v>
      </c>
      <c r="D99" s="4">
        <v>5</v>
      </c>
      <c r="E99" s="4" t="s">
        <v>283</v>
      </c>
      <c r="F99" s="4" t="s">
        <v>341</v>
      </c>
      <c r="G99" s="4">
        <v>2</v>
      </c>
      <c r="H99" s="4">
        <v>0</v>
      </c>
      <c r="I99" s="4">
        <v>2</v>
      </c>
      <c r="J99" s="4">
        <v>1</v>
      </c>
      <c r="K99" s="4">
        <v>131</v>
      </c>
      <c r="L99" s="4" t="s">
        <v>665</v>
      </c>
      <c r="M99" s="4" t="s">
        <v>543</v>
      </c>
      <c r="N99" s="4" t="s">
        <v>642</v>
      </c>
      <c r="O99" s="4">
        <v>66</v>
      </c>
      <c r="P99" s="4">
        <v>134.25</v>
      </c>
      <c r="Q99" s="4" t="s">
        <v>641</v>
      </c>
      <c r="AB99" s="4" t="s">
        <v>535</v>
      </c>
      <c r="AC99" s="4" t="s">
        <v>352</v>
      </c>
      <c r="AO99" s="4">
        <v>0</v>
      </c>
      <c r="AP99" s="4">
        <v>2</v>
      </c>
      <c r="AQ99" s="4" t="s">
        <v>653</v>
      </c>
      <c r="AS99">
        <v>0</v>
      </c>
      <c r="AT99">
        <v>1</v>
      </c>
      <c r="AU99" s="33">
        <v>8814.9999999999927</v>
      </c>
      <c r="AV99" s="36" t="s">
        <v>644</v>
      </c>
      <c r="AW99" s="4">
        <v>8810.9999999999964</v>
      </c>
      <c r="AX99" s="4" t="str">
        <f>IFERROR(VLOOKUP(M99,Roster!$D$2:$E$27,2,FALSE),"")</f>
        <v>R</v>
      </c>
      <c r="AY99" s="4" t="str">
        <f t="shared" si="8"/>
        <v>0好1壞</v>
      </c>
      <c r="BI99" s="5" t="str">
        <f>Lineup!$G$2</f>
        <v>20210817</v>
      </c>
      <c r="BJ99" s="4" t="str">
        <f t="shared" si="7"/>
        <v>中偏低</v>
      </c>
      <c r="BK99" s="4" t="str">
        <f t="shared" si="9"/>
        <v>12B1O</v>
      </c>
      <c r="BL99" s="4" t="str">
        <f>IFERROR(VLOOKUP('HomeAttackPlay-by-Play'!E99,Roster!$L$2:$M$27,2,FALSE),"")</f>
        <v>R</v>
      </c>
      <c r="BP99" s="48" t="str">
        <f>IF(BO99&lt;&gt;"",HYPERLINK(video!$F$29&amp;"\"&amp;"cam_1_"&amp;$BO99&amp;".avi","Play"),"")</f>
        <v/>
      </c>
      <c r="BQ99" s="48" t="str">
        <f>IF(BO99&lt;&gt;"",HYPERLINK(video!$F$29&amp;"\"&amp;"cam_2_"&amp;$BO99&amp;".avi","Play"),"")</f>
        <v/>
      </c>
      <c r="BR99" s="48" t="str">
        <f>IF(BO99&lt;&gt;"",HYPERLINK(video!$F$29&amp;"\"&amp;"cam_3_"&amp;$BO99&amp;".avi","Play"),"")</f>
        <v/>
      </c>
      <c r="BS99" s="48" t="str">
        <f>IF(BV99&lt;&gt;"",HYPERLINK(video!$F$25&amp;"\"&amp;"cam_4_"&amp;$BV99&amp;".avi","Play"),"")</f>
        <v/>
      </c>
      <c r="BT99" s="48" t="str">
        <f>IF(BV99&lt;&gt;"",HYPERLINK(video!$F$25&amp;"\"&amp;"cam_5_"&amp;$BV99&amp;".avi","Play"),"")</f>
        <v/>
      </c>
      <c r="BU99" s="48" t="str">
        <f>IF(BV99&lt;&gt;"",HYPERLINK(video!$F$25&amp;"\"&amp;"cam_6_"&amp;$BV99&amp;".avi","Play"),"")</f>
        <v/>
      </c>
      <c r="BY99" s="4">
        <f t="shared" si="5"/>
        <v>51.75</v>
      </c>
      <c r="BZ99" s="4">
        <f t="shared" si="6"/>
        <v>246</v>
      </c>
      <c r="CD99" s="5" t="str">
        <f>Lineup!$G$1</f>
        <v>一軍例行賽</v>
      </c>
      <c r="CE99" s="4">
        <f>Lineup!$I$1</f>
        <v>148</v>
      </c>
      <c r="CF99" s="5" t="str">
        <f>Lineup!$G$5</f>
        <v>王俊宏</v>
      </c>
      <c r="CG99" s="5" t="str">
        <f>Lineup!$G$4</f>
        <v>桃園</v>
      </c>
    </row>
    <row r="100" spans="1:85" x14ac:dyDescent="0.3">
      <c r="A100" s="43">
        <v>99</v>
      </c>
      <c r="B100" s="4">
        <v>3</v>
      </c>
      <c r="C100" s="4">
        <v>8</v>
      </c>
      <c r="D100" s="4">
        <v>5</v>
      </c>
      <c r="E100" s="4" t="s">
        <v>283</v>
      </c>
      <c r="F100" s="4" t="s">
        <v>341</v>
      </c>
      <c r="G100" s="4">
        <v>3</v>
      </c>
      <c r="H100" s="4">
        <v>0</v>
      </c>
      <c r="I100" s="4">
        <v>3</v>
      </c>
      <c r="J100" s="4">
        <v>1</v>
      </c>
      <c r="K100" s="4">
        <v>130</v>
      </c>
      <c r="L100" s="4" t="s">
        <v>643</v>
      </c>
      <c r="M100" s="4" t="s">
        <v>543</v>
      </c>
      <c r="N100" s="4" t="s">
        <v>642</v>
      </c>
      <c r="O100" s="4">
        <v>64.5</v>
      </c>
      <c r="P100" s="4">
        <v>156</v>
      </c>
      <c r="Q100" s="4" t="s">
        <v>641</v>
      </c>
      <c r="AB100" s="4" t="s">
        <v>535</v>
      </c>
      <c r="AC100" s="4" t="s">
        <v>352</v>
      </c>
      <c r="AO100" s="4">
        <v>0</v>
      </c>
      <c r="AP100" s="4">
        <v>3</v>
      </c>
      <c r="AQ100" s="4" t="s">
        <v>686</v>
      </c>
      <c r="AS100">
        <v>0</v>
      </c>
      <c r="AT100">
        <v>2</v>
      </c>
      <c r="AU100" s="33">
        <v>8841.9999999999982</v>
      </c>
      <c r="AV100" s="36" t="s">
        <v>644</v>
      </c>
      <c r="AW100" s="4">
        <v>8838.9999999999964</v>
      </c>
      <c r="AX100" s="4" t="str">
        <f>IFERROR(VLOOKUP(M100,Roster!$D$2:$E$27,2,FALSE),"")</f>
        <v>R</v>
      </c>
      <c r="AY100" s="4" t="str">
        <f t="shared" si="8"/>
        <v>0好2壞</v>
      </c>
      <c r="BI100" s="5" t="str">
        <f>Lineup!$G$2</f>
        <v>20210817</v>
      </c>
      <c r="BJ100" s="4" t="str">
        <f t="shared" si="7"/>
        <v>外角偏低</v>
      </c>
      <c r="BK100" s="4" t="str">
        <f t="shared" si="9"/>
        <v>12B1O</v>
      </c>
      <c r="BL100" s="4" t="str">
        <f>IFERROR(VLOOKUP('HomeAttackPlay-by-Play'!E100,Roster!$L$2:$M$27,2,FALSE),"")</f>
        <v>R</v>
      </c>
      <c r="BP100" s="48" t="str">
        <f>IF(BO100&lt;&gt;"",HYPERLINK(video!$F$29&amp;"\"&amp;"cam_1_"&amp;$BO100&amp;".avi","Play"),"")</f>
        <v/>
      </c>
      <c r="BQ100" s="48" t="str">
        <f>IF(BO100&lt;&gt;"",HYPERLINK(video!$F$29&amp;"\"&amp;"cam_2_"&amp;$BO100&amp;".avi","Play"),"")</f>
        <v/>
      </c>
      <c r="BR100" s="48" t="str">
        <f>IF(BO100&lt;&gt;"",HYPERLINK(video!$F$29&amp;"\"&amp;"cam_3_"&amp;$BO100&amp;".avi","Play"),"")</f>
        <v/>
      </c>
      <c r="BS100" s="48" t="str">
        <f>IF(BV100&lt;&gt;"",HYPERLINK(video!$F$25&amp;"\"&amp;"cam_4_"&amp;$BV100&amp;".avi","Play"),"")</f>
        <v/>
      </c>
      <c r="BT100" s="48" t="str">
        <f>IF(BV100&lt;&gt;"",HYPERLINK(video!$F$25&amp;"\"&amp;"cam_5_"&amp;$BV100&amp;".avi","Play"),"")</f>
        <v/>
      </c>
      <c r="BU100" s="48" t="str">
        <f>IF(BV100&lt;&gt;"",HYPERLINK(video!$F$25&amp;"\"&amp;"cam_6_"&amp;$BV100&amp;".avi","Play"),"")</f>
        <v/>
      </c>
      <c r="BY100" s="4">
        <f t="shared" si="5"/>
        <v>30</v>
      </c>
      <c r="BZ100" s="4">
        <f t="shared" si="6"/>
        <v>246</v>
      </c>
      <c r="CD100" s="5" t="str">
        <f>Lineup!$G$1</f>
        <v>一軍例行賽</v>
      </c>
      <c r="CE100" s="4">
        <f>Lineup!$I$1</f>
        <v>148</v>
      </c>
      <c r="CF100" s="5" t="str">
        <f>Lineup!$G$5</f>
        <v>王俊宏</v>
      </c>
      <c r="CG100" s="5" t="str">
        <f>Lineup!$G$4</f>
        <v>桃園</v>
      </c>
    </row>
    <row r="101" spans="1:85" x14ac:dyDescent="0.3">
      <c r="A101" s="43">
        <v>100</v>
      </c>
      <c r="B101" s="4">
        <v>3</v>
      </c>
      <c r="C101" s="4">
        <v>8</v>
      </c>
      <c r="D101" s="4">
        <v>5</v>
      </c>
      <c r="E101" s="4" t="s">
        <v>283</v>
      </c>
      <c r="F101" s="4" t="s">
        <v>341</v>
      </c>
      <c r="G101" s="4">
        <v>4</v>
      </c>
      <c r="H101" s="4">
        <v>1</v>
      </c>
      <c r="I101" s="4">
        <v>3</v>
      </c>
      <c r="J101" s="4">
        <v>1</v>
      </c>
      <c r="K101" s="4">
        <v>140</v>
      </c>
      <c r="L101" s="4" t="s">
        <v>643</v>
      </c>
      <c r="M101" s="4" t="s">
        <v>543</v>
      </c>
      <c r="N101" s="4" t="s">
        <v>642</v>
      </c>
      <c r="O101" s="4">
        <v>99</v>
      </c>
      <c r="P101" s="4">
        <v>109.5</v>
      </c>
      <c r="Q101" s="4" t="s">
        <v>639</v>
      </c>
      <c r="AB101" s="4" t="s">
        <v>535</v>
      </c>
      <c r="AC101" s="4" t="s">
        <v>352</v>
      </c>
      <c r="AO101" s="4">
        <v>1</v>
      </c>
      <c r="AP101" s="4">
        <v>3</v>
      </c>
      <c r="AQ101" s="4" t="s">
        <v>658</v>
      </c>
      <c r="AS101">
        <v>0</v>
      </c>
      <c r="AT101">
        <v>3</v>
      </c>
      <c r="AU101" s="33">
        <v>8869.9999999999982</v>
      </c>
      <c r="AV101" s="36" t="s">
        <v>644</v>
      </c>
      <c r="AW101" s="4">
        <v>8866.9999999999982</v>
      </c>
      <c r="AX101" s="4" t="str">
        <f>IFERROR(VLOOKUP(M101,Roster!$D$2:$E$27,2,FALSE),"")</f>
        <v>R</v>
      </c>
      <c r="AY101" s="4" t="str">
        <f t="shared" si="8"/>
        <v>0好3壞</v>
      </c>
      <c r="BI101" s="5" t="str">
        <f>Lineup!$G$2</f>
        <v>20210817</v>
      </c>
      <c r="BJ101" s="4" t="str">
        <f t="shared" si="7"/>
        <v>內角低</v>
      </c>
      <c r="BK101" s="4" t="str">
        <f t="shared" si="9"/>
        <v>12B1O</v>
      </c>
      <c r="BL101" s="4" t="str">
        <f>IFERROR(VLOOKUP('HomeAttackPlay-by-Play'!E101,Roster!$L$2:$M$27,2,FALSE),"")</f>
        <v>R</v>
      </c>
      <c r="BP101" s="48" t="str">
        <f>IF(BO101&lt;&gt;"",HYPERLINK(video!$F$29&amp;"\"&amp;"cam_1_"&amp;$BO101&amp;".avi","Play"),"")</f>
        <v/>
      </c>
      <c r="BQ101" s="48" t="str">
        <f>IF(BO101&lt;&gt;"",HYPERLINK(video!$F$29&amp;"\"&amp;"cam_2_"&amp;$BO101&amp;".avi","Play"),"")</f>
        <v/>
      </c>
      <c r="BR101" s="48" t="str">
        <f>IF(BO101&lt;&gt;"",HYPERLINK(video!$F$29&amp;"\"&amp;"cam_3_"&amp;$BO101&amp;".avi","Play"),"")</f>
        <v/>
      </c>
      <c r="BS101" s="48" t="str">
        <f>IF(BV101&lt;&gt;"",HYPERLINK(video!$F$25&amp;"\"&amp;"cam_4_"&amp;$BV101&amp;".avi","Play"),"")</f>
        <v/>
      </c>
      <c r="BT101" s="48" t="str">
        <f>IF(BV101&lt;&gt;"",HYPERLINK(video!$F$25&amp;"\"&amp;"cam_5_"&amp;$BV101&amp;".avi","Play"),"")</f>
        <v/>
      </c>
      <c r="BU101" s="48" t="str">
        <f>IF(BV101&lt;&gt;"",HYPERLINK(video!$F$25&amp;"\"&amp;"cam_6_"&amp;$BV101&amp;".avi","Play"),"")</f>
        <v/>
      </c>
      <c r="BY101" s="4">
        <f t="shared" si="5"/>
        <v>76.5</v>
      </c>
      <c r="BZ101" s="4">
        <f t="shared" si="6"/>
        <v>246</v>
      </c>
      <c r="CD101" s="5" t="str">
        <f>Lineup!$G$1</f>
        <v>一軍例行賽</v>
      </c>
      <c r="CE101" s="4">
        <f>Lineup!$I$1</f>
        <v>148</v>
      </c>
      <c r="CF101" s="5" t="str">
        <f>Lineup!$G$5</f>
        <v>王俊宏</v>
      </c>
      <c r="CG101" s="5" t="str">
        <f>Lineup!$G$4</f>
        <v>桃園</v>
      </c>
    </row>
    <row r="102" spans="1:85" x14ac:dyDescent="0.3">
      <c r="A102" s="43">
        <v>101</v>
      </c>
      <c r="B102" s="4">
        <v>3</v>
      </c>
      <c r="C102" s="4">
        <v>8</v>
      </c>
      <c r="D102" s="4">
        <v>5</v>
      </c>
      <c r="E102" s="4" t="s">
        <v>283</v>
      </c>
      <c r="F102" s="4" t="s">
        <v>341</v>
      </c>
      <c r="G102" s="4">
        <v>5</v>
      </c>
      <c r="H102" s="4">
        <v>2</v>
      </c>
      <c r="I102" s="4">
        <v>3</v>
      </c>
      <c r="J102" s="4">
        <v>1</v>
      </c>
      <c r="K102" s="4">
        <v>141</v>
      </c>
      <c r="L102" s="4" t="s">
        <v>643</v>
      </c>
      <c r="M102" s="4" t="s">
        <v>543</v>
      </c>
      <c r="N102" s="4" t="s">
        <v>642</v>
      </c>
      <c r="O102" s="4">
        <v>89.25</v>
      </c>
      <c r="P102" s="4">
        <v>90.75</v>
      </c>
      <c r="Q102" s="4" t="s">
        <v>639</v>
      </c>
      <c r="AB102" s="4" t="s">
        <v>535</v>
      </c>
      <c r="AC102" s="4" t="s">
        <v>352</v>
      </c>
      <c r="AO102" s="4">
        <v>2</v>
      </c>
      <c r="AP102" s="4">
        <v>3</v>
      </c>
      <c r="AQ102" s="4" t="s">
        <v>674</v>
      </c>
      <c r="AS102">
        <v>1</v>
      </c>
      <c r="AT102">
        <v>3</v>
      </c>
      <c r="AU102" s="33">
        <v>8901</v>
      </c>
      <c r="AV102" s="36" t="s">
        <v>644</v>
      </c>
      <c r="AW102" s="4">
        <v>8897.0000000000036</v>
      </c>
      <c r="AX102" s="4" t="str">
        <f>IFERROR(VLOOKUP(M102,Roster!$D$2:$E$27,2,FALSE),"")</f>
        <v>R</v>
      </c>
      <c r="AY102" s="4" t="str">
        <f t="shared" si="8"/>
        <v>1好3壞</v>
      </c>
      <c r="BI102" s="5" t="str">
        <f>Lineup!$G$2</f>
        <v>20210817</v>
      </c>
      <c r="BJ102" s="4" t="str">
        <f t="shared" si="7"/>
        <v>內角中</v>
      </c>
      <c r="BK102" s="4" t="str">
        <f t="shared" si="9"/>
        <v>12B1O</v>
      </c>
      <c r="BL102" s="4" t="str">
        <f>IFERROR(VLOOKUP('HomeAttackPlay-by-Play'!E102,Roster!$L$2:$M$27,2,FALSE),"")</f>
        <v>R</v>
      </c>
      <c r="BP102" s="48" t="str">
        <f>IF(BO102&lt;&gt;"",HYPERLINK(video!$F$29&amp;"\"&amp;"cam_1_"&amp;$BO102&amp;".avi","Play"),"")</f>
        <v/>
      </c>
      <c r="BQ102" s="48" t="str">
        <f>IF(BO102&lt;&gt;"",HYPERLINK(video!$F$29&amp;"\"&amp;"cam_2_"&amp;$BO102&amp;".avi","Play"),"")</f>
        <v/>
      </c>
      <c r="BR102" s="48" t="str">
        <f>IF(BO102&lt;&gt;"",HYPERLINK(video!$F$29&amp;"\"&amp;"cam_3_"&amp;$BO102&amp;".avi","Play"),"")</f>
        <v/>
      </c>
      <c r="BS102" s="48" t="str">
        <f>IF(BV102&lt;&gt;"",HYPERLINK(video!$F$25&amp;"\"&amp;"cam_4_"&amp;$BV102&amp;".avi","Play"),"")</f>
        <v/>
      </c>
      <c r="BT102" s="48" t="str">
        <f>IF(BV102&lt;&gt;"",HYPERLINK(video!$F$25&amp;"\"&amp;"cam_5_"&amp;$BV102&amp;".avi","Play"),"")</f>
        <v/>
      </c>
      <c r="BU102" s="48" t="str">
        <f>IF(BV102&lt;&gt;"",HYPERLINK(video!$F$25&amp;"\"&amp;"cam_6_"&amp;$BV102&amp;".avi","Play"),"")</f>
        <v/>
      </c>
      <c r="BY102" s="4">
        <f t="shared" si="5"/>
        <v>95.25</v>
      </c>
      <c r="BZ102" s="4">
        <f t="shared" si="6"/>
        <v>246</v>
      </c>
      <c r="CD102" s="5" t="str">
        <f>Lineup!$G$1</f>
        <v>一軍例行賽</v>
      </c>
      <c r="CE102" s="4">
        <f>Lineup!$I$1</f>
        <v>148</v>
      </c>
      <c r="CF102" s="5" t="str">
        <f>Lineup!$G$5</f>
        <v>王俊宏</v>
      </c>
      <c r="CG102" s="5" t="str">
        <f>Lineup!$G$4</f>
        <v>桃園</v>
      </c>
    </row>
    <row r="103" spans="1:85" x14ac:dyDescent="0.3">
      <c r="A103" s="43">
        <v>102</v>
      </c>
      <c r="B103" s="4">
        <v>3</v>
      </c>
      <c r="C103" s="4">
        <v>8</v>
      </c>
      <c r="D103" s="4">
        <v>5</v>
      </c>
      <c r="E103" s="4" t="s">
        <v>283</v>
      </c>
      <c r="F103" s="4" t="s">
        <v>341</v>
      </c>
      <c r="G103" s="4">
        <v>6</v>
      </c>
      <c r="H103" s="4">
        <v>3</v>
      </c>
      <c r="I103" s="4">
        <v>3</v>
      </c>
      <c r="J103" s="4">
        <v>2</v>
      </c>
      <c r="K103" s="4">
        <v>140</v>
      </c>
      <c r="L103" s="4" t="s">
        <v>643</v>
      </c>
      <c r="M103" s="4" t="s">
        <v>543</v>
      </c>
      <c r="N103" s="4" t="s">
        <v>642</v>
      </c>
      <c r="O103" s="4">
        <v>101.25</v>
      </c>
      <c r="P103" s="4">
        <v>118.5</v>
      </c>
      <c r="Q103" s="4" t="s">
        <v>639</v>
      </c>
      <c r="R103" s="5" t="s">
        <v>693</v>
      </c>
      <c r="AB103" s="4" t="s">
        <v>535</v>
      </c>
      <c r="AC103" s="4" t="s">
        <v>352</v>
      </c>
      <c r="AI103" s="4" t="s">
        <v>543</v>
      </c>
      <c r="AK103" s="4">
        <v>1</v>
      </c>
      <c r="AM103" s="4">
        <v>1</v>
      </c>
      <c r="AO103" s="4">
        <v>3</v>
      </c>
      <c r="AP103" s="4">
        <v>3</v>
      </c>
      <c r="AQ103" s="4" t="s">
        <v>675</v>
      </c>
      <c r="AR103" s="4" t="s">
        <v>705</v>
      </c>
      <c r="AS103">
        <v>2</v>
      </c>
      <c r="AT103">
        <v>3</v>
      </c>
      <c r="AU103" s="33">
        <v>8940.0000000000073</v>
      </c>
      <c r="AV103" s="36" t="s">
        <v>644</v>
      </c>
      <c r="AW103" s="4">
        <v>8932.9999999999891</v>
      </c>
      <c r="AX103" s="4" t="str">
        <f>IFERROR(VLOOKUP(M103,Roster!$D$2:$E$27,2,FALSE),"")</f>
        <v>R</v>
      </c>
      <c r="AY103" s="4" t="str">
        <f t="shared" si="8"/>
        <v>2好3壞</v>
      </c>
      <c r="BI103" s="5" t="str">
        <f>Lineup!$G$2</f>
        <v>20210817</v>
      </c>
      <c r="BJ103" s="4" t="str">
        <f t="shared" si="7"/>
        <v>內角低</v>
      </c>
      <c r="BK103" s="4" t="str">
        <f t="shared" si="9"/>
        <v>12B1O</v>
      </c>
      <c r="BL103" s="4" t="str">
        <f>IFERROR(VLOOKUP('HomeAttackPlay-by-Play'!E103,Roster!$L$2:$M$27,2,FALSE),"")</f>
        <v>R</v>
      </c>
      <c r="BP103" s="48" t="str">
        <f>IF(BO103&lt;&gt;"",HYPERLINK(video!$F$29&amp;"\"&amp;"cam_1_"&amp;$BO103&amp;".avi","Play"),"")</f>
        <v/>
      </c>
      <c r="BQ103" s="48" t="str">
        <f>IF(BO103&lt;&gt;"",HYPERLINK(video!$F$29&amp;"\"&amp;"cam_2_"&amp;$BO103&amp;".avi","Play"),"")</f>
        <v/>
      </c>
      <c r="BR103" s="48" t="str">
        <f>IF(BO103&lt;&gt;"",HYPERLINK(video!$F$29&amp;"\"&amp;"cam_3_"&amp;$BO103&amp;".avi","Play"),"")</f>
        <v/>
      </c>
      <c r="BS103" s="48" t="str">
        <f>IF(BV103&lt;&gt;"",HYPERLINK(video!$F$25&amp;"\"&amp;"cam_4_"&amp;$BV103&amp;".avi","Play"),"")</f>
        <v/>
      </c>
      <c r="BT103" s="48" t="str">
        <f>IF(BV103&lt;&gt;"",HYPERLINK(video!$F$25&amp;"\"&amp;"cam_5_"&amp;$BV103&amp;".avi","Play"),"")</f>
        <v/>
      </c>
      <c r="BU103" s="48" t="str">
        <f>IF(BV103&lt;&gt;"",HYPERLINK(video!$F$25&amp;"\"&amp;"cam_6_"&amp;$BV103&amp;".avi","Play"),"")</f>
        <v/>
      </c>
      <c r="BY103" s="4">
        <f t="shared" si="5"/>
        <v>67.5</v>
      </c>
      <c r="BZ103" s="4">
        <f t="shared" si="6"/>
        <v>246</v>
      </c>
      <c r="CD103" s="5" t="str">
        <f>Lineup!$G$1</f>
        <v>一軍例行賽</v>
      </c>
      <c r="CE103" s="4">
        <f>Lineup!$I$1</f>
        <v>148</v>
      </c>
      <c r="CF103" s="5" t="str">
        <f>Lineup!$G$5</f>
        <v>王俊宏</v>
      </c>
      <c r="CG103" s="5" t="str">
        <f>Lineup!$G$4</f>
        <v>桃園</v>
      </c>
    </row>
    <row r="104" spans="1:85" x14ac:dyDescent="0.3">
      <c r="A104" s="43">
        <v>103</v>
      </c>
      <c r="B104" s="4">
        <v>3</v>
      </c>
      <c r="C104" s="4">
        <v>8</v>
      </c>
      <c r="D104" s="4">
        <v>5</v>
      </c>
      <c r="E104" s="4" t="s">
        <v>283</v>
      </c>
      <c r="F104" s="4" t="s">
        <v>341</v>
      </c>
      <c r="G104" s="4">
        <v>7</v>
      </c>
      <c r="H104" s="4">
        <v>3</v>
      </c>
      <c r="I104" s="4">
        <v>4</v>
      </c>
      <c r="J104" s="4">
        <v>2</v>
      </c>
      <c r="K104" s="4">
        <v>132</v>
      </c>
      <c r="L104" s="4" t="s">
        <v>646</v>
      </c>
      <c r="M104" s="4" t="s">
        <v>376</v>
      </c>
      <c r="N104" s="4" t="s">
        <v>642</v>
      </c>
      <c r="O104" s="4">
        <v>40.5</v>
      </c>
      <c r="P104" s="4">
        <v>130.5</v>
      </c>
      <c r="Q104" s="4" t="s">
        <v>641</v>
      </c>
      <c r="AB104" s="4" t="s">
        <v>535</v>
      </c>
      <c r="AC104" s="4" t="s">
        <v>352</v>
      </c>
      <c r="AO104" s="4">
        <v>0</v>
      </c>
      <c r="AP104" s="4">
        <v>1</v>
      </c>
      <c r="AQ104" s="4" t="s">
        <v>652</v>
      </c>
      <c r="AS104">
        <v>0</v>
      </c>
      <c r="AT104">
        <v>0</v>
      </c>
      <c r="AU104" s="33">
        <v>8983.9999999999982</v>
      </c>
      <c r="AV104" s="36" t="s">
        <v>644</v>
      </c>
      <c r="AW104" s="4">
        <v>8980.9999999999964</v>
      </c>
      <c r="AX104" s="4" t="str">
        <f>IFERROR(VLOOKUP(M104,Roster!$D$2:$E$27,2,FALSE),"")</f>
        <v>R</v>
      </c>
      <c r="AY104" s="4" t="str">
        <f t="shared" si="8"/>
        <v>0好0壞</v>
      </c>
      <c r="BI104" s="5" t="str">
        <f>Lineup!$G$2</f>
        <v>20210817</v>
      </c>
      <c r="BJ104" s="4" t="str">
        <f t="shared" si="7"/>
        <v>偏外角偏低</v>
      </c>
      <c r="BK104" s="4" t="str">
        <f t="shared" si="9"/>
        <v>12B2O</v>
      </c>
      <c r="BL104" s="4" t="str">
        <f>IFERROR(VLOOKUP('HomeAttackPlay-by-Play'!E104,Roster!$L$2:$M$27,2,FALSE),"")</f>
        <v>R</v>
      </c>
      <c r="BP104" s="48" t="str">
        <f>IF(BO104&lt;&gt;"",HYPERLINK(video!$F$29&amp;"\"&amp;"cam_1_"&amp;$BO104&amp;".avi","Play"),"")</f>
        <v/>
      </c>
      <c r="BQ104" s="48" t="str">
        <f>IF(BO104&lt;&gt;"",HYPERLINK(video!$F$29&amp;"\"&amp;"cam_2_"&amp;$BO104&amp;".avi","Play"),"")</f>
        <v/>
      </c>
      <c r="BR104" s="48" t="str">
        <f>IF(BO104&lt;&gt;"",HYPERLINK(video!$F$29&amp;"\"&amp;"cam_3_"&amp;$BO104&amp;".avi","Play"),"")</f>
        <v/>
      </c>
      <c r="BS104" s="48" t="str">
        <f>IF(BV104&lt;&gt;"",HYPERLINK(video!$F$25&amp;"\"&amp;"cam_4_"&amp;$BV104&amp;".avi","Play"),"")</f>
        <v/>
      </c>
      <c r="BT104" s="48" t="str">
        <f>IF(BV104&lt;&gt;"",HYPERLINK(video!$F$25&amp;"\"&amp;"cam_5_"&amp;$BV104&amp;".avi","Play"),"")</f>
        <v/>
      </c>
      <c r="BU104" s="48" t="str">
        <f>IF(BV104&lt;&gt;"",HYPERLINK(video!$F$25&amp;"\"&amp;"cam_6_"&amp;$BV104&amp;".avi","Play"),"")</f>
        <v/>
      </c>
      <c r="BY104" s="4">
        <f t="shared" si="5"/>
        <v>55.5</v>
      </c>
      <c r="BZ104" s="4">
        <f t="shared" si="6"/>
        <v>246</v>
      </c>
      <c r="CD104" s="5" t="str">
        <f>Lineup!$G$1</f>
        <v>一軍例行賽</v>
      </c>
      <c r="CE104" s="4">
        <f>Lineup!$I$1</f>
        <v>148</v>
      </c>
      <c r="CF104" s="5" t="str">
        <f>Lineup!$G$5</f>
        <v>王俊宏</v>
      </c>
      <c r="CG104" s="5" t="str">
        <f>Lineup!$G$4</f>
        <v>桃園</v>
      </c>
    </row>
    <row r="105" spans="1:85" x14ac:dyDescent="0.3">
      <c r="A105" s="43">
        <v>104</v>
      </c>
      <c r="B105" s="4">
        <v>4</v>
      </c>
      <c r="C105" s="4">
        <v>8</v>
      </c>
      <c r="D105" s="4">
        <v>5</v>
      </c>
      <c r="E105" s="4" t="s">
        <v>283</v>
      </c>
      <c r="F105" s="4" t="s">
        <v>341</v>
      </c>
      <c r="G105" s="4">
        <v>8</v>
      </c>
      <c r="H105" s="4">
        <v>4</v>
      </c>
      <c r="I105" s="4">
        <v>4</v>
      </c>
      <c r="J105" s="4">
        <v>2</v>
      </c>
      <c r="K105" s="4">
        <v>141</v>
      </c>
      <c r="L105" s="4" t="s">
        <v>643</v>
      </c>
      <c r="M105" s="4" t="s">
        <v>376</v>
      </c>
      <c r="N105" s="4" t="s">
        <v>649</v>
      </c>
      <c r="O105" s="4">
        <v>81</v>
      </c>
      <c r="P105" s="4">
        <v>93</v>
      </c>
      <c r="Q105" s="4" t="s">
        <v>639</v>
      </c>
      <c r="R105" s="5" t="s">
        <v>656</v>
      </c>
      <c r="S105" s="4">
        <v>103.5</v>
      </c>
      <c r="T105" s="4">
        <v>125.25</v>
      </c>
      <c r="U105" s="4" t="s">
        <v>396</v>
      </c>
      <c r="AB105" s="4" t="s">
        <v>376</v>
      </c>
      <c r="AC105" s="4" t="s">
        <v>535</v>
      </c>
      <c r="AE105" s="4" t="s">
        <v>703</v>
      </c>
      <c r="AF105" s="4" t="s">
        <v>661</v>
      </c>
      <c r="AG105" s="4" t="s">
        <v>661</v>
      </c>
      <c r="AM105" s="4">
        <v>1</v>
      </c>
      <c r="AO105" s="4">
        <v>1</v>
      </c>
      <c r="AP105" s="4">
        <v>1</v>
      </c>
      <c r="AQ105" s="4" t="s">
        <v>645</v>
      </c>
      <c r="AS105">
        <v>0</v>
      </c>
      <c r="AT105">
        <v>1</v>
      </c>
      <c r="AU105" s="33">
        <v>9027.9999999999891</v>
      </c>
      <c r="AV105" s="36" t="s">
        <v>644</v>
      </c>
      <c r="AW105" s="4">
        <v>9012.9999999999964</v>
      </c>
      <c r="AX105" s="4" t="str">
        <f>IFERROR(VLOOKUP(M105,Roster!$D$2:$E$27,2,FALSE),"")</f>
        <v>R</v>
      </c>
      <c r="AY105" s="4" t="str">
        <f t="shared" si="8"/>
        <v>0好1壞</v>
      </c>
      <c r="BI105" s="5" t="str">
        <f>Lineup!$G$2</f>
        <v>20210817</v>
      </c>
      <c r="BJ105" s="4" t="str">
        <f t="shared" si="7"/>
        <v>中中</v>
      </c>
      <c r="BK105" s="4" t="str">
        <f t="shared" si="9"/>
        <v>12B2O</v>
      </c>
      <c r="BL105" s="4" t="str">
        <f>IFERROR(VLOOKUP('HomeAttackPlay-by-Play'!E105,Roster!$L$2:$M$27,2,FALSE),"")</f>
        <v>R</v>
      </c>
      <c r="BP105" s="48" t="str">
        <f>IF(BO105&lt;&gt;"",HYPERLINK(video!$F$29&amp;"\"&amp;"cam_1_"&amp;$BO105&amp;".avi","Play"),"")</f>
        <v/>
      </c>
      <c r="BQ105" s="48" t="str">
        <f>IF(BO105&lt;&gt;"",HYPERLINK(video!$F$29&amp;"\"&amp;"cam_2_"&amp;$BO105&amp;".avi","Play"),"")</f>
        <v/>
      </c>
      <c r="BR105" s="48" t="str">
        <f>IF(BO105&lt;&gt;"",HYPERLINK(video!$F$29&amp;"\"&amp;"cam_3_"&amp;$BO105&amp;".avi","Play"),"")</f>
        <v/>
      </c>
      <c r="BS105" s="48" t="str">
        <f>IF(BV105&lt;&gt;"",HYPERLINK(video!$F$25&amp;"\"&amp;"cam_4_"&amp;$BV105&amp;".avi","Play"),"")</f>
        <v/>
      </c>
      <c r="BT105" s="48" t="str">
        <f>IF(BV105&lt;&gt;"",HYPERLINK(video!$F$25&amp;"\"&amp;"cam_5_"&amp;$BV105&amp;".avi","Play"),"")</f>
        <v/>
      </c>
      <c r="BU105" s="48" t="str">
        <f>IF(BV105&lt;&gt;"",HYPERLINK(video!$F$25&amp;"\"&amp;"cam_6_"&amp;$BV105&amp;".avi","Play"),"")</f>
        <v/>
      </c>
      <c r="BY105" s="4">
        <f t="shared" si="5"/>
        <v>93</v>
      </c>
      <c r="BZ105" s="4">
        <f t="shared" si="6"/>
        <v>120.75</v>
      </c>
      <c r="CD105" s="5" t="str">
        <f>Lineup!$G$1</f>
        <v>一軍例行賽</v>
      </c>
      <c r="CE105" s="4">
        <f>Lineup!$I$1</f>
        <v>148</v>
      </c>
      <c r="CF105" s="5" t="str">
        <f>Lineup!$G$5</f>
        <v>王俊宏</v>
      </c>
      <c r="CG105" s="5" t="str">
        <f>Lineup!$G$4</f>
        <v>桃園</v>
      </c>
    </row>
    <row r="106" spans="1:85" x14ac:dyDescent="0.3">
      <c r="A106" s="43">
        <v>105</v>
      </c>
      <c r="B106" s="4">
        <v>4</v>
      </c>
      <c r="C106" s="4">
        <v>8</v>
      </c>
      <c r="D106" s="4">
        <v>5</v>
      </c>
      <c r="E106" s="4" t="s">
        <v>283</v>
      </c>
      <c r="F106" s="4" t="s">
        <v>341</v>
      </c>
      <c r="G106" s="4">
        <v>9</v>
      </c>
      <c r="H106" s="4">
        <v>5</v>
      </c>
      <c r="I106" s="4">
        <v>4</v>
      </c>
      <c r="J106" s="4">
        <v>2</v>
      </c>
      <c r="L106" s="4" t="s">
        <v>643</v>
      </c>
      <c r="M106" s="4" t="s">
        <v>571</v>
      </c>
      <c r="N106" s="4" t="s">
        <v>642</v>
      </c>
      <c r="O106" s="4">
        <v>60</v>
      </c>
      <c r="P106" s="4">
        <v>112.5</v>
      </c>
      <c r="Q106" s="4" t="s">
        <v>639</v>
      </c>
      <c r="AB106" s="4" t="s">
        <v>376</v>
      </c>
      <c r="AC106" s="4" t="s">
        <v>535</v>
      </c>
      <c r="AO106" s="4">
        <v>1</v>
      </c>
      <c r="AP106" s="4">
        <v>0</v>
      </c>
      <c r="AQ106" s="4" t="s">
        <v>640</v>
      </c>
      <c r="AS106">
        <v>0</v>
      </c>
      <c r="AT106">
        <v>0</v>
      </c>
      <c r="AU106" s="33">
        <v>9179</v>
      </c>
      <c r="AV106" s="36" t="s">
        <v>644</v>
      </c>
      <c r="AW106" s="4">
        <v>9175.0000000000018</v>
      </c>
      <c r="AX106" s="4" t="str">
        <f>IFERROR(VLOOKUP(M106,Roster!$D$2:$E$27,2,FALSE),"")</f>
        <v>R</v>
      </c>
      <c r="AY106" s="4" t="str">
        <f t="shared" si="8"/>
        <v>0好0壞</v>
      </c>
      <c r="BI106" s="5" t="str">
        <f>Lineup!$G$2</f>
        <v>20210817</v>
      </c>
      <c r="BJ106" s="4" t="str">
        <f t="shared" si="7"/>
        <v>外角低</v>
      </c>
      <c r="BK106" s="4" t="str">
        <f t="shared" si="9"/>
        <v>12B2O</v>
      </c>
      <c r="BL106" s="4" t="str">
        <f>IFERROR(VLOOKUP('HomeAttackPlay-by-Play'!E106,Roster!$L$2:$M$27,2,FALSE),"")</f>
        <v>R</v>
      </c>
      <c r="BP106" s="48" t="str">
        <f>IF(BO106&lt;&gt;"",HYPERLINK(video!$F$29&amp;"\"&amp;"cam_1_"&amp;$BO106&amp;".avi","Play"),"")</f>
        <v/>
      </c>
      <c r="BQ106" s="48" t="str">
        <f>IF(BO106&lt;&gt;"",HYPERLINK(video!$F$29&amp;"\"&amp;"cam_2_"&amp;$BO106&amp;".avi","Play"),"")</f>
        <v/>
      </c>
      <c r="BR106" s="48" t="str">
        <f>IF(BO106&lt;&gt;"",HYPERLINK(video!$F$29&amp;"\"&amp;"cam_3_"&amp;$BO106&amp;".avi","Play"),"")</f>
        <v/>
      </c>
      <c r="BS106" s="48" t="str">
        <f>IF(BV106&lt;&gt;"",HYPERLINK(video!$F$25&amp;"\"&amp;"cam_4_"&amp;$BV106&amp;".avi","Play"),"")</f>
        <v/>
      </c>
      <c r="BT106" s="48" t="str">
        <f>IF(BV106&lt;&gt;"",HYPERLINK(video!$F$25&amp;"\"&amp;"cam_5_"&amp;$BV106&amp;".avi","Play"),"")</f>
        <v/>
      </c>
      <c r="BU106" s="48" t="str">
        <f>IF(BV106&lt;&gt;"",HYPERLINK(video!$F$25&amp;"\"&amp;"cam_6_"&amp;$BV106&amp;".avi","Play"),"")</f>
        <v/>
      </c>
      <c r="BY106" s="4">
        <f t="shared" si="5"/>
        <v>73.5</v>
      </c>
      <c r="BZ106" s="4">
        <f t="shared" si="6"/>
        <v>246</v>
      </c>
      <c r="CD106" s="5" t="str">
        <f>Lineup!$G$1</f>
        <v>一軍例行賽</v>
      </c>
      <c r="CE106" s="4">
        <f>Lineup!$I$1</f>
        <v>148</v>
      </c>
      <c r="CF106" s="5" t="str">
        <f>Lineup!$G$5</f>
        <v>王俊宏</v>
      </c>
      <c r="CG106" s="5" t="str">
        <f>Lineup!$G$4</f>
        <v>桃園</v>
      </c>
    </row>
    <row r="107" spans="1:85" x14ac:dyDescent="0.3">
      <c r="A107" s="43">
        <v>106</v>
      </c>
      <c r="B107" s="4">
        <v>4</v>
      </c>
      <c r="C107" s="4">
        <v>8</v>
      </c>
      <c r="D107" s="4">
        <v>5</v>
      </c>
      <c r="E107" s="4" t="s">
        <v>283</v>
      </c>
      <c r="F107" s="4" t="s">
        <v>341</v>
      </c>
      <c r="G107" s="4">
        <v>10</v>
      </c>
      <c r="H107" s="4">
        <v>5</v>
      </c>
      <c r="I107" s="4">
        <v>5</v>
      </c>
      <c r="J107" s="4">
        <v>2</v>
      </c>
      <c r="K107" s="4">
        <v>135</v>
      </c>
      <c r="L107" s="4" t="s">
        <v>646</v>
      </c>
      <c r="M107" s="4" t="s">
        <v>571</v>
      </c>
      <c r="N107" s="4" t="s">
        <v>642</v>
      </c>
      <c r="O107" s="4">
        <v>17.25</v>
      </c>
      <c r="P107" s="4">
        <v>132</v>
      </c>
      <c r="Q107" s="4" t="s">
        <v>641</v>
      </c>
      <c r="AB107" s="4" t="s">
        <v>376</v>
      </c>
      <c r="AC107" s="4" t="s">
        <v>535</v>
      </c>
      <c r="AO107" s="4">
        <v>1</v>
      </c>
      <c r="AP107" s="4">
        <v>1</v>
      </c>
      <c r="AQ107" s="4" t="s">
        <v>645</v>
      </c>
      <c r="AS107">
        <v>1</v>
      </c>
      <c r="AT107">
        <v>0</v>
      </c>
      <c r="AU107" s="33">
        <v>9246.9999999999945</v>
      </c>
      <c r="AV107" s="36" t="s">
        <v>644</v>
      </c>
      <c r="AW107" s="4">
        <v>9244.0000000000036</v>
      </c>
      <c r="AX107" s="4" t="str">
        <f>IFERROR(VLOOKUP(M107,Roster!$D$2:$E$27,2,FALSE),"")</f>
        <v>R</v>
      </c>
      <c r="AY107" s="4" t="str">
        <f t="shared" si="8"/>
        <v>1好0壞</v>
      </c>
      <c r="BI107" s="5" t="str">
        <f>Lineup!$G$2</f>
        <v>20210817</v>
      </c>
      <c r="BJ107" s="4" t="str">
        <f t="shared" si="7"/>
        <v>偏外角偏低</v>
      </c>
      <c r="BK107" s="4" t="str">
        <f t="shared" si="9"/>
        <v>12B2O</v>
      </c>
      <c r="BL107" s="4" t="str">
        <f>IFERROR(VLOOKUP('HomeAttackPlay-by-Play'!E107,Roster!$L$2:$M$27,2,FALSE),"")</f>
        <v>R</v>
      </c>
      <c r="BP107" s="48" t="str">
        <f>IF(BO107&lt;&gt;"",HYPERLINK(video!$F$29&amp;"\"&amp;"cam_1_"&amp;$BO107&amp;".avi","Play"),"")</f>
        <v/>
      </c>
      <c r="BQ107" s="48" t="str">
        <f>IF(BO107&lt;&gt;"",HYPERLINK(video!$F$29&amp;"\"&amp;"cam_2_"&amp;$BO107&amp;".avi","Play"),"")</f>
        <v/>
      </c>
      <c r="BR107" s="48" t="str">
        <f>IF(BO107&lt;&gt;"",HYPERLINK(video!$F$29&amp;"\"&amp;"cam_3_"&amp;$BO107&amp;".avi","Play"),"")</f>
        <v/>
      </c>
      <c r="BS107" s="48" t="str">
        <f>IF(BV107&lt;&gt;"",HYPERLINK(video!$F$25&amp;"\"&amp;"cam_4_"&amp;$BV107&amp;".avi","Play"),"")</f>
        <v/>
      </c>
      <c r="BT107" s="48" t="str">
        <f>IF(BV107&lt;&gt;"",HYPERLINK(video!$F$25&amp;"\"&amp;"cam_5_"&amp;$BV107&amp;".avi","Play"),"")</f>
        <v/>
      </c>
      <c r="BU107" s="48" t="str">
        <f>IF(BV107&lt;&gt;"",HYPERLINK(video!$F$25&amp;"\"&amp;"cam_6_"&amp;$BV107&amp;".avi","Play"),"")</f>
        <v/>
      </c>
      <c r="BY107" s="4">
        <f t="shared" si="5"/>
        <v>54</v>
      </c>
      <c r="BZ107" s="4">
        <f t="shared" si="6"/>
        <v>246</v>
      </c>
      <c r="CD107" s="5" t="str">
        <f>Lineup!$G$1</f>
        <v>一軍例行賽</v>
      </c>
      <c r="CE107" s="4">
        <f>Lineup!$I$1</f>
        <v>148</v>
      </c>
      <c r="CF107" s="5" t="str">
        <f>Lineup!$G$5</f>
        <v>王俊宏</v>
      </c>
      <c r="CG107" s="5" t="str">
        <f>Lineup!$G$4</f>
        <v>桃園</v>
      </c>
    </row>
    <row r="108" spans="1:85" x14ac:dyDescent="0.3">
      <c r="A108" s="43">
        <v>107</v>
      </c>
      <c r="B108" s="4">
        <v>4</v>
      </c>
      <c r="C108" s="4">
        <v>8</v>
      </c>
      <c r="D108" s="4">
        <v>5</v>
      </c>
      <c r="E108" s="4" t="s">
        <v>283</v>
      </c>
      <c r="F108" s="4" t="s">
        <v>341</v>
      </c>
      <c r="G108" s="4">
        <v>11</v>
      </c>
      <c r="H108" s="4">
        <v>6</v>
      </c>
      <c r="I108" s="4">
        <v>5</v>
      </c>
      <c r="J108" s="4">
        <v>2</v>
      </c>
      <c r="K108" s="4">
        <v>140</v>
      </c>
      <c r="L108" s="4" t="s">
        <v>643</v>
      </c>
      <c r="M108" s="4" t="s">
        <v>571</v>
      </c>
      <c r="N108" s="4" t="s">
        <v>649</v>
      </c>
      <c r="O108" s="4">
        <v>63</v>
      </c>
      <c r="P108" s="4">
        <v>63.75</v>
      </c>
      <c r="Q108" s="4" t="s">
        <v>109</v>
      </c>
      <c r="R108" s="5" t="s">
        <v>678</v>
      </c>
      <c r="S108" s="4">
        <v>139.5</v>
      </c>
      <c r="T108" s="4">
        <v>176.25</v>
      </c>
      <c r="U108" s="4" t="s">
        <v>350</v>
      </c>
      <c r="AB108" s="4" t="s">
        <v>571</v>
      </c>
      <c r="AC108" s="4" t="s">
        <v>376</v>
      </c>
      <c r="AD108" s="4" t="s">
        <v>535</v>
      </c>
      <c r="AE108" s="4" t="s">
        <v>661</v>
      </c>
      <c r="AF108" s="4" t="s">
        <v>661</v>
      </c>
      <c r="AG108" s="4" t="s">
        <v>661</v>
      </c>
      <c r="AM108" s="4">
        <v>1</v>
      </c>
      <c r="AO108" s="4">
        <v>2</v>
      </c>
      <c r="AP108" s="4">
        <v>1</v>
      </c>
      <c r="AQ108" s="4" t="s">
        <v>647</v>
      </c>
      <c r="AS108">
        <v>1</v>
      </c>
      <c r="AT108">
        <v>1</v>
      </c>
      <c r="AU108" s="33">
        <v>9295.9999999999982</v>
      </c>
      <c r="AV108" s="36" t="s">
        <v>644</v>
      </c>
      <c r="AW108" s="4">
        <v>9284.9999999999927</v>
      </c>
      <c r="AX108" s="4" t="str">
        <f>IFERROR(VLOOKUP(M108,Roster!$D$2:$E$27,2,FALSE),"")</f>
        <v>R</v>
      </c>
      <c r="AY108" s="4" t="str">
        <f t="shared" si="8"/>
        <v>1好1壞</v>
      </c>
      <c r="BI108" s="5" t="str">
        <f>Lineup!$G$2</f>
        <v>20210817</v>
      </c>
      <c r="BJ108" s="4" t="str">
        <f t="shared" si="7"/>
        <v>外角高</v>
      </c>
      <c r="BK108" s="4" t="str">
        <f t="shared" si="9"/>
        <v>12B2O</v>
      </c>
      <c r="BL108" s="4" t="str">
        <f>IFERROR(VLOOKUP('HomeAttackPlay-by-Play'!E108,Roster!$L$2:$M$27,2,FALSE),"")</f>
        <v>R</v>
      </c>
      <c r="BP108" s="48" t="str">
        <f>IF(BO108&lt;&gt;"",HYPERLINK(video!$F$29&amp;"\"&amp;"cam_1_"&amp;$BO108&amp;".avi","Play"),"")</f>
        <v/>
      </c>
      <c r="BQ108" s="48" t="str">
        <f>IF(BO108&lt;&gt;"",HYPERLINK(video!$F$29&amp;"\"&amp;"cam_2_"&amp;$BO108&amp;".avi","Play"),"")</f>
        <v/>
      </c>
      <c r="BR108" s="48" t="str">
        <f>IF(BO108&lt;&gt;"",HYPERLINK(video!$F$29&amp;"\"&amp;"cam_3_"&amp;$BO108&amp;".avi","Play"),"")</f>
        <v/>
      </c>
      <c r="BS108" s="48" t="str">
        <f>IF(BV108&lt;&gt;"",HYPERLINK(video!$F$25&amp;"\"&amp;"cam_4_"&amp;$BV108&amp;".avi","Play"),"")</f>
        <v/>
      </c>
      <c r="BT108" s="48" t="str">
        <f>IF(BV108&lt;&gt;"",HYPERLINK(video!$F$25&amp;"\"&amp;"cam_5_"&amp;$BV108&amp;".avi","Play"),"")</f>
        <v/>
      </c>
      <c r="BU108" s="48" t="str">
        <f>IF(BV108&lt;&gt;"",HYPERLINK(video!$F$25&amp;"\"&amp;"cam_6_"&amp;$BV108&amp;".avi","Play"),"")</f>
        <v/>
      </c>
      <c r="BY108" s="4">
        <f t="shared" si="5"/>
        <v>122.25</v>
      </c>
      <c r="BZ108" s="4">
        <f t="shared" si="6"/>
        <v>69.75</v>
      </c>
      <c r="CD108" s="5" t="str">
        <f>Lineup!$G$1</f>
        <v>一軍例行賽</v>
      </c>
      <c r="CE108" s="4">
        <f>Lineup!$I$1</f>
        <v>148</v>
      </c>
      <c r="CF108" s="5" t="str">
        <f>Lineup!$G$5</f>
        <v>王俊宏</v>
      </c>
      <c r="CG108" s="5" t="str">
        <f>Lineup!$G$4</f>
        <v>桃園</v>
      </c>
    </row>
    <row r="109" spans="1:85" x14ac:dyDescent="0.3">
      <c r="A109" s="43">
        <v>108</v>
      </c>
      <c r="B109" s="4">
        <v>4</v>
      </c>
      <c r="C109" s="4">
        <v>8</v>
      </c>
      <c r="D109" s="4">
        <v>5</v>
      </c>
      <c r="E109" s="4" t="s">
        <v>283</v>
      </c>
      <c r="F109" s="4" t="s">
        <v>341</v>
      </c>
      <c r="G109" s="4">
        <v>12</v>
      </c>
      <c r="H109" s="4">
        <v>7</v>
      </c>
      <c r="I109" s="4">
        <v>5</v>
      </c>
      <c r="J109" s="4">
        <v>3</v>
      </c>
      <c r="K109" s="4">
        <v>132</v>
      </c>
      <c r="L109" s="4" t="s">
        <v>646</v>
      </c>
      <c r="M109" s="4" t="s">
        <v>381</v>
      </c>
      <c r="N109" s="4" t="s">
        <v>649</v>
      </c>
      <c r="O109" s="4">
        <v>63.75</v>
      </c>
      <c r="P109" s="4">
        <v>78</v>
      </c>
      <c r="Q109" s="4" t="s">
        <v>639</v>
      </c>
      <c r="R109" s="5" t="s">
        <v>676</v>
      </c>
      <c r="S109" s="4">
        <v>255.75</v>
      </c>
      <c r="T109" s="4">
        <v>101.25</v>
      </c>
      <c r="U109" s="4" t="s">
        <v>266</v>
      </c>
      <c r="AB109" s="4" t="s">
        <v>571</v>
      </c>
      <c r="AC109" s="4" t="s">
        <v>376</v>
      </c>
      <c r="AD109" s="4" t="s">
        <v>535</v>
      </c>
      <c r="AE109" s="4" t="s">
        <v>661</v>
      </c>
      <c r="AF109" s="4" t="s">
        <v>661</v>
      </c>
      <c r="AG109" s="4" t="s">
        <v>661</v>
      </c>
      <c r="AJ109" s="4" t="s">
        <v>381</v>
      </c>
      <c r="AK109" s="4">
        <v>1</v>
      </c>
      <c r="AM109" s="4">
        <v>1</v>
      </c>
      <c r="AO109" s="4">
        <v>1</v>
      </c>
      <c r="AP109" s="4">
        <v>0</v>
      </c>
      <c r="AQ109" s="4" t="s">
        <v>640</v>
      </c>
      <c r="AR109" s="4" t="s">
        <v>680</v>
      </c>
      <c r="AS109">
        <v>0</v>
      </c>
      <c r="AT109">
        <v>0</v>
      </c>
      <c r="AU109" s="33">
        <v>9355.9999999999891</v>
      </c>
      <c r="AV109" s="36" t="s">
        <v>644</v>
      </c>
      <c r="AW109" s="4">
        <v>9346</v>
      </c>
      <c r="AX109" s="4" t="str">
        <f>IFERROR(VLOOKUP(M109,Roster!$D$2:$E$27,2,FALSE),"")</f>
        <v>R</v>
      </c>
      <c r="AY109" s="4" t="str">
        <f t="shared" si="8"/>
        <v>0好0壞</v>
      </c>
      <c r="BI109" s="5" t="str">
        <f>Lineup!$G$2</f>
        <v>20210817</v>
      </c>
      <c r="BJ109" s="4" t="str">
        <f t="shared" si="7"/>
        <v>外角高</v>
      </c>
      <c r="BK109" s="4" t="str">
        <f t="shared" si="9"/>
        <v>123B2O</v>
      </c>
      <c r="BL109" s="4" t="str">
        <f>IFERROR(VLOOKUP('HomeAttackPlay-by-Play'!E109,Roster!$L$2:$M$27,2,FALSE),"")</f>
        <v>R</v>
      </c>
      <c r="BP109" s="48" t="str">
        <f>IF(BO109&lt;&gt;"",HYPERLINK(video!$F$29&amp;"\"&amp;"cam_1_"&amp;$BO109&amp;".avi","Play"),"")</f>
        <v/>
      </c>
      <c r="BQ109" s="48" t="str">
        <f>IF(BO109&lt;&gt;"",HYPERLINK(video!$F$29&amp;"\"&amp;"cam_2_"&amp;$BO109&amp;".avi","Play"),"")</f>
        <v/>
      </c>
      <c r="BR109" s="48" t="str">
        <f>IF(BO109&lt;&gt;"",HYPERLINK(video!$F$29&amp;"\"&amp;"cam_3_"&amp;$BO109&amp;".avi","Play"),"")</f>
        <v/>
      </c>
      <c r="BS109" s="48" t="str">
        <f>IF(BV109&lt;&gt;"",HYPERLINK(video!$F$25&amp;"\"&amp;"cam_4_"&amp;$BV109&amp;".avi","Play"),"")</f>
        <v/>
      </c>
      <c r="BT109" s="48" t="str">
        <f>IF(BV109&lt;&gt;"",HYPERLINK(video!$F$25&amp;"\"&amp;"cam_5_"&amp;$BV109&amp;".avi","Play"),"")</f>
        <v/>
      </c>
      <c r="BU109" s="48" t="str">
        <f>IF(BV109&lt;&gt;"",HYPERLINK(video!$F$25&amp;"\"&amp;"cam_6_"&amp;$BV109&amp;".avi","Play"),"")</f>
        <v/>
      </c>
      <c r="BY109" s="4">
        <f t="shared" si="5"/>
        <v>108</v>
      </c>
      <c r="BZ109" s="4">
        <f t="shared" si="6"/>
        <v>144.75</v>
      </c>
      <c r="CD109" s="5" t="str">
        <f>Lineup!$G$1</f>
        <v>一軍例行賽</v>
      </c>
      <c r="CE109" s="4">
        <f>Lineup!$I$1</f>
        <v>148</v>
      </c>
      <c r="CF109" s="5" t="str">
        <f>Lineup!$G$5</f>
        <v>王俊宏</v>
      </c>
      <c r="CG109" s="5" t="str">
        <f>Lineup!$G$4</f>
        <v>桃園</v>
      </c>
    </row>
    <row r="110" spans="1:85" x14ac:dyDescent="0.3">
      <c r="A110" s="43">
        <v>109</v>
      </c>
      <c r="B110" s="4">
        <v>4</v>
      </c>
      <c r="C110" s="4">
        <v>8</v>
      </c>
      <c r="D110" s="4">
        <v>6</v>
      </c>
      <c r="E110" s="4" t="s">
        <v>309</v>
      </c>
      <c r="F110" s="4" t="s">
        <v>341</v>
      </c>
      <c r="G110" s="4">
        <v>13</v>
      </c>
      <c r="H110" s="4">
        <v>7</v>
      </c>
      <c r="I110" s="4">
        <v>6</v>
      </c>
      <c r="J110" s="4">
        <v>0</v>
      </c>
      <c r="L110" s="4" t="s">
        <v>643</v>
      </c>
      <c r="M110" s="4" t="s">
        <v>588</v>
      </c>
      <c r="N110" s="4" t="s">
        <v>642</v>
      </c>
      <c r="O110" s="4">
        <v>129.75</v>
      </c>
      <c r="P110" s="4">
        <v>124.5</v>
      </c>
      <c r="Q110" s="4" t="s">
        <v>641</v>
      </c>
      <c r="AO110" s="4">
        <v>0</v>
      </c>
      <c r="AP110" s="4">
        <v>1</v>
      </c>
      <c r="AQ110" s="4" t="s">
        <v>652</v>
      </c>
      <c r="AS110">
        <v>0</v>
      </c>
      <c r="AT110">
        <v>0</v>
      </c>
      <c r="AU110" s="33">
        <v>10626.999999999998</v>
      </c>
      <c r="AV110" s="36" t="s">
        <v>644</v>
      </c>
      <c r="AW110" s="4">
        <v>10622.999999999991</v>
      </c>
      <c r="AX110" s="4" t="str">
        <f>IFERROR(VLOOKUP(M110,Roster!$D$2:$E$27,2,FALSE),"")</f>
        <v>L</v>
      </c>
      <c r="AY110" s="4" t="str">
        <f t="shared" si="8"/>
        <v>0好0壞</v>
      </c>
      <c r="BI110" s="5" t="str">
        <f>Lineup!$G$2</f>
        <v>20210817</v>
      </c>
      <c r="BJ110" s="4" t="str">
        <f t="shared" si="7"/>
        <v>偏外角低</v>
      </c>
      <c r="BK110" s="4" t="str">
        <f t="shared" si="9"/>
        <v>123B3O</v>
      </c>
      <c r="BL110" s="4" t="str">
        <f>IFERROR(VLOOKUP('HomeAttackPlay-by-Play'!E110,Roster!$L$2:$M$27,2,FALSE),"")</f>
        <v/>
      </c>
      <c r="BP110" s="48" t="str">
        <f>IF(BO110&lt;&gt;"",HYPERLINK(video!$F$29&amp;"\"&amp;"cam_1_"&amp;$BO110&amp;".avi","Play"),"")</f>
        <v/>
      </c>
      <c r="BQ110" s="48" t="str">
        <f>IF(BO110&lt;&gt;"",HYPERLINK(video!$F$29&amp;"\"&amp;"cam_2_"&amp;$BO110&amp;".avi","Play"),"")</f>
        <v/>
      </c>
      <c r="BR110" s="48" t="str">
        <f>IF(BO110&lt;&gt;"",HYPERLINK(video!$F$29&amp;"\"&amp;"cam_3_"&amp;$BO110&amp;".avi","Play"),"")</f>
        <v/>
      </c>
      <c r="BS110" s="48" t="str">
        <f>IF(BV110&lt;&gt;"",HYPERLINK(video!$F$25&amp;"\"&amp;"cam_4_"&amp;$BV110&amp;".avi","Play"),"")</f>
        <v/>
      </c>
      <c r="BT110" s="48" t="str">
        <f>IF(BV110&lt;&gt;"",HYPERLINK(video!$F$25&amp;"\"&amp;"cam_5_"&amp;$BV110&amp;".avi","Play"),"")</f>
        <v/>
      </c>
      <c r="BU110" s="48" t="str">
        <f>IF(BV110&lt;&gt;"",HYPERLINK(video!$F$25&amp;"\"&amp;"cam_6_"&amp;$BV110&amp;".avi","Play"),"")</f>
        <v/>
      </c>
      <c r="BY110" s="4">
        <f t="shared" si="5"/>
        <v>61.5</v>
      </c>
      <c r="BZ110" s="4">
        <f t="shared" si="6"/>
        <v>246</v>
      </c>
      <c r="CD110" s="5" t="str">
        <f>Lineup!$G$1</f>
        <v>一軍例行賽</v>
      </c>
      <c r="CE110" s="4">
        <f>Lineup!$I$1</f>
        <v>148</v>
      </c>
      <c r="CF110" s="5" t="str">
        <f>Lineup!$G$5</f>
        <v>王俊宏</v>
      </c>
      <c r="CG110" s="5" t="str">
        <f>Lineup!$G$4</f>
        <v>桃園</v>
      </c>
    </row>
    <row r="111" spans="1:85" x14ac:dyDescent="0.3">
      <c r="A111" s="43">
        <v>110</v>
      </c>
      <c r="B111" s="4">
        <v>4</v>
      </c>
      <c r="C111" s="4">
        <v>8</v>
      </c>
      <c r="D111" s="4">
        <v>6</v>
      </c>
      <c r="E111" s="4" t="s">
        <v>309</v>
      </c>
      <c r="F111" s="4" t="s">
        <v>341</v>
      </c>
      <c r="G111" s="4">
        <v>14</v>
      </c>
      <c r="H111" s="4">
        <v>8</v>
      </c>
      <c r="I111" s="4">
        <v>6</v>
      </c>
      <c r="J111" s="4">
        <v>1</v>
      </c>
      <c r="L111" s="4" t="s">
        <v>643</v>
      </c>
      <c r="M111" s="4" t="s">
        <v>588</v>
      </c>
      <c r="N111" s="4" t="s">
        <v>649</v>
      </c>
      <c r="O111" s="4">
        <v>90.75</v>
      </c>
      <c r="P111" s="4">
        <v>92.25</v>
      </c>
      <c r="Q111" s="4" t="s">
        <v>639</v>
      </c>
      <c r="R111" s="5" t="s">
        <v>650</v>
      </c>
      <c r="S111" s="4">
        <v>147</v>
      </c>
      <c r="T111" s="4">
        <v>159</v>
      </c>
      <c r="U111" s="4" t="s">
        <v>369</v>
      </c>
      <c r="V111" s="4" t="s">
        <v>360</v>
      </c>
      <c r="AH111" s="4" t="s">
        <v>588</v>
      </c>
      <c r="AK111" s="4">
        <v>1</v>
      </c>
      <c r="AM111" s="4">
        <v>1</v>
      </c>
      <c r="AO111" s="4">
        <v>1</v>
      </c>
      <c r="AP111" s="4">
        <v>1</v>
      </c>
      <c r="AQ111" s="4" t="s">
        <v>645</v>
      </c>
      <c r="AR111" s="4" t="s">
        <v>738</v>
      </c>
      <c r="AS111">
        <v>0</v>
      </c>
      <c r="AT111">
        <v>1</v>
      </c>
      <c r="AU111" s="33">
        <v>10644.000000000004</v>
      </c>
      <c r="AV111" s="36" t="s">
        <v>644</v>
      </c>
      <c r="AW111" s="4">
        <v>10633.999999999996</v>
      </c>
      <c r="AX111" s="4" t="str">
        <f>IFERROR(VLOOKUP(M111,Roster!$D$2:$E$27,2,FALSE),"")</f>
        <v>L</v>
      </c>
      <c r="AY111" s="4" t="str">
        <f t="shared" si="8"/>
        <v>0好1壞</v>
      </c>
      <c r="BI111" s="5" t="str">
        <f>Lineup!$G$2</f>
        <v>20210817</v>
      </c>
      <c r="BJ111" s="4" t="str">
        <f t="shared" si="7"/>
        <v>外角中</v>
      </c>
      <c r="BK111" s="4" t="str">
        <f t="shared" si="9"/>
        <v>B0O</v>
      </c>
      <c r="BL111" s="4" t="str">
        <f>IFERROR(VLOOKUP('HomeAttackPlay-by-Play'!E111,Roster!$L$2:$M$27,2,FALSE),"")</f>
        <v/>
      </c>
      <c r="BP111" s="48" t="str">
        <f>IF(BO111&lt;&gt;"",HYPERLINK(video!$F$29&amp;"\"&amp;"cam_1_"&amp;$BO111&amp;".avi","Play"),"")</f>
        <v/>
      </c>
      <c r="BQ111" s="48" t="str">
        <f>IF(BO111&lt;&gt;"",HYPERLINK(video!$F$29&amp;"\"&amp;"cam_2_"&amp;$BO111&amp;".avi","Play"),"")</f>
        <v/>
      </c>
      <c r="BR111" s="48" t="str">
        <f>IF(BO111&lt;&gt;"",HYPERLINK(video!$F$29&amp;"\"&amp;"cam_3_"&amp;$BO111&amp;".avi","Play"),"")</f>
        <v/>
      </c>
      <c r="BS111" s="48" t="str">
        <f>IF(BV111&lt;&gt;"",HYPERLINK(video!$F$25&amp;"\"&amp;"cam_4_"&amp;$BV111&amp;".avi","Play"),"")</f>
        <v/>
      </c>
      <c r="BT111" s="48" t="str">
        <f>IF(BV111&lt;&gt;"",HYPERLINK(video!$F$25&amp;"\"&amp;"cam_5_"&amp;$BV111&amp;".avi","Play"),"")</f>
        <v/>
      </c>
      <c r="BU111" s="48" t="str">
        <f>IF(BV111&lt;&gt;"",HYPERLINK(video!$F$25&amp;"\"&amp;"cam_6_"&amp;$BV111&amp;".avi","Play"),"")</f>
        <v/>
      </c>
      <c r="BY111" s="4">
        <f t="shared" si="5"/>
        <v>93.75</v>
      </c>
      <c r="BZ111" s="4">
        <f t="shared" si="6"/>
        <v>87</v>
      </c>
      <c r="CD111" s="5" t="str">
        <f>Lineup!$G$1</f>
        <v>一軍例行賽</v>
      </c>
      <c r="CE111" s="4">
        <f>Lineup!$I$1</f>
        <v>148</v>
      </c>
      <c r="CF111" s="5" t="str">
        <f>Lineup!$G$5</f>
        <v>王俊宏</v>
      </c>
      <c r="CG111" s="5" t="str">
        <f>Lineup!$G$4</f>
        <v>桃園</v>
      </c>
    </row>
    <row r="112" spans="1:85" x14ac:dyDescent="0.3">
      <c r="A112" s="43">
        <v>111</v>
      </c>
      <c r="B112" s="4">
        <v>4</v>
      </c>
      <c r="C112" s="4">
        <v>8</v>
      </c>
      <c r="D112" s="4">
        <v>6</v>
      </c>
      <c r="E112" s="4" t="s">
        <v>309</v>
      </c>
      <c r="F112" s="4" t="s">
        <v>341</v>
      </c>
      <c r="G112" s="4">
        <v>15</v>
      </c>
      <c r="H112" s="4">
        <v>9</v>
      </c>
      <c r="I112" s="4">
        <v>6</v>
      </c>
      <c r="J112" s="4">
        <v>1</v>
      </c>
      <c r="K112" s="4">
        <v>148</v>
      </c>
      <c r="L112" s="4" t="s">
        <v>643</v>
      </c>
      <c r="M112" s="4" t="s">
        <v>343</v>
      </c>
      <c r="N112" s="4" t="s">
        <v>642</v>
      </c>
      <c r="O112" s="4">
        <v>88.5</v>
      </c>
      <c r="P112" s="4">
        <v>116.25</v>
      </c>
      <c r="Q112" s="4" t="s">
        <v>639</v>
      </c>
      <c r="AO112" s="4">
        <v>1</v>
      </c>
      <c r="AP112" s="4">
        <v>0</v>
      </c>
      <c r="AQ112" s="4" t="s">
        <v>640</v>
      </c>
      <c r="AS112">
        <v>0</v>
      </c>
      <c r="AT112">
        <v>0</v>
      </c>
      <c r="AU112" s="33">
        <v>10701.000000000004</v>
      </c>
      <c r="AV112" s="36" t="s">
        <v>644</v>
      </c>
      <c r="AW112" s="4">
        <v>10696</v>
      </c>
      <c r="AX112" s="4" t="str">
        <f>IFERROR(VLOOKUP(M112,Roster!$D$2:$E$27,2,FALSE),"")</f>
        <v>L</v>
      </c>
      <c r="AY112" s="4" t="str">
        <f t="shared" si="8"/>
        <v>0好0壞</v>
      </c>
      <c r="BI112" s="5" t="str">
        <f>Lineup!$G$2</f>
        <v>20210817</v>
      </c>
      <c r="BJ112" s="4" t="str">
        <f t="shared" si="7"/>
        <v>外角低</v>
      </c>
      <c r="BK112" s="4" t="str">
        <f t="shared" si="9"/>
        <v>B1O</v>
      </c>
      <c r="BL112" s="4" t="str">
        <f>IFERROR(VLOOKUP('HomeAttackPlay-by-Play'!E112,Roster!$L$2:$M$27,2,FALSE),"")</f>
        <v/>
      </c>
      <c r="BP112" s="48" t="str">
        <f>IF(BO112&lt;&gt;"",HYPERLINK(video!$F$29&amp;"\"&amp;"cam_1_"&amp;$BO112&amp;".avi","Play"),"")</f>
        <v/>
      </c>
      <c r="BQ112" s="48" t="str">
        <f>IF(BO112&lt;&gt;"",HYPERLINK(video!$F$29&amp;"\"&amp;"cam_2_"&amp;$BO112&amp;".avi","Play"),"")</f>
        <v/>
      </c>
      <c r="BR112" s="48" t="str">
        <f>IF(BO112&lt;&gt;"",HYPERLINK(video!$F$29&amp;"\"&amp;"cam_3_"&amp;$BO112&amp;".avi","Play"),"")</f>
        <v/>
      </c>
      <c r="BS112" s="48" t="str">
        <f>IF(BV112&lt;&gt;"",HYPERLINK(video!$F$25&amp;"\"&amp;"cam_4_"&amp;$BV112&amp;".avi","Play"),"")</f>
        <v/>
      </c>
      <c r="BT112" s="48" t="str">
        <f>IF(BV112&lt;&gt;"",HYPERLINK(video!$F$25&amp;"\"&amp;"cam_5_"&amp;$BV112&amp;".avi","Play"),"")</f>
        <v/>
      </c>
      <c r="BU112" s="48" t="str">
        <f>IF(BV112&lt;&gt;"",HYPERLINK(video!$F$25&amp;"\"&amp;"cam_6_"&amp;$BV112&amp;".avi","Play"),"")</f>
        <v/>
      </c>
      <c r="BY112" s="4">
        <f t="shared" si="5"/>
        <v>69.75</v>
      </c>
      <c r="BZ112" s="4">
        <f t="shared" si="6"/>
        <v>246</v>
      </c>
      <c r="CD112" s="5" t="str">
        <f>Lineup!$G$1</f>
        <v>一軍例行賽</v>
      </c>
      <c r="CE112" s="4">
        <f>Lineup!$I$1</f>
        <v>148</v>
      </c>
      <c r="CF112" s="5" t="str">
        <f>Lineup!$G$5</f>
        <v>王俊宏</v>
      </c>
      <c r="CG112" s="5" t="str">
        <f>Lineup!$G$4</f>
        <v>桃園</v>
      </c>
    </row>
    <row r="113" spans="1:85" x14ac:dyDescent="0.3">
      <c r="A113" s="43">
        <v>112</v>
      </c>
      <c r="B113" s="4">
        <v>4</v>
      </c>
      <c r="C113" s="4">
        <v>8</v>
      </c>
      <c r="D113" s="4">
        <v>6</v>
      </c>
      <c r="E113" s="4" t="s">
        <v>309</v>
      </c>
      <c r="F113" s="4" t="s">
        <v>341</v>
      </c>
      <c r="G113" s="4">
        <v>16</v>
      </c>
      <c r="H113" s="4">
        <v>10</v>
      </c>
      <c r="I113" s="4">
        <v>6</v>
      </c>
      <c r="J113" s="4">
        <v>1</v>
      </c>
      <c r="K113" s="4">
        <v>147</v>
      </c>
      <c r="L113" s="4" t="s">
        <v>643</v>
      </c>
      <c r="M113" s="4" t="s">
        <v>343</v>
      </c>
      <c r="N113" s="4" t="s">
        <v>642</v>
      </c>
      <c r="O113" s="4">
        <v>54.75</v>
      </c>
      <c r="P113" s="4">
        <v>125.25</v>
      </c>
      <c r="Q113" s="4" t="s">
        <v>639</v>
      </c>
      <c r="AO113" s="4">
        <v>2</v>
      </c>
      <c r="AP113" s="4">
        <v>0</v>
      </c>
      <c r="AQ113" s="4" t="s">
        <v>662</v>
      </c>
      <c r="AS113">
        <v>1</v>
      </c>
      <c r="AT113">
        <v>0</v>
      </c>
      <c r="AU113" s="33">
        <v>10711.999999999998</v>
      </c>
      <c r="AV113" s="36" t="s">
        <v>644</v>
      </c>
      <c r="AW113" s="4">
        <v>10708.999999999998</v>
      </c>
      <c r="AX113" s="4" t="str">
        <f>IFERROR(VLOOKUP(M113,Roster!$D$2:$E$27,2,FALSE),"")</f>
        <v>L</v>
      </c>
      <c r="AY113" s="4" t="str">
        <f t="shared" si="8"/>
        <v>1好0壞</v>
      </c>
      <c r="BI113" s="5" t="str">
        <f>Lineup!$G$2</f>
        <v>20210817</v>
      </c>
      <c r="BJ113" s="4" t="str">
        <f t="shared" si="7"/>
        <v>內角低</v>
      </c>
      <c r="BK113" s="4" t="str">
        <f t="shared" si="9"/>
        <v>B1O</v>
      </c>
      <c r="BL113" s="4" t="str">
        <f>IFERROR(VLOOKUP('HomeAttackPlay-by-Play'!E113,Roster!$L$2:$M$27,2,FALSE),"")</f>
        <v/>
      </c>
      <c r="BP113" s="48" t="str">
        <f>IF(BO113&lt;&gt;"",HYPERLINK(video!$F$29&amp;"\"&amp;"cam_1_"&amp;$BO113&amp;".avi","Play"),"")</f>
        <v/>
      </c>
      <c r="BQ113" s="48" t="str">
        <f>IF(BO113&lt;&gt;"",HYPERLINK(video!$F$29&amp;"\"&amp;"cam_2_"&amp;$BO113&amp;".avi","Play"),"")</f>
        <v/>
      </c>
      <c r="BR113" s="48" t="str">
        <f>IF(BO113&lt;&gt;"",HYPERLINK(video!$F$29&amp;"\"&amp;"cam_3_"&amp;$BO113&amp;".avi","Play"),"")</f>
        <v/>
      </c>
      <c r="BS113" s="48" t="str">
        <f>IF(BV113&lt;&gt;"",HYPERLINK(video!$F$25&amp;"\"&amp;"cam_4_"&amp;$BV113&amp;".avi","Play"),"")</f>
        <v/>
      </c>
      <c r="BT113" s="48" t="str">
        <f>IF(BV113&lt;&gt;"",HYPERLINK(video!$F$25&amp;"\"&amp;"cam_5_"&amp;$BV113&amp;".avi","Play"),"")</f>
        <v/>
      </c>
      <c r="BU113" s="48" t="str">
        <f>IF(BV113&lt;&gt;"",HYPERLINK(video!$F$25&amp;"\"&amp;"cam_6_"&amp;$BV113&amp;".avi","Play"),"")</f>
        <v/>
      </c>
      <c r="BY113" s="4">
        <f t="shared" si="5"/>
        <v>60.75</v>
      </c>
      <c r="BZ113" s="4">
        <f t="shared" si="6"/>
        <v>246</v>
      </c>
      <c r="CD113" s="5" t="str">
        <f>Lineup!$G$1</f>
        <v>一軍例行賽</v>
      </c>
      <c r="CE113" s="4">
        <f>Lineup!$I$1</f>
        <v>148</v>
      </c>
      <c r="CF113" s="5" t="str">
        <f>Lineup!$G$5</f>
        <v>王俊宏</v>
      </c>
      <c r="CG113" s="5" t="str">
        <f>Lineup!$G$4</f>
        <v>桃園</v>
      </c>
    </row>
    <row r="114" spans="1:85" x14ac:dyDescent="0.3">
      <c r="A114" s="43">
        <v>113</v>
      </c>
      <c r="B114" s="4">
        <v>4</v>
      </c>
      <c r="C114" s="4">
        <v>8</v>
      </c>
      <c r="D114" s="4">
        <v>6</v>
      </c>
      <c r="E114" s="4" t="s">
        <v>309</v>
      </c>
      <c r="F114" s="4" t="s">
        <v>341</v>
      </c>
      <c r="G114" s="4">
        <v>17</v>
      </c>
      <c r="H114" s="4">
        <v>10</v>
      </c>
      <c r="I114" s="4">
        <v>7</v>
      </c>
      <c r="J114" s="4">
        <v>1</v>
      </c>
      <c r="K114" s="4">
        <v>146</v>
      </c>
      <c r="L114" s="4" t="s">
        <v>643</v>
      </c>
      <c r="M114" s="4" t="s">
        <v>343</v>
      </c>
      <c r="N114" s="4" t="s">
        <v>642</v>
      </c>
      <c r="O114" s="4">
        <v>119.25</v>
      </c>
      <c r="P114" s="4">
        <v>122.25</v>
      </c>
      <c r="Q114" s="4" t="s">
        <v>641</v>
      </c>
      <c r="AO114" s="4">
        <v>2</v>
      </c>
      <c r="AP114" s="4">
        <v>1</v>
      </c>
      <c r="AQ114" s="4" t="s">
        <v>647</v>
      </c>
      <c r="AS114">
        <v>2</v>
      </c>
      <c r="AT114">
        <v>0</v>
      </c>
      <c r="AU114" s="33">
        <v>10729.999999999993</v>
      </c>
      <c r="AV114" s="36" t="s">
        <v>644</v>
      </c>
      <c r="AW114" s="4">
        <v>10725.999999999995</v>
      </c>
      <c r="AX114" s="4" t="str">
        <f>IFERROR(VLOOKUP(M114,Roster!$D$2:$E$27,2,FALSE),"")</f>
        <v>L</v>
      </c>
      <c r="AY114" s="4" t="str">
        <f t="shared" si="8"/>
        <v>2好0壞</v>
      </c>
      <c r="BI114" s="5" t="str">
        <f>Lineup!$G$2</f>
        <v>20210817</v>
      </c>
      <c r="BJ114" s="4" t="str">
        <f t="shared" si="7"/>
        <v>偏外角低</v>
      </c>
      <c r="BK114" s="4" t="str">
        <f t="shared" si="9"/>
        <v>B1O</v>
      </c>
      <c r="BL114" s="4" t="str">
        <f>IFERROR(VLOOKUP('HomeAttackPlay-by-Play'!E114,Roster!$L$2:$M$27,2,FALSE),"")</f>
        <v/>
      </c>
      <c r="BP114" s="48" t="str">
        <f>IF(BO114&lt;&gt;"",HYPERLINK(video!$F$29&amp;"\"&amp;"cam_1_"&amp;$BO114&amp;".avi","Play"),"")</f>
        <v/>
      </c>
      <c r="BQ114" s="48" t="str">
        <f>IF(BO114&lt;&gt;"",HYPERLINK(video!$F$29&amp;"\"&amp;"cam_2_"&amp;$BO114&amp;".avi","Play"),"")</f>
        <v/>
      </c>
      <c r="BR114" s="48" t="str">
        <f>IF(BO114&lt;&gt;"",HYPERLINK(video!$F$29&amp;"\"&amp;"cam_3_"&amp;$BO114&amp;".avi","Play"),"")</f>
        <v/>
      </c>
      <c r="BS114" s="48" t="str">
        <f>IF(BV114&lt;&gt;"",HYPERLINK(video!$F$25&amp;"\"&amp;"cam_4_"&amp;$BV114&amp;".avi","Play"),"")</f>
        <v/>
      </c>
      <c r="BT114" s="48" t="str">
        <f>IF(BV114&lt;&gt;"",HYPERLINK(video!$F$25&amp;"\"&amp;"cam_5_"&amp;$BV114&amp;".avi","Play"),"")</f>
        <v/>
      </c>
      <c r="BU114" s="48" t="str">
        <f>IF(BV114&lt;&gt;"",HYPERLINK(video!$F$25&amp;"\"&amp;"cam_6_"&amp;$BV114&amp;".avi","Play"),"")</f>
        <v/>
      </c>
      <c r="BY114" s="4">
        <f t="shared" si="5"/>
        <v>63.75</v>
      </c>
      <c r="BZ114" s="4">
        <f t="shared" si="6"/>
        <v>246</v>
      </c>
      <c r="CD114" s="5" t="str">
        <f>Lineup!$G$1</f>
        <v>一軍例行賽</v>
      </c>
      <c r="CE114" s="4">
        <f>Lineup!$I$1</f>
        <v>148</v>
      </c>
      <c r="CF114" s="5" t="str">
        <f>Lineup!$G$5</f>
        <v>王俊宏</v>
      </c>
      <c r="CG114" s="5" t="str">
        <f>Lineup!$G$4</f>
        <v>桃園</v>
      </c>
    </row>
    <row r="115" spans="1:85" x14ac:dyDescent="0.3">
      <c r="A115" s="43">
        <v>114</v>
      </c>
      <c r="B115" s="4">
        <v>4</v>
      </c>
      <c r="C115" s="4">
        <v>8</v>
      </c>
      <c r="D115" s="4">
        <v>6</v>
      </c>
      <c r="E115" s="4" t="s">
        <v>309</v>
      </c>
      <c r="F115" s="4" t="s">
        <v>341</v>
      </c>
      <c r="G115" s="4">
        <v>18</v>
      </c>
      <c r="H115" s="4">
        <v>10</v>
      </c>
      <c r="I115" s="4">
        <v>8</v>
      </c>
      <c r="J115" s="4">
        <v>1</v>
      </c>
      <c r="K115" s="4">
        <v>150</v>
      </c>
      <c r="L115" s="4" t="s">
        <v>643</v>
      </c>
      <c r="M115" s="4" t="s">
        <v>343</v>
      </c>
      <c r="N115" s="4" t="s">
        <v>642</v>
      </c>
      <c r="O115" s="4">
        <v>116.25</v>
      </c>
      <c r="P115" s="4">
        <v>116.25</v>
      </c>
      <c r="Q115" s="4" t="s">
        <v>641</v>
      </c>
      <c r="AO115" s="4">
        <v>2</v>
      </c>
      <c r="AP115" s="4">
        <v>2</v>
      </c>
      <c r="AQ115" s="4" t="s">
        <v>655</v>
      </c>
      <c r="AS115">
        <v>2</v>
      </c>
      <c r="AT115">
        <v>1</v>
      </c>
      <c r="AU115" s="33">
        <v>10746.999999999998</v>
      </c>
      <c r="AV115" s="36" t="s">
        <v>644</v>
      </c>
      <c r="AW115" s="4">
        <v>10743</v>
      </c>
      <c r="AX115" s="4" t="str">
        <f>IFERROR(VLOOKUP(M115,Roster!$D$2:$E$27,2,FALSE),"")</f>
        <v>L</v>
      </c>
      <c r="AY115" s="4" t="str">
        <f t="shared" si="8"/>
        <v>2好1壞</v>
      </c>
      <c r="BI115" s="5" t="str">
        <f>Lineup!$G$2</f>
        <v>20210817</v>
      </c>
      <c r="BJ115" s="4" t="str">
        <f t="shared" si="7"/>
        <v>偏外角低</v>
      </c>
      <c r="BK115" s="4" t="str">
        <f t="shared" si="9"/>
        <v>B1O</v>
      </c>
      <c r="BL115" s="4" t="str">
        <f>IFERROR(VLOOKUP('HomeAttackPlay-by-Play'!E115,Roster!$L$2:$M$27,2,FALSE),"")</f>
        <v/>
      </c>
      <c r="BP115" s="48" t="str">
        <f>IF(BO115&lt;&gt;"",HYPERLINK(video!$F$29&amp;"\"&amp;"cam_1_"&amp;$BO115&amp;".avi","Play"),"")</f>
        <v/>
      </c>
      <c r="BQ115" s="48" t="str">
        <f>IF(BO115&lt;&gt;"",HYPERLINK(video!$F$29&amp;"\"&amp;"cam_2_"&amp;$BO115&amp;".avi","Play"),"")</f>
        <v/>
      </c>
      <c r="BR115" s="48" t="str">
        <f>IF(BO115&lt;&gt;"",HYPERLINK(video!$F$29&amp;"\"&amp;"cam_3_"&amp;$BO115&amp;".avi","Play"),"")</f>
        <v/>
      </c>
      <c r="BS115" s="48" t="str">
        <f>IF(BV115&lt;&gt;"",HYPERLINK(video!$F$25&amp;"\"&amp;"cam_4_"&amp;$BV115&amp;".avi","Play"),"")</f>
        <v/>
      </c>
      <c r="BT115" s="48" t="str">
        <f>IF(BV115&lt;&gt;"",HYPERLINK(video!$F$25&amp;"\"&amp;"cam_5_"&amp;$BV115&amp;".avi","Play"),"")</f>
        <v/>
      </c>
      <c r="BU115" s="48" t="str">
        <f>IF(BV115&lt;&gt;"",HYPERLINK(video!$F$25&amp;"\"&amp;"cam_6_"&amp;$BV115&amp;".avi","Play"),"")</f>
        <v/>
      </c>
      <c r="BY115" s="4">
        <f t="shared" si="5"/>
        <v>69.75</v>
      </c>
      <c r="BZ115" s="4">
        <f t="shared" si="6"/>
        <v>246</v>
      </c>
      <c r="CD115" s="5" t="str">
        <f>Lineup!$G$1</f>
        <v>一軍例行賽</v>
      </c>
      <c r="CE115" s="4">
        <f>Lineup!$I$1</f>
        <v>148</v>
      </c>
      <c r="CF115" s="5" t="str">
        <f>Lineup!$G$5</f>
        <v>王俊宏</v>
      </c>
      <c r="CG115" s="5" t="str">
        <f>Lineup!$G$4</f>
        <v>桃園</v>
      </c>
    </row>
    <row r="116" spans="1:85" x14ac:dyDescent="0.3">
      <c r="A116" s="43">
        <v>115</v>
      </c>
      <c r="B116" s="4">
        <v>4</v>
      </c>
      <c r="C116" s="4">
        <v>8</v>
      </c>
      <c r="D116" s="4">
        <v>6</v>
      </c>
      <c r="E116" s="4" t="s">
        <v>309</v>
      </c>
      <c r="F116" s="4" t="s">
        <v>341</v>
      </c>
      <c r="G116" s="4">
        <v>19</v>
      </c>
      <c r="H116" s="4">
        <v>11</v>
      </c>
      <c r="I116" s="4">
        <v>8</v>
      </c>
      <c r="J116" s="4">
        <v>2</v>
      </c>
      <c r="K116" s="4">
        <v>144</v>
      </c>
      <c r="L116" s="4" t="s">
        <v>643</v>
      </c>
      <c r="M116" s="4" t="s">
        <v>343</v>
      </c>
      <c r="N116" s="4" t="s">
        <v>649</v>
      </c>
      <c r="O116" s="4">
        <v>68.25</v>
      </c>
      <c r="P116" s="4">
        <v>65.25</v>
      </c>
      <c r="Q116" s="4" t="s">
        <v>639</v>
      </c>
      <c r="R116" s="5" t="s">
        <v>676</v>
      </c>
      <c r="S116" s="4">
        <v>148.5</v>
      </c>
      <c r="T116" s="4">
        <v>125.25</v>
      </c>
      <c r="U116" s="4" t="s">
        <v>369</v>
      </c>
      <c r="AI116" s="4" t="s">
        <v>343</v>
      </c>
      <c r="AK116" s="4">
        <v>1</v>
      </c>
      <c r="AM116" s="4">
        <v>1</v>
      </c>
      <c r="AO116" s="4">
        <v>3</v>
      </c>
      <c r="AP116" s="4">
        <v>2</v>
      </c>
      <c r="AQ116" s="4" t="s">
        <v>683</v>
      </c>
      <c r="AR116" s="4" t="s">
        <v>684</v>
      </c>
      <c r="AS116">
        <v>2</v>
      </c>
      <c r="AT116">
        <v>2</v>
      </c>
      <c r="AU116" s="33">
        <v>10772.999999999996</v>
      </c>
      <c r="AV116" s="36" t="s">
        <v>644</v>
      </c>
      <c r="AW116" s="4">
        <v>10763.000000000007</v>
      </c>
      <c r="AX116" s="4" t="str">
        <f>IFERROR(VLOOKUP(M116,Roster!$D$2:$E$27,2,FALSE),"")</f>
        <v>L</v>
      </c>
      <c r="AY116" s="4" t="str">
        <f t="shared" si="8"/>
        <v>2好2壞</v>
      </c>
      <c r="BI116" s="5" t="str">
        <f>Lineup!$G$2</f>
        <v>20210817</v>
      </c>
      <c r="BJ116" s="4" t="str">
        <f t="shared" si="7"/>
        <v>中高</v>
      </c>
      <c r="BK116" s="4" t="str">
        <f t="shared" si="9"/>
        <v>B1O</v>
      </c>
      <c r="BL116" s="4" t="str">
        <f>IFERROR(VLOOKUP('HomeAttackPlay-by-Play'!E116,Roster!$L$2:$M$27,2,FALSE),"")</f>
        <v/>
      </c>
      <c r="BP116" s="48" t="str">
        <f>IF(BO116&lt;&gt;"",HYPERLINK(video!$F$29&amp;"\"&amp;"cam_1_"&amp;$BO116&amp;".avi","Play"),"")</f>
        <v/>
      </c>
      <c r="BQ116" s="48" t="str">
        <f>IF(BO116&lt;&gt;"",HYPERLINK(video!$F$29&amp;"\"&amp;"cam_2_"&amp;$BO116&amp;".avi","Play"),"")</f>
        <v/>
      </c>
      <c r="BR116" s="48" t="str">
        <f>IF(BO116&lt;&gt;"",HYPERLINK(video!$F$29&amp;"\"&amp;"cam_3_"&amp;$BO116&amp;".avi","Play"),"")</f>
        <v/>
      </c>
      <c r="BS116" s="48" t="str">
        <f>IF(BV116&lt;&gt;"",HYPERLINK(video!$F$25&amp;"\"&amp;"cam_4_"&amp;$BV116&amp;".avi","Play"),"")</f>
        <v/>
      </c>
      <c r="BT116" s="48" t="str">
        <f>IF(BV116&lt;&gt;"",HYPERLINK(video!$F$25&amp;"\"&amp;"cam_5_"&amp;$BV116&amp;".avi","Play"),"")</f>
        <v/>
      </c>
      <c r="BU116" s="48" t="str">
        <f>IF(BV116&lt;&gt;"",HYPERLINK(video!$F$25&amp;"\"&amp;"cam_6_"&amp;$BV116&amp;".avi","Play"),"")</f>
        <v/>
      </c>
      <c r="BY116" s="4">
        <f t="shared" si="5"/>
        <v>120.75</v>
      </c>
      <c r="BZ116" s="4">
        <f t="shared" si="6"/>
        <v>120.75</v>
      </c>
      <c r="CD116" s="5" t="str">
        <f>Lineup!$G$1</f>
        <v>一軍例行賽</v>
      </c>
      <c r="CE116" s="4">
        <f>Lineup!$I$1</f>
        <v>148</v>
      </c>
      <c r="CF116" s="5" t="str">
        <f>Lineup!$G$5</f>
        <v>王俊宏</v>
      </c>
      <c r="CG116" s="5" t="str">
        <f>Lineup!$G$4</f>
        <v>桃園</v>
      </c>
    </row>
    <row r="117" spans="1:85" x14ac:dyDescent="0.3">
      <c r="A117" s="43">
        <v>116</v>
      </c>
      <c r="B117" s="4">
        <v>4</v>
      </c>
      <c r="C117" s="4">
        <v>8</v>
      </c>
      <c r="D117" s="4">
        <v>6</v>
      </c>
      <c r="E117" s="4" t="s">
        <v>309</v>
      </c>
      <c r="F117" s="4" t="s">
        <v>341</v>
      </c>
      <c r="G117" s="4">
        <v>20</v>
      </c>
      <c r="H117" s="4">
        <v>12</v>
      </c>
      <c r="I117" s="4">
        <v>8</v>
      </c>
      <c r="J117" s="4">
        <v>2</v>
      </c>
      <c r="L117" s="4" t="s">
        <v>643</v>
      </c>
      <c r="M117" s="4" t="s">
        <v>547</v>
      </c>
      <c r="N117" s="4" t="s">
        <v>649</v>
      </c>
      <c r="O117" s="4">
        <v>93</v>
      </c>
      <c r="P117" s="4">
        <v>71.25</v>
      </c>
      <c r="Q117" s="4" t="s">
        <v>639</v>
      </c>
      <c r="R117" s="5" t="s">
        <v>657</v>
      </c>
      <c r="AO117" s="4">
        <v>1</v>
      </c>
      <c r="AP117" s="4">
        <v>0</v>
      </c>
      <c r="AQ117" s="4" t="s">
        <v>640</v>
      </c>
      <c r="AS117">
        <v>0</v>
      </c>
      <c r="AT117">
        <v>0</v>
      </c>
      <c r="AU117" s="33">
        <v>10801.999999999995</v>
      </c>
      <c r="AV117" s="36" t="s">
        <v>644</v>
      </c>
      <c r="AW117" s="4">
        <v>10796</v>
      </c>
      <c r="AX117" s="4" t="str">
        <f>IFERROR(VLOOKUP(M117,Roster!$D$2:$E$27,2,FALSE),"")</f>
        <v>R</v>
      </c>
      <c r="AY117" s="4" t="str">
        <f t="shared" si="8"/>
        <v>0好0壞</v>
      </c>
      <c r="BI117" s="5" t="str">
        <f>Lineup!$G$2</f>
        <v>20210817</v>
      </c>
      <c r="BJ117" s="4" t="str">
        <f t="shared" si="7"/>
        <v>內角高</v>
      </c>
      <c r="BK117" s="4" t="str">
        <f t="shared" si="9"/>
        <v>B2O</v>
      </c>
      <c r="BL117" s="4" t="str">
        <f>IFERROR(VLOOKUP('HomeAttackPlay-by-Play'!E117,Roster!$L$2:$M$27,2,FALSE),"")</f>
        <v/>
      </c>
      <c r="BP117" s="48" t="str">
        <f>IF(BO117&lt;&gt;"",HYPERLINK(video!$F$29&amp;"\"&amp;"cam_1_"&amp;$BO117&amp;".avi","Play"),"")</f>
        <v/>
      </c>
      <c r="BQ117" s="48" t="str">
        <f>IF(BO117&lt;&gt;"",HYPERLINK(video!$F$29&amp;"\"&amp;"cam_2_"&amp;$BO117&amp;".avi","Play"),"")</f>
        <v/>
      </c>
      <c r="BR117" s="48" t="str">
        <f>IF(BO117&lt;&gt;"",HYPERLINK(video!$F$29&amp;"\"&amp;"cam_3_"&amp;$BO117&amp;".avi","Play"),"")</f>
        <v/>
      </c>
      <c r="BS117" s="48" t="str">
        <f>IF(BV117&lt;&gt;"",HYPERLINK(video!$F$25&amp;"\"&amp;"cam_4_"&amp;$BV117&amp;".avi","Play"),"")</f>
        <v/>
      </c>
      <c r="BT117" s="48" t="str">
        <f>IF(BV117&lt;&gt;"",HYPERLINK(video!$F$25&amp;"\"&amp;"cam_5_"&amp;$BV117&amp;".avi","Play"),"")</f>
        <v/>
      </c>
      <c r="BU117" s="48" t="str">
        <f>IF(BV117&lt;&gt;"",HYPERLINK(video!$F$25&amp;"\"&amp;"cam_6_"&amp;$BV117&amp;".avi","Play"),"")</f>
        <v/>
      </c>
      <c r="BY117" s="4">
        <f t="shared" si="5"/>
        <v>114.75</v>
      </c>
      <c r="BZ117" s="4">
        <f t="shared" si="6"/>
        <v>246</v>
      </c>
      <c r="CD117" s="5" t="str">
        <f>Lineup!$G$1</f>
        <v>一軍例行賽</v>
      </c>
      <c r="CE117" s="4">
        <f>Lineup!$I$1</f>
        <v>148</v>
      </c>
      <c r="CF117" s="5" t="str">
        <f>Lineup!$G$5</f>
        <v>王俊宏</v>
      </c>
      <c r="CG117" s="5" t="str">
        <f>Lineup!$G$4</f>
        <v>桃園</v>
      </c>
    </row>
    <row r="118" spans="1:85" x14ac:dyDescent="0.3">
      <c r="A118" s="43">
        <v>117</v>
      </c>
      <c r="B118" s="4">
        <v>4</v>
      </c>
      <c r="C118" s="4">
        <v>8</v>
      </c>
      <c r="D118" s="4">
        <v>6</v>
      </c>
      <c r="E118" s="4" t="s">
        <v>309</v>
      </c>
      <c r="F118" s="4" t="s">
        <v>341</v>
      </c>
      <c r="G118" s="4">
        <v>21</v>
      </c>
      <c r="H118" s="4">
        <v>13</v>
      </c>
      <c r="I118" s="4">
        <v>8</v>
      </c>
      <c r="J118" s="4">
        <v>2</v>
      </c>
      <c r="K118" s="4">
        <v>147</v>
      </c>
      <c r="L118" s="4" t="s">
        <v>643</v>
      </c>
      <c r="M118" s="4" t="s">
        <v>547</v>
      </c>
      <c r="N118" s="4" t="s">
        <v>649</v>
      </c>
      <c r="O118" s="4">
        <v>62.25</v>
      </c>
      <c r="P118" s="4">
        <v>68.25</v>
      </c>
      <c r="Q118" s="4" t="s">
        <v>639</v>
      </c>
      <c r="R118" s="5" t="s">
        <v>657</v>
      </c>
      <c r="AO118" s="4">
        <v>2</v>
      </c>
      <c r="AP118" s="4">
        <v>0</v>
      </c>
      <c r="AQ118" s="4" t="s">
        <v>662</v>
      </c>
      <c r="AS118">
        <v>1</v>
      </c>
      <c r="AT118">
        <v>0</v>
      </c>
      <c r="AU118" s="33">
        <v>10825.999999999998</v>
      </c>
      <c r="AV118" s="36" t="s">
        <v>644</v>
      </c>
      <c r="AW118" s="4">
        <v>10820.999999999995</v>
      </c>
      <c r="AX118" s="4" t="str">
        <f>IFERROR(VLOOKUP(M118,Roster!$D$2:$E$27,2,FALSE),"")</f>
        <v>R</v>
      </c>
      <c r="AY118" s="4" t="str">
        <f t="shared" si="8"/>
        <v>1好0壞</v>
      </c>
      <c r="BI118" s="5" t="str">
        <f>Lineup!$G$2</f>
        <v>20210817</v>
      </c>
      <c r="BJ118" s="4" t="str">
        <f t="shared" si="7"/>
        <v>外角高</v>
      </c>
      <c r="BK118" s="4" t="str">
        <f t="shared" si="9"/>
        <v>B2O</v>
      </c>
      <c r="BL118" s="4" t="str">
        <f>IFERROR(VLOOKUP('HomeAttackPlay-by-Play'!E118,Roster!$L$2:$M$27,2,FALSE),"")</f>
        <v/>
      </c>
      <c r="BP118" s="48" t="str">
        <f>IF(BO118&lt;&gt;"",HYPERLINK(video!$F$29&amp;"\"&amp;"cam_1_"&amp;$BO118&amp;".avi","Play"),"")</f>
        <v/>
      </c>
      <c r="BQ118" s="48" t="str">
        <f>IF(BO118&lt;&gt;"",HYPERLINK(video!$F$29&amp;"\"&amp;"cam_2_"&amp;$BO118&amp;".avi","Play"),"")</f>
        <v/>
      </c>
      <c r="BR118" s="48" t="str">
        <f>IF(BO118&lt;&gt;"",HYPERLINK(video!$F$29&amp;"\"&amp;"cam_3_"&amp;$BO118&amp;".avi","Play"),"")</f>
        <v/>
      </c>
      <c r="BS118" s="48" t="str">
        <f>IF(BV118&lt;&gt;"",HYPERLINK(video!$F$25&amp;"\"&amp;"cam_4_"&amp;$BV118&amp;".avi","Play"),"")</f>
        <v/>
      </c>
      <c r="BT118" s="48" t="str">
        <f>IF(BV118&lt;&gt;"",HYPERLINK(video!$F$25&amp;"\"&amp;"cam_5_"&amp;$BV118&amp;".avi","Play"),"")</f>
        <v/>
      </c>
      <c r="BU118" s="48" t="str">
        <f>IF(BV118&lt;&gt;"",HYPERLINK(video!$F$25&amp;"\"&amp;"cam_6_"&amp;$BV118&amp;".avi","Play"),"")</f>
        <v/>
      </c>
      <c r="BY118" s="4">
        <f t="shared" si="5"/>
        <v>117.75</v>
      </c>
      <c r="BZ118" s="4">
        <f t="shared" si="6"/>
        <v>246</v>
      </c>
      <c r="CD118" s="5" t="str">
        <f>Lineup!$G$1</f>
        <v>一軍例行賽</v>
      </c>
      <c r="CE118" s="4">
        <f>Lineup!$I$1</f>
        <v>148</v>
      </c>
      <c r="CF118" s="5" t="str">
        <f>Lineup!$G$5</f>
        <v>王俊宏</v>
      </c>
      <c r="CG118" s="5" t="str">
        <f>Lineup!$G$4</f>
        <v>桃園</v>
      </c>
    </row>
    <row r="119" spans="1:85" x14ac:dyDescent="0.3">
      <c r="A119" s="43">
        <v>118</v>
      </c>
      <c r="B119" s="4">
        <v>4</v>
      </c>
      <c r="C119" s="4">
        <v>8</v>
      </c>
      <c r="D119" s="4">
        <v>6</v>
      </c>
      <c r="E119" s="4" t="s">
        <v>309</v>
      </c>
      <c r="F119" s="4" t="s">
        <v>341</v>
      </c>
      <c r="G119" s="4">
        <v>22</v>
      </c>
      <c r="H119" s="4">
        <v>13</v>
      </c>
      <c r="I119" s="4">
        <v>9</v>
      </c>
      <c r="J119" s="4">
        <v>2</v>
      </c>
      <c r="K119" s="4">
        <v>150</v>
      </c>
      <c r="L119" s="4" t="s">
        <v>643</v>
      </c>
      <c r="M119" s="4" t="s">
        <v>547</v>
      </c>
      <c r="N119" s="4" t="s">
        <v>642</v>
      </c>
      <c r="O119" s="4">
        <v>36</v>
      </c>
      <c r="P119" s="4">
        <v>74.25</v>
      </c>
      <c r="Q119" s="4" t="s">
        <v>641</v>
      </c>
      <c r="AO119" s="4">
        <v>2</v>
      </c>
      <c r="AP119" s="4">
        <v>1</v>
      </c>
      <c r="AQ119" s="4" t="s">
        <v>647</v>
      </c>
      <c r="AS119">
        <v>2</v>
      </c>
      <c r="AT119">
        <v>0</v>
      </c>
      <c r="AU119" s="33">
        <v>10850.999999999989</v>
      </c>
      <c r="AV119" s="36" t="s">
        <v>644</v>
      </c>
      <c r="AW119" s="4">
        <v>10846.000000000004</v>
      </c>
      <c r="AX119" s="4" t="str">
        <f>IFERROR(VLOOKUP(M119,Roster!$D$2:$E$27,2,FALSE),"")</f>
        <v>R</v>
      </c>
      <c r="AY119" s="4" t="str">
        <f t="shared" si="8"/>
        <v>2好0壞</v>
      </c>
      <c r="BI119" s="5" t="str">
        <f>Lineup!$G$2</f>
        <v>20210817</v>
      </c>
      <c r="BJ119" s="4" t="str">
        <f t="shared" si="7"/>
        <v>偏外角高</v>
      </c>
      <c r="BK119" s="4" t="str">
        <f t="shared" si="9"/>
        <v>B2O</v>
      </c>
      <c r="BL119" s="4" t="str">
        <f>IFERROR(VLOOKUP('HomeAttackPlay-by-Play'!E119,Roster!$L$2:$M$27,2,FALSE),"")</f>
        <v/>
      </c>
      <c r="BP119" s="48" t="str">
        <f>IF(BO119&lt;&gt;"",HYPERLINK(video!$F$29&amp;"\"&amp;"cam_1_"&amp;$BO119&amp;".avi","Play"),"")</f>
        <v/>
      </c>
      <c r="BQ119" s="48" t="str">
        <f>IF(BO119&lt;&gt;"",HYPERLINK(video!$F$29&amp;"\"&amp;"cam_2_"&amp;$BO119&amp;".avi","Play"),"")</f>
        <v/>
      </c>
      <c r="BR119" s="48" t="str">
        <f>IF(BO119&lt;&gt;"",HYPERLINK(video!$F$29&amp;"\"&amp;"cam_3_"&amp;$BO119&amp;".avi","Play"),"")</f>
        <v/>
      </c>
      <c r="BS119" s="48" t="str">
        <f>IF(BV119&lt;&gt;"",HYPERLINK(video!$F$25&amp;"\"&amp;"cam_4_"&amp;$BV119&amp;".avi","Play"),"")</f>
        <v/>
      </c>
      <c r="BT119" s="48" t="str">
        <f>IF(BV119&lt;&gt;"",HYPERLINK(video!$F$25&amp;"\"&amp;"cam_5_"&amp;$BV119&amp;".avi","Play"),"")</f>
        <v/>
      </c>
      <c r="BU119" s="48" t="str">
        <f>IF(BV119&lt;&gt;"",HYPERLINK(video!$F$25&amp;"\"&amp;"cam_6_"&amp;$BV119&amp;".avi","Play"),"")</f>
        <v/>
      </c>
      <c r="BY119" s="4">
        <f t="shared" si="5"/>
        <v>111.75</v>
      </c>
      <c r="BZ119" s="4">
        <f t="shared" si="6"/>
        <v>246</v>
      </c>
      <c r="CD119" s="5" t="str">
        <f>Lineup!$G$1</f>
        <v>一軍例行賽</v>
      </c>
      <c r="CE119" s="4">
        <f>Lineup!$I$1</f>
        <v>148</v>
      </c>
      <c r="CF119" s="5" t="str">
        <f>Lineup!$G$5</f>
        <v>王俊宏</v>
      </c>
      <c r="CG119" s="5" t="str">
        <f>Lineup!$G$4</f>
        <v>桃園</v>
      </c>
    </row>
    <row r="120" spans="1:85" x14ac:dyDescent="0.3">
      <c r="A120" s="43">
        <v>119</v>
      </c>
      <c r="B120" s="4">
        <v>4</v>
      </c>
      <c r="C120" s="4">
        <v>8</v>
      </c>
      <c r="D120" s="4">
        <v>6</v>
      </c>
      <c r="E120" s="4" t="s">
        <v>309</v>
      </c>
      <c r="F120" s="4" t="s">
        <v>341</v>
      </c>
      <c r="G120" s="4">
        <v>23</v>
      </c>
      <c r="H120" s="4">
        <v>14</v>
      </c>
      <c r="I120" s="4">
        <v>9</v>
      </c>
      <c r="J120" s="4">
        <v>2</v>
      </c>
      <c r="K120" s="4">
        <v>145</v>
      </c>
      <c r="L120" s="4" t="s">
        <v>643</v>
      </c>
      <c r="M120" s="4" t="s">
        <v>547</v>
      </c>
      <c r="N120" s="4" t="s">
        <v>649</v>
      </c>
      <c r="O120" s="4">
        <v>43.5</v>
      </c>
      <c r="P120" s="4">
        <v>105</v>
      </c>
      <c r="Q120" s="4" t="s">
        <v>639</v>
      </c>
      <c r="R120" s="5" t="s">
        <v>696</v>
      </c>
      <c r="AO120" s="4">
        <v>2</v>
      </c>
      <c r="AP120" s="4">
        <v>1</v>
      </c>
      <c r="AQ120" s="4" t="s">
        <v>647</v>
      </c>
      <c r="AS120">
        <v>2</v>
      </c>
      <c r="AT120">
        <v>1</v>
      </c>
      <c r="AU120" s="33">
        <v>10869.999999999989</v>
      </c>
      <c r="AV120" s="36" t="s">
        <v>644</v>
      </c>
      <c r="AW120" s="4">
        <v>10865.000000000004</v>
      </c>
      <c r="AX120" s="4" t="str">
        <f>IFERROR(VLOOKUP(M120,Roster!$D$2:$E$27,2,FALSE),"")</f>
        <v>R</v>
      </c>
      <c r="AY120" s="4" t="str">
        <f t="shared" si="8"/>
        <v>2好1壞</v>
      </c>
      <c r="BI120" s="5" t="str">
        <f>Lineup!$G$2</f>
        <v>20210817</v>
      </c>
      <c r="BJ120" s="4" t="str">
        <f t="shared" si="7"/>
        <v>偏外角低</v>
      </c>
      <c r="BK120" s="4" t="str">
        <f t="shared" si="9"/>
        <v>B2O</v>
      </c>
      <c r="BL120" s="4" t="str">
        <f>IFERROR(VLOOKUP('HomeAttackPlay-by-Play'!E120,Roster!$L$2:$M$27,2,FALSE),"")</f>
        <v/>
      </c>
      <c r="BP120" s="48" t="str">
        <f>IF(BO120&lt;&gt;"",HYPERLINK(video!$F$29&amp;"\"&amp;"cam_1_"&amp;$BO120&amp;".avi","Play"),"")</f>
        <v/>
      </c>
      <c r="BQ120" s="48" t="str">
        <f>IF(BO120&lt;&gt;"",HYPERLINK(video!$F$29&amp;"\"&amp;"cam_2_"&amp;$BO120&amp;".avi","Play"),"")</f>
        <v/>
      </c>
      <c r="BR120" s="48" t="str">
        <f>IF(BO120&lt;&gt;"",HYPERLINK(video!$F$29&amp;"\"&amp;"cam_3_"&amp;$BO120&amp;".avi","Play"),"")</f>
        <v/>
      </c>
      <c r="BS120" s="48" t="str">
        <f>IF(BV120&lt;&gt;"",HYPERLINK(video!$F$25&amp;"\"&amp;"cam_4_"&amp;$BV120&amp;".avi","Play"),"")</f>
        <v/>
      </c>
      <c r="BT120" s="48" t="str">
        <f>IF(BV120&lt;&gt;"",HYPERLINK(video!$F$25&amp;"\"&amp;"cam_5_"&amp;$BV120&amp;".avi","Play"),"")</f>
        <v/>
      </c>
      <c r="BU120" s="48" t="str">
        <f>IF(BV120&lt;&gt;"",HYPERLINK(video!$F$25&amp;"\"&amp;"cam_6_"&amp;$BV120&amp;".avi","Play"),"")</f>
        <v/>
      </c>
      <c r="BY120" s="4">
        <f t="shared" ref="BY120:BY182" si="10">186-P120</f>
        <v>81</v>
      </c>
      <c r="BZ120" s="4">
        <f t="shared" ref="BZ120:BZ182" si="11">246-T120</f>
        <v>246</v>
      </c>
      <c r="CD120" s="5" t="str">
        <f>Lineup!$G$1</f>
        <v>一軍例行賽</v>
      </c>
      <c r="CE120" s="4">
        <f>Lineup!$I$1</f>
        <v>148</v>
      </c>
      <c r="CF120" s="5" t="str">
        <f>Lineup!$G$5</f>
        <v>王俊宏</v>
      </c>
      <c r="CG120" s="5" t="str">
        <f>Lineup!$G$4</f>
        <v>桃園</v>
      </c>
    </row>
    <row r="121" spans="1:85" x14ac:dyDescent="0.3">
      <c r="A121" s="43">
        <v>120</v>
      </c>
      <c r="B121" s="4">
        <v>4</v>
      </c>
      <c r="C121" s="4">
        <v>8</v>
      </c>
      <c r="D121" s="4">
        <v>6</v>
      </c>
      <c r="E121" s="4" t="s">
        <v>309</v>
      </c>
      <c r="F121" s="4" t="s">
        <v>341</v>
      </c>
      <c r="G121" s="4">
        <v>24</v>
      </c>
      <c r="H121" s="4">
        <v>14</v>
      </c>
      <c r="I121" s="4">
        <v>10</v>
      </c>
      <c r="J121" s="4">
        <v>2</v>
      </c>
      <c r="K121" s="4">
        <v>141</v>
      </c>
      <c r="L121" s="4" t="s">
        <v>643</v>
      </c>
      <c r="M121" s="4" t="s">
        <v>547</v>
      </c>
      <c r="N121" s="4" t="s">
        <v>642</v>
      </c>
      <c r="O121" s="4">
        <v>39.75</v>
      </c>
      <c r="P121" s="4">
        <v>159.75</v>
      </c>
      <c r="Q121" s="4" t="s">
        <v>641</v>
      </c>
      <c r="AO121" s="4">
        <v>2</v>
      </c>
      <c r="AP121" s="4">
        <v>2</v>
      </c>
      <c r="AQ121" s="4" t="s">
        <v>655</v>
      </c>
      <c r="AS121">
        <v>2</v>
      </c>
      <c r="AT121">
        <v>1</v>
      </c>
      <c r="AU121" s="33">
        <v>10891.000000000002</v>
      </c>
      <c r="AV121" s="36" t="s">
        <v>644</v>
      </c>
      <c r="AW121" s="4">
        <v>10888.000000000002</v>
      </c>
      <c r="AX121" s="4" t="str">
        <f>IFERROR(VLOOKUP(M121,Roster!$D$2:$E$27,2,FALSE),"")</f>
        <v>R</v>
      </c>
      <c r="AY121" s="4" t="str">
        <f t="shared" si="8"/>
        <v>2好1壞</v>
      </c>
      <c r="BI121" s="5" t="str">
        <f>Lineup!$G$2</f>
        <v>20210817</v>
      </c>
      <c r="BJ121" s="4" t="str">
        <f t="shared" ref="BJ121:BJ183" si="12">IF(AX121="R",IF(O121&lt;46.8,"偏外角",IF(O121&lt;65.5,"外角",IF(O121&lt;84.4,"中",IF(O121 &lt; 103.2,"內角","偏內角"))))&amp;IF(P121&lt;57,"偏高",IF(P121&lt;79.8,"高",IF(P121&lt;102.7,"中",IF(P121 &lt; 125.5,"低","偏低")))),IF(O121&lt;46.8,"偏內角",IF(O121&lt;65.5,"內角",IF(O121&lt;84.4,"中",IF(O121 &lt; 103.2,"外角","偏外角"))))&amp;IF(P121&lt;57,"偏高",IF(P121&lt;79.8,"高",IF(P121&lt;102.7,"中",IF(P121 &lt; 125.5,"低","偏低"))))
)</f>
        <v>偏外角偏低</v>
      </c>
      <c r="BK121" s="4" t="str">
        <f t="shared" si="9"/>
        <v>B2O</v>
      </c>
      <c r="BL121" s="4" t="str">
        <f>IFERROR(VLOOKUP('HomeAttackPlay-by-Play'!E121,Roster!$L$2:$M$27,2,FALSE),"")</f>
        <v/>
      </c>
      <c r="BP121" s="48" t="str">
        <f>IF(BO121&lt;&gt;"",HYPERLINK(video!$F$29&amp;"\"&amp;"cam_1_"&amp;$BO121&amp;".avi","Play"),"")</f>
        <v/>
      </c>
      <c r="BQ121" s="48" t="str">
        <f>IF(BO121&lt;&gt;"",HYPERLINK(video!$F$29&amp;"\"&amp;"cam_2_"&amp;$BO121&amp;".avi","Play"),"")</f>
        <v/>
      </c>
      <c r="BR121" s="48" t="str">
        <f>IF(BO121&lt;&gt;"",HYPERLINK(video!$F$29&amp;"\"&amp;"cam_3_"&amp;$BO121&amp;".avi","Play"),"")</f>
        <v/>
      </c>
      <c r="BS121" s="48" t="str">
        <f>IF(BV121&lt;&gt;"",HYPERLINK(video!$F$25&amp;"\"&amp;"cam_4_"&amp;$BV121&amp;".avi","Play"),"")</f>
        <v/>
      </c>
      <c r="BT121" s="48" t="str">
        <f>IF(BV121&lt;&gt;"",HYPERLINK(video!$F$25&amp;"\"&amp;"cam_5_"&amp;$BV121&amp;".avi","Play"),"")</f>
        <v/>
      </c>
      <c r="BU121" s="48" t="str">
        <f>IF(BV121&lt;&gt;"",HYPERLINK(video!$F$25&amp;"\"&amp;"cam_6_"&amp;$BV121&amp;".avi","Play"),"")</f>
        <v/>
      </c>
      <c r="BY121" s="4">
        <f t="shared" si="10"/>
        <v>26.25</v>
      </c>
      <c r="BZ121" s="4">
        <f t="shared" si="11"/>
        <v>246</v>
      </c>
      <c r="CD121" s="5" t="str">
        <f>Lineup!$G$1</f>
        <v>一軍例行賽</v>
      </c>
      <c r="CE121" s="4">
        <f>Lineup!$I$1</f>
        <v>148</v>
      </c>
      <c r="CF121" s="5" t="str">
        <f>Lineup!$G$5</f>
        <v>王俊宏</v>
      </c>
      <c r="CG121" s="5" t="str">
        <f>Lineup!$G$4</f>
        <v>桃園</v>
      </c>
    </row>
    <row r="122" spans="1:85" x14ac:dyDescent="0.3">
      <c r="A122" s="43">
        <v>121</v>
      </c>
      <c r="B122" s="4">
        <v>4</v>
      </c>
      <c r="C122" s="4">
        <v>8</v>
      </c>
      <c r="D122" s="4">
        <v>6</v>
      </c>
      <c r="E122" s="4" t="s">
        <v>309</v>
      </c>
      <c r="F122" s="4" t="s">
        <v>341</v>
      </c>
      <c r="G122" s="4">
        <v>25</v>
      </c>
      <c r="H122" s="4">
        <v>15</v>
      </c>
      <c r="I122" s="4">
        <v>10</v>
      </c>
      <c r="J122" s="4">
        <v>2</v>
      </c>
      <c r="K122" s="4">
        <v>144</v>
      </c>
      <c r="L122" s="4" t="s">
        <v>643</v>
      </c>
      <c r="M122" s="4" t="s">
        <v>547</v>
      </c>
      <c r="N122" s="4" t="s">
        <v>649</v>
      </c>
      <c r="O122" s="4">
        <v>69.75</v>
      </c>
      <c r="P122" s="4">
        <v>138</v>
      </c>
      <c r="Q122" s="4" t="s">
        <v>639</v>
      </c>
      <c r="R122" s="5" t="s">
        <v>696</v>
      </c>
      <c r="AO122" s="4">
        <v>2</v>
      </c>
      <c r="AP122" s="4">
        <v>2</v>
      </c>
      <c r="AQ122" s="4" t="s">
        <v>655</v>
      </c>
      <c r="AS122">
        <v>2</v>
      </c>
      <c r="AT122">
        <v>2</v>
      </c>
      <c r="AU122" s="33">
        <v>10919.000000000002</v>
      </c>
      <c r="AV122" s="36" t="s">
        <v>644</v>
      </c>
      <c r="AW122" s="4">
        <v>10915.000000000005</v>
      </c>
      <c r="AX122" s="4" t="str">
        <f>IFERROR(VLOOKUP(M122,Roster!$D$2:$E$27,2,FALSE),"")</f>
        <v>R</v>
      </c>
      <c r="AY122" s="4" t="str">
        <f t="shared" si="8"/>
        <v>2好2壞</v>
      </c>
      <c r="BI122" s="5" t="str">
        <f>Lineup!$G$2</f>
        <v>20210817</v>
      </c>
      <c r="BJ122" s="4" t="str">
        <f t="shared" si="12"/>
        <v>中偏低</v>
      </c>
      <c r="BK122" s="4" t="str">
        <f t="shared" si="9"/>
        <v>B2O</v>
      </c>
      <c r="BL122" s="4" t="str">
        <f>IFERROR(VLOOKUP('HomeAttackPlay-by-Play'!E122,Roster!$L$2:$M$27,2,FALSE),"")</f>
        <v/>
      </c>
      <c r="BP122" s="48" t="str">
        <f>IF(BO122&lt;&gt;"",HYPERLINK(video!$F$29&amp;"\"&amp;"cam_1_"&amp;$BO122&amp;".avi","Play"),"")</f>
        <v/>
      </c>
      <c r="BQ122" s="48" t="str">
        <f>IF(BO122&lt;&gt;"",HYPERLINK(video!$F$29&amp;"\"&amp;"cam_2_"&amp;$BO122&amp;".avi","Play"),"")</f>
        <v/>
      </c>
      <c r="BR122" s="48" t="str">
        <f>IF(BO122&lt;&gt;"",HYPERLINK(video!$F$29&amp;"\"&amp;"cam_3_"&amp;$BO122&amp;".avi","Play"),"")</f>
        <v/>
      </c>
      <c r="BS122" s="48" t="str">
        <f>IF(BV122&lt;&gt;"",HYPERLINK(video!$F$25&amp;"\"&amp;"cam_4_"&amp;$BV122&amp;".avi","Play"),"")</f>
        <v/>
      </c>
      <c r="BT122" s="48" t="str">
        <f>IF(BV122&lt;&gt;"",HYPERLINK(video!$F$25&amp;"\"&amp;"cam_5_"&amp;$BV122&amp;".avi","Play"),"")</f>
        <v/>
      </c>
      <c r="BU122" s="48" t="str">
        <f>IF(BV122&lt;&gt;"",HYPERLINK(video!$F$25&amp;"\"&amp;"cam_6_"&amp;$BV122&amp;".avi","Play"),"")</f>
        <v/>
      </c>
      <c r="BY122" s="4">
        <f t="shared" si="10"/>
        <v>48</v>
      </c>
      <c r="BZ122" s="4">
        <f t="shared" si="11"/>
        <v>246</v>
      </c>
      <c r="CD122" s="5" t="str">
        <f>Lineup!$G$1</f>
        <v>一軍例行賽</v>
      </c>
      <c r="CE122" s="4">
        <f>Lineup!$I$1</f>
        <v>148</v>
      </c>
      <c r="CF122" s="5" t="str">
        <f>Lineup!$G$5</f>
        <v>王俊宏</v>
      </c>
      <c r="CG122" s="5" t="str">
        <f>Lineup!$G$4</f>
        <v>桃園</v>
      </c>
    </row>
    <row r="123" spans="1:85" x14ac:dyDescent="0.3">
      <c r="A123" s="43">
        <v>122</v>
      </c>
      <c r="B123" s="4">
        <v>4</v>
      </c>
      <c r="C123" s="4">
        <v>8</v>
      </c>
      <c r="D123" s="4">
        <v>6</v>
      </c>
      <c r="E123" s="4" t="s">
        <v>309</v>
      </c>
      <c r="F123" s="4" t="s">
        <v>341</v>
      </c>
      <c r="G123" s="4">
        <v>26</v>
      </c>
      <c r="H123" s="4">
        <v>16</v>
      </c>
      <c r="I123" s="4">
        <v>10</v>
      </c>
      <c r="J123" s="4">
        <v>3</v>
      </c>
      <c r="K123" s="4">
        <v>129</v>
      </c>
      <c r="L123" s="4" t="s">
        <v>646</v>
      </c>
      <c r="M123" s="4" t="s">
        <v>547</v>
      </c>
      <c r="N123" s="4" t="s">
        <v>649</v>
      </c>
      <c r="O123" s="4">
        <v>100.5</v>
      </c>
      <c r="P123" s="4">
        <v>156.75</v>
      </c>
      <c r="Q123" s="4" t="s">
        <v>639</v>
      </c>
      <c r="R123" s="5" t="s">
        <v>685</v>
      </c>
      <c r="AJ123" s="4" t="s">
        <v>547</v>
      </c>
      <c r="AK123" s="4">
        <v>1</v>
      </c>
      <c r="AM123" s="4">
        <v>1</v>
      </c>
      <c r="AO123" s="4">
        <v>3</v>
      </c>
      <c r="AP123" s="4">
        <v>2</v>
      </c>
      <c r="AQ123" s="4" t="s">
        <v>683</v>
      </c>
      <c r="AR123" s="4" t="s">
        <v>730</v>
      </c>
      <c r="AS123">
        <v>2</v>
      </c>
      <c r="AT123">
        <v>2</v>
      </c>
      <c r="AU123" s="33">
        <v>10946.999999999995</v>
      </c>
      <c r="AV123" s="36" t="s">
        <v>644</v>
      </c>
      <c r="AW123" s="4">
        <v>10941.000000000004</v>
      </c>
      <c r="AX123" s="4" t="str">
        <f>IFERROR(VLOOKUP(M123,Roster!$D$2:$E$27,2,FALSE),"")</f>
        <v>R</v>
      </c>
      <c r="AY123" s="4" t="str">
        <f t="shared" si="8"/>
        <v>2好2壞</v>
      </c>
      <c r="BI123" s="5" t="str">
        <f>Lineup!$G$2</f>
        <v>20210817</v>
      </c>
      <c r="BJ123" s="4" t="str">
        <f t="shared" si="12"/>
        <v>內角偏低</v>
      </c>
      <c r="BK123" s="4" t="str">
        <f t="shared" si="9"/>
        <v>B2O</v>
      </c>
      <c r="BL123" s="4" t="str">
        <f>IFERROR(VLOOKUP('HomeAttackPlay-by-Play'!E123,Roster!$L$2:$M$27,2,FALSE),"")</f>
        <v/>
      </c>
      <c r="BP123" s="48" t="str">
        <f>IF(BO123&lt;&gt;"",HYPERLINK(video!$F$29&amp;"\"&amp;"cam_1_"&amp;$BO123&amp;".avi","Play"),"")</f>
        <v/>
      </c>
      <c r="BQ123" s="48" t="str">
        <f>IF(BO123&lt;&gt;"",HYPERLINK(video!$F$29&amp;"\"&amp;"cam_2_"&amp;$BO123&amp;".avi","Play"),"")</f>
        <v/>
      </c>
      <c r="BR123" s="48" t="str">
        <f>IF(BO123&lt;&gt;"",HYPERLINK(video!$F$29&amp;"\"&amp;"cam_3_"&amp;$BO123&amp;".avi","Play"),"")</f>
        <v/>
      </c>
      <c r="BS123" s="48" t="str">
        <f>IF(BV123&lt;&gt;"",HYPERLINK(video!$F$25&amp;"\"&amp;"cam_4_"&amp;$BV123&amp;".avi","Play"),"")</f>
        <v/>
      </c>
      <c r="BT123" s="48" t="str">
        <f>IF(BV123&lt;&gt;"",HYPERLINK(video!$F$25&amp;"\"&amp;"cam_5_"&amp;$BV123&amp;".avi","Play"),"")</f>
        <v/>
      </c>
      <c r="BU123" s="48" t="str">
        <f>IF(BV123&lt;&gt;"",HYPERLINK(video!$F$25&amp;"\"&amp;"cam_6_"&amp;$BV123&amp;".avi","Play"),"")</f>
        <v/>
      </c>
      <c r="BY123" s="4">
        <f t="shared" si="10"/>
        <v>29.25</v>
      </c>
      <c r="BZ123" s="4">
        <f t="shared" si="11"/>
        <v>246</v>
      </c>
      <c r="CD123" s="5" t="str">
        <f>Lineup!$G$1</f>
        <v>一軍例行賽</v>
      </c>
      <c r="CE123" s="4">
        <f>Lineup!$I$1</f>
        <v>148</v>
      </c>
      <c r="CF123" s="5" t="str">
        <f>Lineup!$G$5</f>
        <v>王俊宏</v>
      </c>
      <c r="CG123" s="5" t="str">
        <f>Lineup!$G$4</f>
        <v>桃園</v>
      </c>
    </row>
    <row r="124" spans="1:85" x14ac:dyDescent="0.3">
      <c r="A124" s="43">
        <v>123</v>
      </c>
      <c r="B124" s="4">
        <v>4</v>
      </c>
      <c r="C124" s="4">
        <v>9</v>
      </c>
      <c r="D124" s="4">
        <v>7</v>
      </c>
      <c r="E124" s="4" t="s">
        <v>309</v>
      </c>
      <c r="F124" s="4" t="s">
        <v>341</v>
      </c>
      <c r="G124" s="4">
        <v>27</v>
      </c>
      <c r="H124" s="4">
        <v>16</v>
      </c>
      <c r="I124" s="4">
        <v>11</v>
      </c>
      <c r="J124" s="4">
        <v>0</v>
      </c>
      <c r="L124" s="4" t="s">
        <v>643</v>
      </c>
      <c r="M124" s="4" t="s">
        <v>355</v>
      </c>
      <c r="N124" s="4" t="s">
        <v>642</v>
      </c>
      <c r="O124" s="4">
        <v>114</v>
      </c>
      <c r="P124" s="4">
        <v>84</v>
      </c>
      <c r="Q124" s="4" t="s">
        <v>641</v>
      </c>
      <c r="AO124" s="4">
        <v>0</v>
      </c>
      <c r="AP124" s="4">
        <v>1</v>
      </c>
      <c r="AQ124" s="4" t="s">
        <v>652</v>
      </c>
      <c r="AS124">
        <v>0</v>
      </c>
      <c r="AT124">
        <v>0</v>
      </c>
      <c r="AU124" s="33">
        <v>11888.999999999998</v>
      </c>
      <c r="AV124" s="36" t="s">
        <v>644</v>
      </c>
      <c r="AW124" s="4">
        <v>11884.999999999991</v>
      </c>
      <c r="AX124" s="4" t="str">
        <f>IFERROR(VLOOKUP(M124,Roster!$D$2:$E$27,2,FALSE),"")</f>
        <v>L</v>
      </c>
      <c r="AY124" s="4" t="str">
        <f t="shared" si="8"/>
        <v>0好0壞</v>
      </c>
      <c r="BI124" s="5" t="str">
        <f>Lineup!$G$2</f>
        <v>20210817</v>
      </c>
      <c r="BJ124" s="4" t="str">
        <f t="shared" si="12"/>
        <v>偏外角中</v>
      </c>
      <c r="BK124" s="4" t="str">
        <f t="shared" si="9"/>
        <v>B3O</v>
      </c>
      <c r="BL124" s="4" t="str">
        <f>IFERROR(VLOOKUP('HomeAttackPlay-by-Play'!E124,Roster!$L$2:$M$27,2,FALSE),"")</f>
        <v/>
      </c>
      <c r="BP124" s="48" t="str">
        <f>IF(BO124&lt;&gt;"",HYPERLINK(video!$F$29&amp;"\"&amp;"cam_1_"&amp;$BO124&amp;".avi","Play"),"")</f>
        <v/>
      </c>
      <c r="BQ124" s="48" t="str">
        <f>IF(BO124&lt;&gt;"",HYPERLINK(video!$F$29&amp;"\"&amp;"cam_2_"&amp;$BO124&amp;".avi","Play"),"")</f>
        <v/>
      </c>
      <c r="BR124" s="48" t="str">
        <f>IF(BO124&lt;&gt;"",HYPERLINK(video!$F$29&amp;"\"&amp;"cam_3_"&amp;$BO124&amp;".avi","Play"),"")</f>
        <v/>
      </c>
      <c r="BS124" s="48" t="str">
        <f>IF(BV124&lt;&gt;"",HYPERLINK(video!$F$25&amp;"\"&amp;"cam_4_"&amp;$BV124&amp;".avi","Play"),"")</f>
        <v/>
      </c>
      <c r="BT124" s="48" t="str">
        <f>IF(BV124&lt;&gt;"",HYPERLINK(video!$F$25&amp;"\"&amp;"cam_5_"&amp;$BV124&amp;".avi","Play"),"")</f>
        <v/>
      </c>
      <c r="BU124" s="48" t="str">
        <f>IF(BV124&lt;&gt;"",HYPERLINK(video!$F$25&amp;"\"&amp;"cam_6_"&amp;$BV124&amp;".avi","Play"),"")</f>
        <v/>
      </c>
      <c r="BY124" s="4">
        <f t="shared" si="10"/>
        <v>102</v>
      </c>
      <c r="BZ124" s="4">
        <f t="shared" si="11"/>
        <v>246</v>
      </c>
      <c r="CD124" s="5" t="str">
        <f>Lineup!$G$1</f>
        <v>一軍例行賽</v>
      </c>
      <c r="CE124" s="4">
        <f>Lineup!$I$1</f>
        <v>148</v>
      </c>
      <c r="CF124" s="5" t="str">
        <f>Lineup!$G$5</f>
        <v>王俊宏</v>
      </c>
      <c r="CG124" s="5" t="str">
        <f>Lineup!$G$4</f>
        <v>桃園</v>
      </c>
    </row>
    <row r="125" spans="1:85" x14ac:dyDescent="0.3">
      <c r="A125" s="43">
        <v>124</v>
      </c>
      <c r="B125" s="4">
        <v>4</v>
      </c>
      <c r="C125" s="4">
        <v>9</v>
      </c>
      <c r="D125" s="4">
        <v>7</v>
      </c>
      <c r="E125" s="4" t="s">
        <v>309</v>
      </c>
      <c r="F125" s="4" t="s">
        <v>341</v>
      </c>
      <c r="G125" s="4">
        <v>28</v>
      </c>
      <c r="H125" s="4">
        <v>17</v>
      </c>
      <c r="I125" s="4">
        <v>11</v>
      </c>
      <c r="J125" s="4">
        <v>0</v>
      </c>
      <c r="K125" s="4">
        <v>147</v>
      </c>
      <c r="L125" s="4" t="s">
        <v>643</v>
      </c>
      <c r="M125" s="4" t="s">
        <v>355</v>
      </c>
      <c r="N125" s="4" t="s">
        <v>642</v>
      </c>
      <c r="O125" s="4">
        <v>93</v>
      </c>
      <c r="P125" s="4">
        <v>105.75</v>
      </c>
      <c r="Q125" s="4" t="s">
        <v>639</v>
      </c>
      <c r="AO125" s="4">
        <v>1</v>
      </c>
      <c r="AP125" s="4">
        <v>1</v>
      </c>
      <c r="AQ125" s="4" t="s">
        <v>645</v>
      </c>
      <c r="AS125">
        <v>0</v>
      </c>
      <c r="AT125">
        <v>1</v>
      </c>
      <c r="AU125" s="33">
        <v>11901.999999999996</v>
      </c>
      <c r="AV125" s="36" t="s">
        <v>644</v>
      </c>
      <c r="AW125" s="4">
        <v>11899.000000000005</v>
      </c>
      <c r="AX125" s="4" t="str">
        <f>IFERROR(VLOOKUP(M125,Roster!$D$2:$E$27,2,FALSE),"")</f>
        <v>L</v>
      </c>
      <c r="AY125" s="4" t="str">
        <f t="shared" si="8"/>
        <v>0好1壞</v>
      </c>
      <c r="BI125" s="5" t="str">
        <f>Lineup!$G$2</f>
        <v>20210817</v>
      </c>
      <c r="BJ125" s="4" t="str">
        <f t="shared" si="12"/>
        <v>外角低</v>
      </c>
      <c r="BK125" s="4" t="str">
        <f t="shared" si="9"/>
        <v>B0O</v>
      </c>
      <c r="BL125" s="4" t="str">
        <f>IFERROR(VLOOKUP('HomeAttackPlay-by-Play'!E125,Roster!$L$2:$M$27,2,FALSE),"")</f>
        <v/>
      </c>
      <c r="BP125" s="48" t="str">
        <f>IF(BO125&lt;&gt;"",HYPERLINK(video!$F$29&amp;"\"&amp;"cam_1_"&amp;$BO125&amp;".avi","Play"),"")</f>
        <v/>
      </c>
      <c r="BQ125" s="48" t="str">
        <f>IF(BO125&lt;&gt;"",HYPERLINK(video!$F$29&amp;"\"&amp;"cam_2_"&amp;$BO125&amp;".avi","Play"),"")</f>
        <v/>
      </c>
      <c r="BR125" s="48" t="str">
        <f>IF(BO125&lt;&gt;"",HYPERLINK(video!$F$29&amp;"\"&amp;"cam_3_"&amp;$BO125&amp;".avi","Play"),"")</f>
        <v/>
      </c>
      <c r="BS125" s="48" t="str">
        <f>IF(BV125&lt;&gt;"",HYPERLINK(video!$F$25&amp;"\"&amp;"cam_4_"&amp;$BV125&amp;".avi","Play"),"")</f>
        <v/>
      </c>
      <c r="BT125" s="48" t="str">
        <f>IF(BV125&lt;&gt;"",HYPERLINK(video!$F$25&amp;"\"&amp;"cam_5_"&amp;$BV125&amp;".avi","Play"),"")</f>
        <v/>
      </c>
      <c r="BU125" s="48" t="str">
        <f>IF(BV125&lt;&gt;"",HYPERLINK(video!$F$25&amp;"\"&amp;"cam_6_"&amp;$BV125&amp;".avi","Play"),"")</f>
        <v/>
      </c>
      <c r="BY125" s="4">
        <f t="shared" si="10"/>
        <v>80.25</v>
      </c>
      <c r="BZ125" s="4">
        <f t="shared" si="11"/>
        <v>246</v>
      </c>
      <c r="CD125" s="5" t="str">
        <f>Lineup!$G$1</f>
        <v>一軍例行賽</v>
      </c>
      <c r="CE125" s="4">
        <f>Lineup!$I$1</f>
        <v>148</v>
      </c>
      <c r="CF125" s="5" t="str">
        <f>Lineup!$G$5</f>
        <v>王俊宏</v>
      </c>
      <c r="CG125" s="5" t="str">
        <f>Lineup!$G$4</f>
        <v>桃園</v>
      </c>
    </row>
    <row r="126" spans="1:85" x14ac:dyDescent="0.3">
      <c r="A126" s="43">
        <v>125</v>
      </c>
      <c r="B126" s="4">
        <v>4</v>
      </c>
      <c r="C126" s="4">
        <v>9</v>
      </c>
      <c r="D126" s="4">
        <v>7</v>
      </c>
      <c r="E126" s="4" t="s">
        <v>309</v>
      </c>
      <c r="F126" s="4" t="s">
        <v>341</v>
      </c>
      <c r="G126" s="4">
        <v>29</v>
      </c>
      <c r="H126" s="4">
        <v>18</v>
      </c>
      <c r="I126" s="4">
        <v>11</v>
      </c>
      <c r="J126" s="4">
        <v>1</v>
      </c>
      <c r="L126" s="4" t="s">
        <v>643</v>
      </c>
      <c r="M126" s="4" t="s">
        <v>355</v>
      </c>
      <c r="N126" s="4" t="s">
        <v>649</v>
      </c>
      <c r="O126" s="4">
        <v>56.25</v>
      </c>
      <c r="P126" s="4">
        <v>105.75</v>
      </c>
      <c r="Q126" s="4" t="s">
        <v>109</v>
      </c>
      <c r="R126" s="5" t="s">
        <v>650</v>
      </c>
      <c r="S126" s="4">
        <v>177.75</v>
      </c>
      <c r="T126" s="4">
        <v>171.75</v>
      </c>
      <c r="U126" s="4" t="s">
        <v>231</v>
      </c>
      <c r="V126" s="4" t="s">
        <v>360</v>
      </c>
      <c r="AH126" s="4" t="s">
        <v>355</v>
      </c>
      <c r="AK126" s="4">
        <v>1</v>
      </c>
      <c r="AM126" s="4">
        <v>1</v>
      </c>
      <c r="AO126" s="4">
        <v>2</v>
      </c>
      <c r="AP126" s="4">
        <v>1</v>
      </c>
      <c r="AQ126" s="4" t="s">
        <v>647</v>
      </c>
      <c r="AR126" s="4" t="s">
        <v>713</v>
      </c>
      <c r="AS126">
        <v>1</v>
      </c>
      <c r="AT126">
        <v>1</v>
      </c>
      <c r="AU126" s="33">
        <v>11918.000000000005</v>
      </c>
      <c r="AV126" s="36" t="s">
        <v>644</v>
      </c>
      <c r="AW126" s="4">
        <v>11911.999999999995</v>
      </c>
      <c r="AX126" s="4" t="str">
        <f>IFERROR(VLOOKUP(M126,Roster!$D$2:$E$27,2,FALSE),"")</f>
        <v>L</v>
      </c>
      <c r="AY126" s="4" t="str">
        <f t="shared" si="8"/>
        <v>1好1壞</v>
      </c>
      <c r="BI126" s="5" t="str">
        <f>Lineup!$G$2</f>
        <v>20210817</v>
      </c>
      <c r="BJ126" s="4" t="str">
        <f t="shared" si="12"/>
        <v>內角低</v>
      </c>
      <c r="BK126" s="4" t="str">
        <f t="shared" si="9"/>
        <v>B0O</v>
      </c>
      <c r="BL126" s="4" t="str">
        <f>IFERROR(VLOOKUP('HomeAttackPlay-by-Play'!E126,Roster!$L$2:$M$27,2,FALSE),"")</f>
        <v/>
      </c>
      <c r="BP126" s="48" t="str">
        <f>IF(BO126&lt;&gt;"",HYPERLINK(video!$F$29&amp;"\"&amp;"cam_1_"&amp;$BO126&amp;".avi","Play"),"")</f>
        <v/>
      </c>
      <c r="BQ126" s="48" t="str">
        <f>IF(BO126&lt;&gt;"",HYPERLINK(video!$F$29&amp;"\"&amp;"cam_2_"&amp;$BO126&amp;".avi","Play"),"")</f>
        <v/>
      </c>
      <c r="BR126" s="48" t="str">
        <f>IF(BO126&lt;&gt;"",HYPERLINK(video!$F$29&amp;"\"&amp;"cam_3_"&amp;$BO126&amp;".avi","Play"),"")</f>
        <v/>
      </c>
      <c r="BS126" s="48" t="str">
        <f>IF(BV126&lt;&gt;"",HYPERLINK(video!$F$25&amp;"\"&amp;"cam_4_"&amp;$BV126&amp;".avi","Play"),"")</f>
        <v/>
      </c>
      <c r="BT126" s="48" t="str">
        <f>IF(BV126&lt;&gt;"",HYPERLINK(video!$F$25&amp;"\"&amp;"cam_5_"&amp;$BV126&amp;".avi","Play"),"")</f>
        <v/>
      </c>
      <c r="BU126" s="48" t="str">
        <f>IF(BV126&lt;&gt;"",HYPERLINK(video!$F$25&amp;"\"&amp;"cam_6_"&amp;$BV126&amp;".avi","Play"),"")</f>
        <v/>
      </c>
      <c r="BY126" s="4">
        <f t="shared" si="10"/>
        <v>80.25</v>
      </c>
      <c r="BZ126" s="4">
        <f t="shared" si="11"/>
        <v>74.25</v>
      </c>
      <c r="CD126" s="5" t="str">
        <f>Lineup!$G$1</f>
        <v>一軍例行賽</v>
      </c>
      <c r="CE126" s="4">
        <f>Lineup!$I$1</f>
        <v>148</v>
      </c>
      <c r="CF126" s="5" t="str">
        <f>Lineup!$G$5</f>
        <v>王俊宏</v>
      </c>
      <c r="CG126" s="5" t="str">
        <f>Lineup!$G$4</f>
        <v>桃園</v>
      </c>
    </row>
    <row r="127" spans="1:85" x14ac:dyDescent="0.3">
      <c r="A127" s="43">
        <v>126</v>
      </c>
      <c r="B127" s="4">
        <v>4</v>
      </c>
      <c r="C127" s="4">
        <v>9</v>
      </c>
      <c r="D127" s="4">
        <v>7</v>
      </c>
      <c r="E127" s="4" t="s">
        <v>309</v>
      </c>
      <c r="F127" s="4" t="s">
        <v>341</v>
      </c>
      <c r="G127" s="4">
        <v>30</v>
      </c>
      <c r="H127" s="4">
        <v>19</v>
      </c>
      <c r="I127" s="4">
        <v>11</v>
      </c>
      <c r="J127" s="4">
        <v>1</v>
      </c>
      <c r="L127" s="4" t="s">
        <v>643</v>
      </c>
      <c r="M127" s="4" t="s">
        <v>535</v>
      </c>
      <c r="N127" s="4" t="s">
        <v>642</v>
      </c>
      <c r="O127" s="4">
        <v>48</v>
      </c>
      <c r="P127" s="4">
        <v>111.75</v>
      </c>
      <c r="Q127" s="4" t="s">
        <v>639</v>
      </c>
      <c r="AO127" s="4">
        <v>1</v>
      </c>
      <c r="AP127" s="4">
        <v>0</v>
      </c>
      <c r="AQ127" s="4" t="s">
        <v>640</v>
      </c>
      <c r="AS127">
        <v>0</v>
      </c>
      <c r="AT127">
        <v>0</v>
      </c>
      <c r="AU127" s="33">
        <v>11952.999999999995</v>
      </c>
      <c r="AV127" s="36" t="s">
        <v>644</v>
      </c>
      <c r="AW127" s="4">
        <v>11949.000000000007</v>
      </c>
      <c r="AX127" s="4" t="str">
        <f>IFERROR(VLOOKUP(M127,Roster!$D$2:$E$27,2,FALSE),"")</f>
        <v>L</v>
      </c>
      <c r="AY127" s="4" t="str">
        <f t="shared" si="8"/>
        <v>0好0壞</v>
      </c>
      <c r="BI127" s="5" t="str">
        <f>Lineup!$G$2</f>
        <v>20210817</v>
      </c>
      <c r="BJ127" s="4" t="str">
        <f t="shared" si="12"/>
        <v>內角低</v>
      </c>
      <c r="BK127" s="4" t="str">
        <f t="shared" si="9"/>
        <v>B1O</v>
      </c>
      <c r="BL127" s="4" t="str">
        <f>IFERROR(VLOOKUP('HomeAttackPlay-by-Play'!E127,Roster!$L$2:$M$27,2,FALSE),"")</f>
        <v/>
      </c>
      <c r="BP127" s="48" t="str">
        <f>IF(BO127&lt;&gt;"",HYPERLINK(video!$F$29&amp;"\"&amp;"cam_1_"&amp;$BO127&amp;".avi","Play"),"")</f>
        <v/>
      </c>
      <c r="BQ127" s="48" t="str">
        <f>IF(BO127&lt;&gt;"",HYPERLINK(video!$F$29&amp;"\"&amp;"cam_2_"&amp;$BO127&amp;".avi","Play"),"")</f>
        <v/>
      </c>
      <c r="BR127" s="48" t="str">
        <f>IF(BO127&lt;&gt;"",HYPERLINK(video!$F$29&amp;"\"&amp;"cam_3_"&amp;$BO127&amp;".avi","Play"),"")</f>
        <v/>
      </c>
      <c r="BS127" s="48" t="str">
        <f>IF(BV127&lt;&gt;"",HYPERLINK(video!$F$25&amp;"\"&amp;"cam_4_"&amp;$BV127&amp;".avi","Play"),"")</f>
        <v/>
      </c>
      <c r="BT127" s="48" t="str">
        <f>IF(BV127&lt;&gt;"",HYPERLINK(video!$F$25&amp;"\"&amp;"cam_5_"&amp;$BV127&amp;".avi","Play"),"")</f>
        <v/>
      </c>
      <c r="BU127" s="48" t="str">
        <f>IF(BV127&lt;&gt;"",HYPERLINK(video!$F$25&amp;"\"&amp;"cam_6_"&amp;$BV127&amp;".avi","Play"),"")</f>
        <v/>
      </c>
      <c r="BY127" s="4">
        <f t="shared" si="10"/>
        <v>74.25</v>
      </c>
      <c r="BZ127" s="4">
        <f t="shared" si="11"/>
        <v>246</v>
      </c>
      <c r="CD127" s="5" t="str">
        <f>Lineup!$G$1</f>
        <v>一軍例行賽</v>
      </c>
      <c r="CE127" s="4">
        <f>Lineup!$I$1</f>
        <v>148</v>
      </c>
      <c r="CF127" s="5" t="str">
        <f>Lineup!$G$5</f>
        <v>王俊宏</v>
      </c>
      <c r="CG127" s="5" t="str">
        <f>Lineup!$G$4</f>
        <v>桃園</v>
      </c>
    </row>
    <row r="128" spans="1:85" x14ac:dyDescent="0.3">
      <c r="A128" s="43">
        <v>127</v>
      </c>
      <c r="B128" s="4">
        <v>4</v>
      </c>
      <c r="C128" s="4">
        <v>9</v>
      </c>
      <c r="D128" s="4">
        <v>7</v>
      </c>
      <c r="E128" s="4" t="s">
        <v>309</v>
      </c>
      <c r="F128" s="4" t="s">
        <v>341</v>
      </c>
      <c r="G128" s="4">
        <v>31</v>
      </c>
      <c r="H128" s="4">
        <v>20</v>
      </c>
      <c r="I128" s="4">
        <v>11</v>
      </c>
      <c r="J128" s="4">
        <v>2</v>
      </c>
      <c r="K128" s="4">
        <v>146</v>
      </c>
      <c r="L128" s="4" t="s">
        <v>643</v>
      </c>
      <c r="M128" s="4" t="s">
        <v>535</v>
      </c>
      <c r="N128" s="4" t="s">
        <v>649</v>
      </c>
      <c r="O128" s="4">
        <v>55.5</v>
      </c>
      <c r="P128" s="4">
        <v>77.25</v>
      </c>
      <c r="Q128" s="4" t="s">
        <v>109</v>
      </c>
      <c r="R128" s="5" t="s">
        <v>676</v>
      </c>
      <c r="S128" s="4">
        <v>239.25</v>
      </c>
      <c r="T128" s="4">
        <v>96</v>
      </c>
      <c r="U128" s="4" t="s">
        <v>266</v>
      </c>
      <c r="AI128" s="4" t="s">
        <v>535</v>
      </c>
      <c r="AK128" s="4">
        <v>1</v>
      </c>
      <c r="AM128" s="4">
        <v>1</v>
      </c>
      <c r="AO128" s="4">
        <v>2</v>
      </c>
      <c r="AP128" s="4">
        <v>0</v>
      </c>
      <c r="AQ128" s="4" t="s">
        <v>662</v>
      </c>
      <c r="AR128" s="4" t="s">
        <v>704</v>
      </c>
      <c r="AS128">
        <v>1</v>
      </c>
      <c r="AT128">
        <v>0</v>
      </c>
      <c r="AU128" s="33">
        <v>11968.999999999995</v>
      </c>
      <c r="AV128" s="36" t="s">
        <v>644</v>
      </c>
      <c r="AW128" s="4">
        <v>11958.999999999996</v>
      </c>
      <c r="AX128" s="4" t="str">
        <f>IFERROR(VLOOKUP(M128,Roster!$D$2:$E$27,2,FALSE),"")</f>
        <v>L</v>
      </c>
      <c r="AY128" s="4" t="str">
        <f t="shared" si="8"/>
        <v>1好0壞</v>
      </c>
      <c r="BI128" s="5" t="str">
        <f>Lineup!$G$2</f>
        <v>20210817</v>
      </c>
      <c r="BJ128" s="4" t="str">
        <f t="shared" si="12"/>
        <v>內角高</v>
      </c>
      <c r="BK128" s="4" t="str">
        <f t="shared" si="9"/>
        <v>B1O</v>
      </c>
      <c r="BL128" s="4" t="str">
        <f>IFERROR(VLOOKUP('HomeAttackPlay-by-Play'!E128,Roster!$L$2:$M$27,2,FALSE),"")</f>
        <v/>
      </c>
      <c r="BP128" s="48" t="str">
        <f>IF(BO128&lt;&gt;"",HYPERLINK(video!$F$29&amp;"\"&amp;"cam_1_"&amp;$BO128&amp;".avi","Play"),"")</f>
        <v/>
      </c>
      <c r="BQ128" s="48" t="str">
        <f>IF(BO128&lt;&gt;"",HYPERLINK(video!$F$29&amp;"\"&amp;"cam_2_"&amp;$BO128&amp;".avi","Play"),"")</f>
        <v/>
      </c>
      <c r="BR128" s="48" t="str">
        <f>IF(BO128&lt;&gt;"",HYPERLINK(video!$F$29&amp;"\"&amp;"cam_3_"&amp;$BO128&amp;".avi","Play"),"")</f>
        <v/>
      </c>
      <c r="BS128" s="48" t="str">
        <f>IF(BV128&lt;&gt;"",HYPERLINK(video!$F$25&amp;"\"&amp;"cam_4_"&amp;$BV128&amp;".avi","Play"),"")</f>
        <v/>
      </c>
      <c r="BT128" s="48" t="str">
        <f>IF(BV128&lt;&gt;"",HYPERLINK(video!$F$25&amp;"\"&amp;"cam_5_"&amp;$BV128&amp;".avi","Play"),"")</f>
        <v/>
      </c>
      <c r="BU128" s="48" t="str">
        <f>IF(BV128&lt;&gt;"",HYPERLINK(video!$F$25&amp;"\"&amp;"cam_6_"&amp;$BV128&amp;".avi","Play"),"")</f>
        <v/>
      </c>
      <c r="BY128" s="4">
        <f t="shared" si="10"/>
        <v>108.75</v>
      </c>
      <c r="BZ128" s="4">
        <f t="shared" si="11"/>
        <v>150</v>
      </c>
      <c r="CD128" s="5" t="str">
        <f>Lineup!$G$1</f>
        <v>一軍例行賽</v>
      </c>
      <c r="CE128" s="4">
        <f>Lineup!$I$1</f>
        <v>148</v>
      </c>
      <c r="CF128" s="5" t="str">
        <f>Lineup!$G$5</f>
        <v>王俊宏</v>
      </c>
      <c r="CG128" s="5" t="str">
        <f>Lineup!$G$4</f>
        <v>桃園</v>
      </c>
    </row>
    <row r="129" spans="1:85" x14ac:dyDescent="0.3">
      <c r="A129" s="43">
        <v>128</v>
      </c>
      <c r="B129" s="4">
        <v>4</v>
      </c>
      <c r="C129" s="4">
        <v>9</v>
      </c>
      <c r="D129" s="4">
        <v>7</v>
      </c>
      <c r="E129" s="4" t="s">
        <v>309</v>
      </c>
      <c r="F129" s="4" t="s">
        <v>341</v>
      </c>
      <c r="G129" s="4">
        <v>32</v>
      </c>
      <c r="H129" s="4">
        <v>21</v>
      </c>
      <c r="I129" s="4">
        <v>11</v>
      </c>
      <c r="J129" s="4">
        <v>3</v>
      </c>
      <c r="K129" s="4">
        <v>141</v>
      </c>
      <c r="L129" s="4" t="s">
        <v>643</v>
      </c>
      <c r="M129" s="4" t="s">
        <v>543</v>
      </c>
      <c r="N129" s="4" t="s">
        <v>649</v>
      </c>
      <c r="O129" s="4">
        <v>57</v>
      </c>
      <c r="P129" s="4">
        <v>110.25</v>
      </c>
      <c r="Q129" s="4" t="s">
        <v>639</v>
      </c>
      <c r="R129" s="5" t="s">
        <v>650</v>
      </c>
      <c r="S129" s="4">
        <v>139.5</v>
      </c>
      <c r="T129" s="4">
        <v>183.75</v>
      </c>
      <c r="U129" s="4" t="s">
        <v>350</v>
      </c>
      <c r="V129" s="4" t="s">
        <v>360</v>
      </c>
      <c r="AJ129" s="4" t="s">
        <v>543</v>
      </c>
      <c r="AK129" s="4">
        <v>1</v>
      </c>
      <c r="AM129" s="4">
        <v>1</v>
      </c>
      <c r="AO129" s="4">
        <v>1</v>
      </c>
      <c r="AP129" s="4">
        <v>0</v>
      </c>
      <c r="AQ129" s="4" t="s">
        <v>640</v>
      </c>
      <c r="AR129" s="4" t="s">
        <v>705</v>
      </c>
      <c r="AS129">
        <v>0</v>
      </c>
      <c r="AT129">
        <v>0</v>
      </c>
      <c r="AU129" s="33">
        <v>12005</v>
      </c>
      <c r="AV129" s="36" t="s">
        <v>644</v>
      </c>
      <c r="AW129" s="4">
        <v>11996.999999999995</v>
      </c>
      <c r="AX129" s="4" t="str">
        <f>IFERROR(VLOOKUP(M129,Roster!$D$2:$E$27,2,FALSE),"")</f>
        <v>R</v>
      </c>
      <c r="AY129" s="4" t="str">
        <f t="shared" si="8"/>
        <v>0好0壞</v>
      </c>
      <c r="BI129" s="5" t="str">
        <f>Lineup!$G$2</f>
        <v>20210817</v>
      </c>
      <c r="BJ129" s="4" t="str">
        <f t="shared" si="12"/>
        <v>外角低</v>
      </c>
      <c r="BK129" s="4" t="str">
        <f t="shared" si="9"/>
        <v>B2O</v>
      </c>
      <c r="BL129" s="4" t="str">
        <f>IFERROR(VLOOKUP('HomeAttackPlay-by-Play'!E129,Roster!$L$2:$M$27,2,FALSE),"")</f>
        <v/>
      </c>
      <c r="BP129" s="48" t="str">
        <f>IF(BO129&lt;&gt;"",HYPERLINK(video!$F$29&amp;"\"&amp;"cam_1_"&amp;$BO129&amp;".avi","Play"),"")</f>
        <v/>
      </c>
      <c r="BQ129" s="48" t="str">
        <f>IF(BO129&lt;&gt;"",HYPERLINK(video!$F$29&amp;"\"&amp;"cam_2_"&amp;$BO129&amp;".avi","Play"),"")</f>
        <v/>
      </c>
      <c r="BR129" s="48" t="str">
        <f>IF(BO129&lt;&gt;"",HYPERLINK(video!$F$29&amp;"\"&amp;"cam_3_"&amp;$BO129&amp;".avi","Play"),"")</f>
        <v/>
      </c>
      <c r="BS129" s="48" t="str">
        <f>IF(BV129&lt;&gt;"",HYPERLINK(video!$F$25&amp;"\"&amp;"cam_4_"&amp;$BV129&amp;".avi","Play"),"")</f>
        <v/>
      </c>
      <c r="BT129" s="48" t="str">
        <f>IF(BV129&lt;&gt;"",HYPERLINK(video!$F$25&amp;"\"&amp;"cam_5_"&amp;$BV129&amp;".avi","Play"),"")</f>
        <v/>
      </c>
      <c r="BU129" s="48" t="str">
        <f>IF(BV129&lt;&gt;"",HYPERLINK(video!$F$25&amp;"\"&amp;"cam_6_"&amp;$BV129&amp;".avi","Play"),"")</f>
        <v/>
      </c>
      <c r="BY129" s="4">
        <f t="shared" si="10"/>
        <v>75.75</v>
      </c>
      <c r="BZ129" s="4">
        <f t="shared" si="11"/>
        <v>62.25</v>
      </c>
      <c r="CD129" s="5" t="str">
        <f>Lineup!$G$1</f>
        <v>一軍例行賽</v>
      </c>
      <c r="CE129" s="4">
        <f>Lineup!$I$1</f>
        <v>148</v>
      </c>
      <c r="CF129" s="5" t="str">
        <f>Lineup!$G$5</f>
        <v>王俊宏</v>
      </c>
      <c r="CG129" s="5" t="str">
        <f>Lineup!$G$4</f>
        <v>桃園</v>
      </c>
    </row>
    <row r="130" spans="1:85" x14ac:dyDescent="0.3">
      <c r="A130" s="43">
        <v>129</v>
      </c>
      <c r="B130" s="4">
        <v>4</v>
      </c>
      <c r="C130" s="4">
        <v>9</v>
      </c>
      <c r="D130" s="4">
        <v>8</v>
      </c>
      <c r="E130" s="4" t="s">
        <v>309</v>
      </c>
      <c r="F130" s="4" t="s">
        <v>341</v>
      </c>
      <c r="G130" s="4">
        <v>33</v>
      </c>
      <c r="H130" s="4">
        <v>22</v>
      </c>
      <c r="I130" s="4">
        <v>11</v>
      </c>
      <c r="J130" s="4">
        <v>0</v>
      </c>
      <c r="K130" s="4">
        <v>127</v>
      </c>
      <c r="L130" s="4" t="s">
        <v>643</v>
      </c>
      <c r="M130" s="4" t="s">
        <v>376</v>
      </c>
      <c r="N130" s="4" t="s">
        <v>642</v>
      </c>
      <c r="O130" s="4">
        <v>88.5</v>
      </c>
      <c r="P130" s="4">
        <v>119.25</v>
      </c>
      <c r="Q130" s="4" t="s">
        <v>639</v>
      </c>
      <c r="AO130" s="4">
        <v>1</v>
      </c>
      <c r="AP130" s="4">
        <v>0</v>
      </c>
      <c r="AQ130" s="4" t="s">
        <v>640</v>
      </c>
      <c r="AS130">
        <v>0</v>
      </c>
      <c r="AT130">
        <v>0</v>
      </c>
      <c r="AU130" s="33">
        <v>12869.999999999998</v>
      </c>
      <c r="AV130" s="36" t="s">
        <v>644</v>
      </c>
      <c r="AW130" s="4">
        <v>12866</v>
      </c>
      <c r="AX130" s="4" t="str">
        <f>IFERROR(VLOOKUP(M130,Roster!$D$2:$E$27,2,FALSE),"")</f>
        <v>R</v>
      </c>
      <c r="AY130" s="4" t="str">
        <f t="shared" si="8"/>
        <v>0好0壞</v>
      </c>
      <c r="BI130" s="5" t="str">
        <f>Lineup!$G$2</f>
        <v>20210817</v>
      </c>
      <c r="BJ130" s="4" t="str">
        <f t="shared" si="12"/>
        <v>內角低</v>
      </c>
      <c r="BK130" s="4" t="str">
        <f t="shared" si="9"/>
        <v>B3O</v>
      </c>
      <c r="BL130" s="4" t="str">
        <f>IFERROR(VLOOKUP('HomeAttackPlay-by-Play'!E130,Roster!$L$2:$M$27,2,FALSE),"")</f>
        <v/>
      </c>
      <c r="BP130" s="48" t="str">
        <f>IF(BO130&lt;&gt;"",HYPERLINK(video!$F$29&amp;"\"&amp;"cam_1_"&amp;$BO130&amp;".avi","Play"),"")</f>
        <v/>
      </c>
      <c r="BQ130" s="48" t="str">
        <f>IF(BO130&lt;&gt;"",HYPERLINK(video!$F$29&amp;"\"&amp;"cam_2_"&amp;$BO130&amp;".avi","Play"),"")</f>
        <v/>
      </c>
      <c r="BR130" s="48" t="str">
        <f>IF(BO130&lt;&gt;"",HYPERLINK(video!$F$29&amp;"\"&amp;"cam_3_"&amp;$BO130&amp;".avi","Play"),"")</f>
        <v/>
      </c>
      <c r="BS130" s="48" t="str">
        <f>IF(BV130&lt;&gt;"",HYPERLINK(video!$F$25&amp;"\"&amp;"cam_4_"&amp;$BV130&amp;".avi","Play"),"")</f>
        <v/>
      </c>
      <c r="BT130" s="48" t="str">
        <f>IF(BV130&lt;&gt;"",HYPERLINK(video!$F$25&amp;"\"&amp;"cam_5_"&amp;$BV130&amp;".avi","Play"),"")</f>
        <v/>
      </c>
      <c r="BU130" s="48" t="str">
        <f>IF(BV130&lt;&gt;"",HYPERLINK(video!$F$25&amp;"\"&amp;"cam_6_"&amp;$BV130&amp;".avi","Play"),"")</f>
        <v/>
      </c>
      <c r="BY130" s="4">
        <f t="shared" si="10"/>
        <v>66.75</v>
      </c>
      <c r="BZ130" s="4">
        <f t="shared" si="11"/>
        <v>246</v>
      </c>
      <c r="CD130" s="5" t="str">
        <f>Lineup!$G$1</f>
        <v>一軍例行賽</v>
      </c>
      <c r="CE130" s="4">
        <f>Lineup!$I$1</f>
        <v>148</v>
      </c>
      <c r="CF130" s="5" t="str">
        <f>Lineup!$G$5</f>
        <v>王俊宏</v>
      </c>
      <c r="CG130" s="5" t="str">
        <f>Lineup!$G$4</f>
        <v>桃園</v>
      </c>
    </row>
    <row r="131" spans="1:85" x14ac:dyDescent="0.3">
      <c r="A131" s="43">
        <v>130</v>
      </c>
      <c r="B131" s="4">
        <v>4</v>
      </c>
      <c r="C131" s="4">
        <v>9</v>
      </c>
      <c r="D131" s="4">
        <v>8</v>
      </c>
      <c r="E131" s="4" t="s">
        <v>309</v>
      </c>
      <c r="F131" s="4" t="s">
        <v>341</v>
      </c>
      <c r="G131" s="4">
        <v>34</v>
      </c>
      <c r="H131" s="4">
        <v>22</v>
      </c>
      <c r="I131" s="4">
        <v>12</v>
      </c>
      <c r="J131" s="4">
        <v>0</v>
      </c>
      <c r="L131" s="4" t="s">
        <v>646</v>
      </c>
      <c r="M131" s="4" t="s">
        <v>376</v>
      </c>
      <c r="N131" s="4" t="s">
        <v>642</v>
      </c>
      <c r="O131" s="4">
        <v>36.75</v>
      </c>
      <c r="P131" s="4">
        <v>81</v>
      </c>
      <c r="Q131" s="4" t="s">
        <v>641</v>
      </c>
      <c r="AO131" s="4">
        <v>1</v>
      </c>
      <c r="AP131" s="4">
        <v>1</v>
      </c>
      <c r="AQ131" s="4" t="s">
        <v>645</v>
      </c>
      <c r="AS131">
        <v>1</v>
      </c>
      <c r="AT131">
        <v>0</v>
      </c>
      <c r="AU131" s="33">
        <v>12880.999999999993</v>
      </c>
      <c r="AV131" s="36" t="s">
        <v>644</v>
      </c>
      <c r="AW131" s="4">
        <v>12878.999999999998</v>
      </c>
      <c r="AX131" s="4" t="str">
        <f>IFERROR(VLOOKUP(M131,Roster!$D$2:$E$27,2,FALSE),"")</f>
        <v>R</v>
      </c>
      <c r="AY131" s="4" t="str">
        <f t="shared" ref="AY131:AY152" si="13">IF(M131=M130,AS131&amp;"好"&amp;AT131&amp;"壞","0好0壞")</f>
        <v>1好0壞</v>
      </c>
      <c r="BI131" s="5" t="str">
        <f>Lineup!$G$2</f>
        <v>20210817</v>
      </c>
      <c r="BJ131" s="4" t="str">
        <f t="shared" si="12"/>
        <v>偏外角中</v>
      </c>
      <c r="BK131" s="4" t="str">
        <f t="shared" ref="BK131:BK153" si="14">IF(AB130&lt;&gt;"","1","")&amp;IF(AC130&lt;&gt;"","2","")&amp;IF(AD130&lt;&gt;"","3","")&amp;"B"&amp;J130&amp;"O"</f>
        <v>B0O</v>
      </c>
      <c r="BL131" s="4" t="str">
        <f>IFERROR(VLOOKUP('HomeAttackPlay-by-Play'!E131,Roster!$L$2:$M$27,2,FALSE),"")</f>
        <v/>
      </c>
      <c r="BP131" s="48" t="str">
        <f>IF(BO131&lt;&gt;"",HYPERLINK(video!$F$29&amp;"\"&amp;"cam_1_"&amp;$BO131&amp;".avi","Play"),"")</f>
        <v/>
      </c>
      <c r="BQ131" s="48" t="str">
        <f>IF(BO131&lt;&gt;"",HYPERLINK(video!$F$29&amp;"\"&amp;"cam_2_"&amp;$BO131&amp;".avi","Play"),"")</f>
        <v/>
      </c>
      <c r="BR131" s="48" t="str">
        <f>IF(BO131&lt;&gt;"",HYPERLINK(video!$F$29&amp;"\"&amp;"cam_3_"&amp;$BO131&amp;".avi","Play"),"")</f>
        <v/>
      </c>
      <c r="BS131" s="48" t="str">
        <f>IF(BV131&lt;&gt;"",HYPERLINK(video!$F$25&amp;"\"&amp;"cam_4_"&amp;$BV131&amp;".avi","Play"),"")</f>
        <v/>
      </c>
      <c r="BT131" s="48" t="str">
        <f>IF(BV131&lt;&gt;"",HYPERLINK(video!$F$25&amp;"\"&amp;"cam_5_"&amp;$BV131&amp;".avi","Play"),"")</f>
        <v/>
      </c>
      <c r="BU131" s="48" t="str">
        <f>IF(BV131&lt;&gt;"",HYPERLINK(video!$F$25&amp;"\"&amp;"cam_6_"&amp;$BV131&amp;".avi","Play"),"")</f>
        <v/>
      </c>
      <c r="BY131" s="4">
        <f t="shared" si="10"/>
        <v>105</v>
      </c>
      <c r="BZ131" s="4">
        <f t="shared" si="11"/>
        <v>246</v>
      </c>
      <c r="CD131" s="5" t="str">
        <f>Lineup!$G$1</f>
        <v>一軍例行賽</v>
      </c>
      <c r="CE131" s="4">
        <f>Lineup!$I$1</f>
        <v>148</v>
      </c>
      <c r="CF131" s="5" t="str">
        <f>Lineup!$G$5</f>
        <v>王俊宏</v>
      </c>
      <c r="CG131" s="5" t="str">
        <f>Lineup!$G$4</f>
        <v>桃園</v>
      </c>
    </row>
    <row r="132" spans="1:85" x14ac:dyDescent="0.3">
      <c r="A132" s="43">
        <v>131</v>
      </c>
      <c r="B132" s="4">
        <v>4</v>
      </c>
      <c r="C132" s="4">
        <v>9</v>
      </c>
      <c r="D132" s="4">
        <v>8</v>
      </c>
      <c r="E132" s="4" t="s">
        <v>309</v>
      </c>
      <c r="F132" s="4" t="s">
        <v>341</v>
      </c>
      <c r="G132" s="4">
        <v>35</v>
      </c>
      <c r="H132" s="4">
        <v>23</v>
      </c>
      <c r="I132" s="4">
        <v>12</v>
      </c>
      <c r="J132" s="4">
        <v>1</v>
      </c>
      <c r="L132" s="4" t="s">
        <v>643</v>
      </c>
      <c r="M132" s="4" t="s">
        <v>376</v>
      </c>
      <c r="N132" s="4" t="s">
        <v>649</v>
      </c>
      <c r="O132" s="4">
        <v>59.25</v>
      </c>
      <c r="P132" s="4">
        <v>57.75</v>
      </c>
      <c r="Q132" s="4" t="s">
        <v>109</v>
      </c>
      <c r="R132" s="5" t="s">
        <v>676</v>
      </c>
      <c r="S132" s="4">
        <v>207</v>
      </c>
      <c r="T132" s="4">
        <v>58.5</v>
      </c>
      <c r="U132" s="4" t="s">
        <v>383</v>
      </c>
      <c r="AH132" s="4" t="s">
        <v>376</v>
      </c>
      <c r="AK132" s="4">
        <v>1</v>
      </c>
      <c r="AM132" s="4">
        <v>1</v>
      </c>
      <c r="AO132" s="4">
        <v>2</v>
      </c>
      <c r="AP132" s="4">
        <v>1</v>
      </c>
      <c r="AQ132" s="4" t="s">
        <v>647</v>
      </c>
      <c r="AR132" s="4" t="s">
        <v>720</v>
      </c>
      <c r="AS132">
        <v>1</v>
      </c>
      <c r="AT132">
        <v>1</v>
      </c>
      <c r="AU132" s="33">
        <v>12901</v>
      </c>
      <c r="AV132" s="36" t="s">
        <v>644</v>
      </c>
      <c r="AW132" s="4">
        <v>12891</v>
      </c>
      <c r="AX132" s="4" t="str">
        <f>IFERROR(VLOOKUP(M132,Roster!$D$2:$E$27,2,FALSE),"")</f>
        <v>R</v>
      </c>
      <c r="AY132" s="4" t="str">
        <f t="shared" si="13"/>
        <v>1好1壞</v>
      </c>
      <c r="BI132" s="5" t="str">
        <f>Lineup!$G$2</f>
        <v>20210817</v>
      </c>
      <c r="BJ132" s="4" t="str">
        <f t="shared" si="12"/>
        <v>外角高</v>
      </c>
      <c r="BK132" s="4" t="str">
        <f t="shared" si="14"/>
        <v>B0O</v>
      </c>
      <c r="BL132" s="4" t="str">
        <f>IFERROR(VLOOKUP('HomeAttackPlay-by-Play'!E132,Roster!$L$2:$M$27,2,FALSE),"")</f>
        <v/>
      </c>
      <c r="BP132" s="48" t="str">
        <f>IF(BO132&lt;&gt;"",HYPERLINK(video!$F$29&amp;"\"&amp;"cam_1_"&amp;$BO132&amp;".avi","Play"),"")</f>
        <v/>
      </c>
      <c r="BQ132" s="48" t="str">
        <f>IF(BO132&lt;&gt;"",HYPERLINK(video!$F$29&amp;"\"&amp;"cam_2_"&amp;$BO132&amp;".avi","Play"),"")</f>
        <v/>
      </c>
      <c r="BR132" s="48" t="str">
        <f>IF(BO132&lt;&gt;"",HYPERLINK(video!$F$29&amp;"\"&amp;"cam_3_"&amp;$BO132&amp;".avi","Play"),"")</f>
        <v/>
      </c>
      <c r="BS132" s="48" t="str">
        <f>IF(BV132&lt;&gt;"",HYPERLINK(video!$F$25&amp;"\"&amp;"cam_4_"&amp;$BV132&amp;".avi","Play"),"")</f>
        <v/>
      </c>
      <c r="BT132" s="48" t="str">
        <f>IF(BV132&lt;&gt;"",HYPERLINK(video!$F$25&amp;"\"&amp;"cam_5_"&amp;$BV132&amp;".avi","Play"),"")</f>
        <v/>
      </c>
      <c r="BU132" s="48" t="str">
        <f>IF(BV132&lt;&gt;"",HYPERLINK(video!$F$25&amp;"\"&amp;"cam_6_"&amp;$BV132&amp;".avi","Play"),"")</f>
        <v/>
      </c>
      <c r="BY132" s="4">
        <f t="shared" si="10"/>
        <v>128.25</v>
      </c>
      <c r="BZ132" s="4">
        <f t="shared" si="11"/>
        <v>187.5</v>
      </c>
      <c r="CD132" s="5" t="str">
        <f>Lineup!$G$1</f>
        <v>一軍例行賽</v>
      </c>
      <c r="CE132" s="4">
        <f>Lineup!$I$1</f>
        <v>148</v>
      </c>
      <c r="CF132" s="5" t="str">
        <f>Lineup!$G$5</f>
        <v>王俊宏</v>
      </c>
      <c r="CG132" s="5" t="str">
        <f>Lineup!$G$4</f>
        <v>桃園</v>
      </c>
    </row>
    <row r="133" spans="1:85" x14ac:dyDescent="0.3">
      <c r="A133" s="43">
        <v>132</v>
      </c>
      <c r="B133" s="4">
        <v>4</v>
      </c>
      <c r="C133" s="4">
        <v>9</v>
      </c>
      <c r="D133" s="4">
        <v>8</v>
      </c>
      <c r="E133" s="4" t="s">
        <v>309</v>
      </c>
      <c r="F133" s="4" t="s">
        <v>341</v>
      </c>
      <c r="G133" s="4">
        <v>36</v>
      </c>
      <c r="H133" s="4">
        <v>23</v>
      </c>
      <c r="I133" s="4">
        <v>13</v>
      </c>
      <c r="J133" s="4">
        <v>1</v>
      </c>
      <c r="L133" s="4" t="s">
        <v>643</v>
      </c>
      <c r="M133" s="4" t="s">
        <v>571</v>
      </c>
      <c r="N133" s="4" t="s">
        <v>642</v>
      </c>
      <c r="O133" s="4">
        <v>90</v>
      </c>
      <c r="P133" s="4">
        <v>147</v>
      </c>
      <c r="Q133" s="4" t="s">
        <v>641</v>
      </c>
      <c r="AO133" s="4">
        <v>0</v>
      </c>
      <c r="AP133" s="4">
        <v>1</v>
      </c>
      <c r="AQ133" s="4" t="s">
        <v>652</v>
      </c>
      <c r="AS133">
        <v>0</v>
      </c>
      <c r="AT133">
        <v>0</v>
      </c>
      <c r="AU133" s="33">
        <v>12935.999999999998</v>
      </c>
      <c r="AV133" s="36" t="s">
        <v>644</v>
      </c>
      <c r="AW133" s="4">
        <v>12932</v>
      </c>
      <c r="AX133" s="4" t="str">
        <f>IFERROR(VLOOKUP(M133,Roster!$D$2:$E$27,2,FALSE),"")</f>
        <v>R</v>
      </c>
      <c r="AY133" s="4" t="str">
        <f t="shared" si="13"/>
        <v>0好0壞</v>
      </c>
      <c r="BI133" s="5" t="str">
        <f>Lineup!$G$2</f>
        <v>20210817</v>
      </c>
      <c r="BJ133" s="4" t="str">
        <f t="shared" si="12"/>
        <v>內角偏低</v>
      </c>
      <c r="BK133" s="4" t="str">
        <f t="shared" si="14"/>
        <v>B1O</v>
      </c>
      <c r="BL133" s="4" t="str">
        <f>IFERROR(VLOOKUP('HomeAttackPlay-by-Play'!E133,Roster!$L$2:$M$27,2,FALSE),"")</f>
        <v/>
      </c>
      <c r="BP133" s="48" t="str">
        <f>IF(BO133&lt;&gt;"",HYPERLINK(video!$F$29&amp;"\"&amp;"cam_1_"&amp;$BO133&amp;".avi","Play"),"")</f>
        <v/>
      </c>
      <c r="BQ133" s="48" t="str">
        <f>IF(BO133&lt;&gt;"",HYPERLINK(video!$F$29&amp;"\"&amp;"cam_2_"&amp;$BO133&amp;".avi","Play"),"")</f>
        <v/>
      </c>
      <c r="BR133" s="48" t="str">
        <f>IF(BO133&lt;&gt;"",HYPERLINK(video!$F$29&amp;"\"&amp;"cam_3_"&amp;$BO133&amp;".avi","Play"),"")</f>
        <v/>
      </c>
      <c r="BS133" s="48" t="str">
        <f>IF(BV133&lt;&gt;"",HYPERLINK(video!$F$25&amp;"\"&amp;"cam_4_"&amp;$BV133&amp;".avi","Play"),"")</f>
        <v/>
      </c>
      <c r="BT133" s="48" t="str">
        <f>IF(BV133&lt;&gt;"",HYPERLINK(video!$F$25&amp;"\"&amp;"cam_5_"&amp;$BV133&amp;".avi","Play"),"")</f>
        <v/>
      </c>
      <c r="BU133" s="48" t="str">
        <f>IF(BV133&lt;&gt;"",HYPERLINK(video!$F$25&amp;"\"&amp;"cam_6_"&amp;$BV133&amp;".avi","Play"),"")</f>
        <v/>
      </c>
      <c r="BY133" s="4">
        <f t="shared" si="10"/>
        <v>39</v>
      </c>
      <c r="BZ133" s="4">
        <f t="shared" si="11"/>
        <v>246</v>
      </c>
      <c r="CD133" s="5" t="str">
        <f>Lineup!$G$1</f>
        <v>一軍例行賽</v>
      </c>
      <c r="CE133" s="4">
        <f>Lineup!$I$1</f>
        <v>148</v>
      </c>
      <c r="CF133" s="5" t="str">
        <f>Lineup!$G$5</f>
        <v>王俊宏</v>
      </c>
      <c r="CG133" s="5" t="str">
        <f>Lineup!$G$4</f>
        <v>桃園</v>
      </c>
    </row>
    <row r="134" spans="1:85" x14ac:dyDescent="0.3">
      <c r="A134" s="43">
        <v>133</v>
      </c>
      <c r="B134" s="4">
        <v>4</v>
      </c>
      <c r="C134" s="4">
        <v>9</v>
      </c>
      <c r="D134" s="4">
        <v>8</v>
      </c>
      <c r="E134" s="4" t="s">
        <v>309</v>
      </c>
      <c r="F134" s="4" t="s">
        <v>341</v>
      </c>
      <c r="G134" s="4">
        <v>37</v>
      </c>
      <c r="H134" s="4">
        <v>24</v>
      </c>
      <c r="I134" s="4">
        <v>13</v>
      </c>
      <c r="J134" s="4">
        <v>1</v>
      </c>
      <c r="K134" s="4">
        <v>148</v>
      </c>
      <c r="L134" s="4" t="s">
        <v>643</v>
      </c>
      <c r="M134" s="4" t="s">
        <v>571</v>
      </c>
      <c r="N134" s="4" t="s">
        <v>642</v>
      </c>
      <c r="O134" s="4">
        <v>104.25</v>
      </c>
      <c r="P134" s="4">
        <v>77.25</v>
      </c>
      <c r="Q134" s="4" t="s">
        <v>639</v>
      </c>
      <c r="AO134" s="4">
        <v>1</v>
      </c>
      <c r="AP134" s="4">
        <v>1</v>
      </c>
      <c r="AQ134" s="4" t="s">
        <v>645</v>
      </c>
      <c r="AS134">
        <v>0</v>
      </c>
      <c r="AT134">
        <v>1</v>
      </c>
      <c r="AU134" s="33">
        <v>12951</v>
      </c>
      <c r="AV134" s="36" t="s">
        <v>644</v>
      </c>
      <c r="AW134" s="4">
        <v>12947.000000000004</v>
      </c>
      <c r="AX134" s="4" t="str">
        <f>IFERROR(VLOOKUP(M134,Roster!$D$2:$E$27,2,FALSE),"")</f>
        <v>R</v>
      </c>
      <c r="AY134" s="4" t="str">
        <f t="shared" si="13"/>
        <v>0好1壞</v>
      </c>
      <c r="BI134" s="5" t="str">
        <f>Lineup!$G$2</f>
        <v>20210817</v>
      </c>
      <c r="BJ134" s="4" t="str">
        <f t="shared" si="12"/>
        <v>偏內角高</v>
      </c>
      <c r="BK134" s="4" t="str">
        <f t="shared" si="14"/>
        <v>B1O</v>
      </c>
      <c r="BL134" s="4" t="str">
        <f>IFERROR(VLOOKUP('HomeAttackPlay-by-Play'!E134,Roster!$L$2:$M$27,2,FALSE),"")</f>
        <v/>
      </c>
      <c r="BP134" s="48" t="str">
        <f>IF(BO134&lt;&gt;"",HYPERLINK(video!$F$29&amp;"\"&amp;"cam_1_"&amp;$BO134&amp;".avi","Play"),"")</f>
        <v/>
      </c>
      <c r="BQ134" s="48" t="str">
        <f>IF(BO134&lt;&gt;"",HYPERLINK(video!$F$29&amp;"\"&amp;"cam_2_"&amp;$BO134&amp;".avi","Play"),"")</f>
        <v/>
      </c>
      <c r="BR134" s="48" t="str">
        <f>IF(BO134&lt;&gt;"",HYPERLINK(video!$F$29&amp;"\"&amp;"cam_3_"&amp;$BO134&amp;".avi","Play"),"")</f>
        <v/>
      </c>
      <c r="BS134" s="48" t="str">
        <f>IF(BV134&lt;&gt;"",HYPERLINK(video!$F$25&amp;"\"&amp;"cam_4_"&amp;$BV134&amp;".avi","Play"),"")</f>
        <v/>
      </c>
      <c r="BT134" s="48" t="str">
        <f>IF(BV134&lt;&gt;"",HYPERLINK(video!$F$25&amp;"\"&amp;"cam_5_"&amp;$BV134&amp;".avi","Play"),"")</f>
        <v/>
      </c>
      <c r="BU134" s="48" t="str">
        <f>IF(BV134&lt;&gt;"",HYPERLINK(video!$F$25&amp;"\"&amp;"cam_6_"&amp;$BV134&amp;".avi","Play"),"")</f>
        <v/>
      </c>
      <c r="BY134" s="4">
        <f t="shared" si="10"/>
        <v>108.75</v>
      </c>
      <c r="BZ134" s="4">
        <f t="shared" si="11"/>
        <v>246</v>
      </c>
      <c r="CD134" s="5" t="str">
        <f>Lineup!$G$1</f>
        <v>一軍例行賽</v>
      </c>
      <c r="CE134" s="4">
        <f>Lineup!$I$1</f>
        <v>148</v>
      </c>
      <c r="CF134" s="5" t="str">
        <f>Lineup!$G$5</f>
        <v>王俊宏</v>
      </c>
      <c r="CG134" s="5" t="str">
        <f>Lineup!$G$4</f>
        <v>桃園</v>
      </c>
    </row>
    <row r="135" spans="1:85" x14ac:dyDescent="0.3">
      <c r="A135" s="43">
        <v>134</v>
      </c>
      <c r="B135" s="4">
        <v>4</v>
      </c>
      <c r="C135" s="4">
        <v>9</v>
      </c>
      <c r="D135" s="4">
        <v>8</v>
      </c>
      <c r="E135" s="4" t="s">
        <v>309</v>
      </c>
      <c r="F135" s="4" t="s">
        <v>341</v>
      </c>
      <c r="G135" s="4">
        <v>38</v>
      </c>
      <c r="H135" s="4">
        <v>25</v>
      </c>
      <c r="I135" s="4">
        <v>13</v>
      </c>
      <c r="J135" s="4">
        <v>2</v>
      </c>
      <c r="K135" s="4">
        <v>138</v>
      </c>
      <c r="L135" s="4" t="s">
        <v>665</v>
      </c>
      <c r="M135" s="4" t="s">
        <v>571</v>
      </c>
      <c r="N135" s="4" t="s">
        <v>649</v>
      </c>
      <c r="O135" s="4">
        <v>51.75</v>
      </c>
      <c r="P135" s="4">
        <v>93.75</v>
      </c>
      <c r="Q135" s="4" t="s">
        <v>109</v>
      </c>
      <c r="R135" s="5" t="s">
        <v>650</v>
      </c>
      <c r="S135" s="4">
        <v>164.25</v>
      </c>
      <c r="T135" s="4">
        <v>182.25</v>
      </c>
      <c r="U135" s="4" t="s">
        <v>621</v>
      </c>
      <c r="V135" s="4" t="s">
        <v>360</v>
      </c>
      <c r="AI135" s="4" t="s">
        <v>571</v>
      </c>
      <c r="AK135" s="4">
        <v>1</v>
      </c>
      <c r="AM135" s="4">
        <v>1</v>
      </c>
      <c r="AO135" s="4">
        <v>2</v>
      </c>
      <c r="AP135" s="4">
        <v>1</v>
      </c>
      <c r="AQ135" s="4" t="s">
        <v>647</v>
      </c>
      <c r="AR135" s="4" t="s">
        <v>706</v>
      </c>
      <c r="AS135">
        <v>1</v>
      </c>
      <c r="AT135">
        <v>1</v>
      </c>
      <c r="AU135" s="33">
        <v>12967.999999999996</v>
      </c>
      <c r="AV135" s="36" t="s">
        <v>644</v>
      </c>
      <c r="AW135" s="4">
        <v>12959.999999999993</v>
      </c>
      <c r="AX135" s="4" t="str">
        <f>IFERROR(VLOOKUP(M135,Roster!$D$2:$E$27,2,FALSE),"")</f>
        <v>R</v>
      </c>
      <c r="AY135" s="4" t="str">
        <f t="shared" si="13"/>
        <v>1好1壞</v>
      </c>
      <c r="BI135" s="5" t="str">
        <f>Lineup!$G$2</f>
        <v>20210817</v>
      </c>
      <c r="BJ135" s="4" t="str">
        <f t="shared" si="12"/>
        <v>外角中</v>
      </c>
      <c r="BK135" s="4" t="str">
        <f t="shared" si="14"/>
        <v>B1O</v>
      </c>
      <c r="BL135" s="4" t="str">
        <f>IFERROR(VLOOKUP('HomeAttackPlay-by-Play'!E135,Roster!$L$2:$M$27,2,FALSE),"")</f>
        <v/>
      </c>
      <c r="BP135" s="48" t="str">
        <f>IF(BO135&lt;&gt;"",HYPERLINK(video!$F$29&amp;"\"&amp;"cam_1_"&amp;$BO135&amp;".avi","Play"),"")</f>
        <v/>
      </c>
      <c r="BQ135" s="48" t="str">
        <f>IF(BO135&lt;&gt;"",HYPERLINK(video!$F$29&amp;"\"&amp;"cam_2_"&amp;$BO135&amp;".avi","Play"),"")</f>
        <v/>
      </c>
      <c r="BR135" s="48" t="str">
        <f>IF(BO135&lt;&gt;"",HYPERLINK(video!$F$29&amp;"\"&amp;"cam_3_"&amp;$BO135&amp;".avi","Play"),"")</f>
        <v/>
      </c>
      <c r="BS135" s="48" t="str">
        <f>IF(BV135&lt;&gt;"",HYPERLINK(video!$F$25&amp;"\"&amp;"cam_4_"&amp;$BV135&amp;".avi","Play"),"")</f>
        <v/>
      </c>
      <c r="BT135" s="48" t="str">
        <f>IF(BV135&lt;&gt;"",HYPERLINK(video!$F$25&amp;"\"&amp;"cam_5_"&amp;$BV135&amp;".avi","Play"),"")</f>
        <v/>
      </c>
      <c r="BU135" s="48" t="str">
        <f>IF(BV135&lt;&gt;"",HYPERLINK(video!$F$25&amp;"\"&amp;"cam_6_"&amp;$BV135&amp;".avi","Play"),"")</f>
        <v/>
      </c>
      <c r="BY135" s="4">
        <f t="shared" si="10"/>
        <v>92.25</v>
      </c>
      <c r="BZ135" s="4">
        <f t="shared" si="11"/>
        <v>63.75</v>
      </c>
      <c r="CD135" s="5" t="str">
        <f>Lineup!$G$1</f>
        <v>一軍例行賽</v>
      </c>
      <c r="CE135" s="4">
        <f>Lineup!$I$1</f>
        <v>148</v>
      </c>
      <c r="CF135" s="5" t="str">
        <f>Lineup!$G$5</f>
        <v>王俊宏</v>
      </c>
      <c r="CG135" s="5" t="str">
        <f>Lineup!$G$4</f>
        <v>桃園</v>
      </c>
    </row>
    <row r="136" spans="1:85" x14ac:dyDescent="0.3">
      <c r="A136" s="43">
        <v>135</v>
      </c>
      <c r="B136" s="4">
        <v>4</v>
      </c>
      <c r="C136" s="4">
        <v>9</v>
      </c>
      <c r="D136" s="4">
        <v>8</v>
      </c>
      <c r="E136" s="4" t="s">
        <v>309</v>
      </c>
      <c r="F136" s="4" t="s">
        <v>341</v>
      </c>
      <c r="G136" s="4">
        <v>39</v>
      </c>
      <c r="H136" s="4">
        <v>26</v>
      </c>
      <c r="I136" s="4">
        <v>13</v>
      </c>
      <c r="J136" s="4">
        <v>2</v>
      </c>
      <c r="K136" s="4">
        <v>137</v>
      </c>
      <c r="L136" s="4" t="s">
        <v>665</v>
      </c>
      <c r="M136" s="4" t="s">
        <v>381</v>
      </c>
      <c r="N136" s="4" t="s">
        <v>649</v>
      </c>
      <c r="O136" s="4">
        <v>67.5</v>
      </c>
      <c r="P136" s="4">
        <v>54</v>
      </c>
      <c r="Q136" s="4" t="s">
        <v>639</v>
      </c>
      <c r="R136" s="5" t="s">
        <v>690</v>
      </c>
      <c r="AO136" s="4">
        <v>1</v>
      </c>
      <c r="AP136" s="4">
        <v>0</v>
      </c>
      <c r="AQ136" s="4" t="s">
        <v>640</v>
      </c>
      <c r="AS136">
        <v>0</v>
      </c>
      <c r="AT136">
        <v>0</v>
      </c>
      <c r="AU136" s="33">
        <v>12998.999999999998</v>
      </c>
      <c r="AV136" s="36" t="s">
        <v>644</v>
      </c>
      <c r="AW136" s="4">
        <v>12994.999999999991</v>
      </c>
      <c r="AX136" s="4" t="str">
        <f>IFERROR(VLOOKUP(M136,Roster!$D$2:$E$27,2,FALSE),"")</f>
        <v>R</v>
      </c>
      <c r="AY136" s="4" t="str">
        <f t="shared" si="13"/>
        <v>0好0壞</v>
      </c>
      <c r="BI136" s="5" t="str">
        <f>Lineup!$G$2</f>
        <v>20210817</v>
      </c>
      <c r="BJ136" s="4" t="str">
        <f t="shared" si="12"/>
        <v>中偏高</v>
      </c>
      <c r="BK136" s="4" t="str">
        <f t="shared" si="14"/>
        <v>B2O</v>
      </c>
      <c r="BL136" s="4" t="str">
        <f>IFERROR(VLOOKUP('HomeAttackPlay-by-Play'!E136,Roster!$L$2:$M$27,2,FALSE),"")</f>
        <v/>
      </c>
      <c r="BP136" s="48" t="str">
        <f>IF(BO136&lt;&gt;"",HYPERLINK(video!$F$29&amp;"\"&amp;"cam_1_"&amp;$BO136&amp;".avi","Play"),"")</f>
        <v/>
      </c>
      <c r="BQ136" s="48" t="str">
        <f>IF(BO136&lt;&gt;"",HYPERLINK(video!$F$29&amp;"\"&amp;"cam_2_"&amp;$BO136&amp;".avi","Play"),"")</f>
        <v/>
      </c>
      <c r="BR136" s="48" t="str">
        <f>IF(BO136&lt;&gt;"",HYPERLINK(video!$F$29&amp;"\"&amp;"cam_3_"&amp;$BO136&amp;".avi","Play"),"")</f>
        <v/>
      </c>
      <c r="BS136" s="48" t="str">
        <f>IF(BV136&lt;&gt;"",HYPERLINK(video!$F$25&amp;"\"&amp;"cam_4_"&amp;$BV136&amp;".avi","Play"),"")</f>
        <v/>
      </c>
      <c r="BT136" s="48" t="str">
        <f>IF(BV136&lt;&gt;"",HYPERLINK(video!$F$25&amp;"\"&amp;"cam_5_"&amp;$BV136&amp;".avi","Play"),"")</f>
        <v/>
      </c>
      <c r="BU136" s="48" t="str">
        <f>IF(BV136&lt;&gt;"",HYPERLINK(video!$F$25&amp;"\"&amp;"cam_6_"&amp;$BV136&amp;".avi","Play"),"")</f>
        <v/>
      </c>
      <c r="BY136" s="4">
        <f t="shared" si="10"/>
        <v>132</v>
      </c>
      <c r="BZ136" s="4">
        <f t="shared" si="11"/>
        <v>246</v>
      </c>
      <c r="CD136" s="5" t="str">
        <f>Lineup!$G$1</f>
        <v>一軍例行賽</v>
      </c>
      <c r="CE136" s="4">
        <f>Lineup!$I$1</f>
        <v>148</v>
      </c>
      <c r="CF136" s="5" t="str">
        <f>Lineup!$G$5</f>
        <v>王俊宏</v>
      </c>
      <c r="CG136" s="5" t="str">
        <f>Lineup!$G$4</f>
        <v>桃園</v>
      </c>
    </row>
    <row r="137" spans="1:85" x14ac:dyDescent="0.3">
      <c r="A137" s="43">
        <v>136</v>
      </c>
      <c r="B137" s="4">
        <v>4</v>
      </c>
      <c r="C137" s="4">
        <v>9</v>
      </c>
      <c r="D137" s="4">
        <v>8</v>
      </c>
      <c r="E137" s="4" t="s">
        <v>309</v>
      </c>
      <c r="F137" s="4" t="s">
        <v>341</v>
      </c>
      <c r="G137" s="4">
        <v>40</v>
      </c>
      <c r="H137" s="4">
        <v>27</v>
      </c>
      <c r="I137" s="4">
        <v>13</v>
      </c>
      <c r="J137" s="4">
        <v>2</v>
      </c>
      <c r="K137" s="4">
        <v>125</v>
      </c>
      <c r="L137" s="4" t="s">
        <v>646</v>
      </c>
      <c r="M137" s="4" t="s">
        <v>381</v>
      </c>
      <c r="N137" s="4" t="s">
        <v>649</v>
      </c>
      <c r="O137" s="4">
        <v>90</v>
      </c>
      <c r="P137" s="4">
        <v>107.25</v>
      </c>
      <c r="Q137" s="4" t="s">
        <v>639</v>
      </c>
      <c r="R137" s="5" t="s">
        <v>690</v>
      </c>
      <c r="AO137" s="4">
        <v>2</v>
      </c>
      <c r="AP137" s="4">
        <v>0</v>
      </c>
      <c r="AQ137" s="4" t="s">
        <v>662</v>
      </c>
      <c r="AS137">
        <v>1</v>
      </c>
      <c r="AT137">
        <v>0</v>
      </c>
      <c r="AU137" s="33">
        <v>13013.999999999991</v>
      </c>
      <c r="AV137" s="36" t="s">
        <v>644</v>
      </c>
      <c r="AW137" s="4">
        <v>13009.000000000007</v>
      </c>
      <c r="AX137" s="4" t="str">
        <f>IFERROR(VLOOKUP(M137,Roster!$D$2:$E$27,2,FALSE),"")</f>
        <v>R</v>
      </c>
      <c r="AY137" s="4" t="str">
        <f t="shared" si="13"/>
        <v>1好0壞</v>
      </c>
      <c r="BI137" s="5" t="str">
        <f>Lineup!$G$2</f>
        <v>20210817</v>
      </c>
      <c r="BJ137" s="4" t="str">
        <f t="shared" si="12"/>
        <v>內角低</v>
      </c>
      <c r="BK137" s="4" t="str">
        <f t="shared" si="14"/>
        <v>B2O</v>
      </c>
      <c r="BL137" s="4" t="str">
        <f>IFERROR(VLOOKUP('HomeAttackPlay-by-Play'!E137,Roster!$L$2:$M$27,2,FALSE),"")</f>
        <v/>
      </c>
      <c r="BP137" s="48" t="str">
        <f>IF(BO137&lt;&gt;"",HYPERLINK(video!$F$29&amp;"\"&amp;"cam_1_"&amp;$BO137&amp;".avi","Play"),"")</f>
        <v/>
      </c>
      <c r="BQ137" s="48" t="str">
        <f>IF(BO137&lt;&gt;"",HYPERLINK(video!$F$29&amp;"\"&amp;"cam_2_"&amp;$BO137&amp;".avi","Play"),"")</f>
        <v/>
      </c>
      <c r="BR137" s="48" t="str">
        <f>IF(BO137&lt;&gt;"",HYPERLINK(video!$F$29&amp;"\"&amp;"cam_3_"&amp;$BO137&amp;".avi","Play"),"")</f>
        <v/>
      </c>
      <c r="BS137" s="48" t="str">
        <f>IF(BV137&lt;&gt;"",HYPERLINK(video!$F$25&amp;"\"&amp;"cam_4_"&amp;$BV137&amp;".avi","Play"),"")</f>
        <v/>
      </c>
      <c r="BT137" s="48" t="str">
        <f>IF(BV137&lt;&gt;"",HYPERLINK(video!$F$25&amp;"\"&amp;"cam_5_"&amp;$BV137&amp;".avi","Play"),"")</f>
        <v/>
      </c>
      <c r="BU137" s="48" t="str">
        <f>IF(BV137&lt;&gt;"",HYPERLINK(video!$F$25&amp;"\"&amp;"cam_6_"&amp;$BV137&amp;".avi","Play"),"")</f>
        <v/>
      </c>
      <c r="BY137" s="4">
        <f t="shared" si="10"/>
        <v>78.75</v>
      </c>
      <c r="BZ137" s="4">
        <f t="shared" si="11"/>
        <v>246</v>
      </c>
      <c r="CD137" s="5" t="str">
        <f>Lineup!$G$1</f>
        <v>一軍例行賽</v>
      </c>
      <c r="CE137" s="4">
        <f>Lineup!$I$1</f>
        <v>148</v>
      </c>
      <c r="CF137" s="5" t="str">
        <f>Lineup!$G$5</f>
        <v>王俊宏</v>
      </c>
      <c r="CG137" s="5" t="str">
        <f>Lineup!$G$4</f>
        <v>桃園</v>
      </c>
    </row>
    <row r="138" spans="1:85" x14ac:dyDescent="0.3">
      <c r="A138" s="43">
        <v>137</v>
      </c>
      <c r="B138" s="4">
        <v>4</v>
      </c>
      <c r="C138" s="4">
        <v>9</v>
      </c>
      <c r="D138" s="4">
        <v>8</v>
      </c>
      <c r="E138" s="4" t="s">
        <v>309</v>
      </c>
      <c r="F138" s="4" t="s">
        <v>341</v>
      </c>
      <c r="G138" s="4">
        <v>41</v>
      </c>
      <c r="H138" s="4">
        <v>27</v>
      </c>
      <c r="I138" s="4">
        <v>14</v>
      </c>
      <c r="J138" s="4">
        <v>2</v>
      </c>
      <c r="K138" s="4">
        <v>148</v>
      </c>
      <c r="L138" s="4" t="s">
        <v>643</v>
      </c>
      <c r="M138" s="4" t="s">
        <v>381</v>
      </c>
      <c r="N138" s="4" t="s">
        <v>642</v>
      </c>
      <c r="O138" s="4">
        <v>39</v>
      </c>
      <c r="P138" s="4">
        <v>68.25</v>
      </c>
      <c r="Q138" s="4" t="s">
        <v>641</v>
      </c>
      <c r="AO138" s="4">
        <v>2</v>
      </c>
      <c r="AP138" s="4">
        <v>1</v>
      </c>
      <c r="AQ138" s="4" t="s">
        <v>647</v>
      </c>
      <c r="AS138">
        <v>2</v>
      </c>
      <c r="AT138">
        <v>0</v>
      </c>
      <c r="AU138" s="33">
        <v>13030.999999999996</v>
      </c>
      <c r="AV138" s="36" t="s">
        <v>644</v>
      </c>
      <c r="AW138" s="4">
        <v>13027</v>
      </c>
      <c r="AX138" s="4" t="str">
        <f>IFERROR(VLOOKUP(M138,Roster!$D$2:$E$27,2,FALSE),"")</f>
        <v>R</v>
      </c>
      <c r="AY138" s="4" t="str">
        <f t="shared" si="13"/>
        <v>2好0壞</v>
      </c>
      <c r="BI138" s="5" t="str">
        <f>Lineup!$G$2</f>
        <v>20210817</v>
      </c>
      <c r="BJ138" s="4" t="str">
        <f t="shared" si="12"/>
        <v>偏外角高</v>
      </c>
      <c r="BK138" s="4" t="str">
        <f t="shared" si="14"/>
        <v>B2O</v>
      </c>
      <c r="BL138" s="4" t="str">
        <f>IFERROR(VLOOKUP('HomeAttackPlay-by-Play'!E138,Roster!$L$2:$M$27,2,FALSE),"")</f>
        <v/>
      </c>
      <c r="BP138" s="48" t="str">
        <f>IF(BO138&lt;&gt;"",HYPERLINK(video!$F$29&amp;"\"&amp;"cam_1_"&amp;$BO138&amp;".avi","Play"),"")</f>
        <v/>
      </c>
      <c r="BQ138" s="48" t="str">
        <f>IF(BO138&lt;&gt;"",HYPERLINK(video!$F$29&amp;"\"&amp;"cam_2_"&amp;$BO138&amp;".avi","Play"),"")</f>
        <v/>
      </c>
      <c r="BR138" s="48" t="str">
        <f>IF(BO138&lt;&gt;"",HYPERLINK(video!$F$29&amp;"\"&amp;"cam_3_"&amp;$BO138&amp;".avi","Play"),"")</f>
        <v/>
      </c>
      <c r="BS138" s="48" t="str">
        <f>IF(BV138&lt;&gt;"",HYPERLINK(video!$F$25&amp;"\"&amp;"cam_4_"&amp;$BV138&amp;".avi","Play"),"")</f>
        <v/>
      </c>
      <c r="BT138" s="48" t="str">
        <f>IF(BV138&lt;&gt;"",HYPERLINK(video!$F$25&amp;"\"&amp;"cam_5_"&amp;$BV138&amp;".avi","Play"),"")</f>
        <v/>
      </c>
      <c r="BU138" s="48" t="str">
        <f>IF(BV138&lt;&gt;"",HYPERLINK(video!$F$25&amp;"\"&amp;"cam_6_"&amp;$BV138&amp;".avi","Play"),"")</f>
        <v/>
      </c>
      <c r="BY138" s="4">
        <f t="shared" si="10"/>
        <v>117.75</v>
      </c>
      <c r="BZ138" s="4">
        <f t="shared" si="11"/>
        <v>246</v>
      </c>
      <c r="CD138" s="5" t="str">
        <f>Lineup!$G$1</f>
        <v>一軍例行賽</v>
      </c>
      <c r="CE138" s="4">
        <f>Lineup!$I$1</f>
        <v>148</v>
      </c>
      <c r="CF138" s="5" t="str">
        <f>Lineup!$G$5</f>
        <v>王俊宏</v>
      </c>
      <c r="CG138" s="5" t="str">
        <f>Lineup!$G$4</f>
        <v>桃園</v>
      </c>
    </row>
    <row r="139" spans="1:85" x14ac:dyDescent="0.3">
      <c r="A139" s="43">
        <v>138</v>
      </c>
      <c r="B139" s="4">
        <v>4</v>
      </c>
      <c r="C139" s="4">
        <v>9</v>
      </c>
      <c r="D139" s="4">
        <v>8</v>
      </c>
      <c r="E139" s="4" t="s">
        <v>309</v>
      </c>
      <c r="F139" s="4" t="s">
        <v>341</v>
      </c>
      <c r="G139" s="4">
        <v>42</v>
      </c>
      <c r="H139" s="4">
        <v>28</v>
      </c>
      <c r="I139" s="4">
        <v>14</v>
      </c>
      <c r="J139" s="4">
        <v>3</v>
      </c>
      <c r="K139" s="4">
        <v>125</v>
      </c>
      <c r="L139" s="4" t="s">
        <v>646</v>
      </c>
      <c r="M139" s="4" t="s">
        <v>381</v>
      </c>
      <c r="N139" s="4" t="s">
        <v>649</v>
      </c>
      <c r="O139" s="4">
        <v>92.25</v>
      </c>
      <c r="P139" s="4">
        <v>114.75</v>
      </c>
      <c r="Q139" s="4" t="s">
        <v>639</v>
      </c>
      <c r="R139" s="5" t="s">
        <v>685</v>
      </c>
      <c r="AJ139" s="4" t="s">
        <v>381</v>
      </c>
      <c r="AK139" s="4">
        <v>1</v>
      </c>
      <c r="AM139" s="4">
        <v>1</v>
      </c>
      <c r="AO139" s="4">
        <v>3</v>
      </c>
      <c r="AP139" s="4">
        <v>1</v>
      </c>
      <c r="AQ139" s="4" t="s">
        <v>648</v>
      </c>
      <c r="AR139" s="4" t="s">
        <v>680</v>
      </c>
      <c r="AS139">
        <v>2</v>
      </c>
      <c r="AT139">
        <v>1</v>
      </c>
      <c r="AU139" s="33">
        <v>13046</v>
      </c>
      <c r="AV139" s="36" t="s">
        <v>644</v>
      </c>
      <c r="AW139" s="4">
        <v>13039.999999999989</v>
      </c>
      <c r="AX139" s="4" t="str">
        <f>IFERROR(VLOOKUP(M139,Roster!$D$2:$E$27,2,FALSE),"")</f>
        <v>R</v>
      </c>
      <c r="AY139" s="4" t="str">
        <f t="shared" si="13"/>
        <v>2好1壞</v>
      </c>
      <c r="BI139" s="5" t="str">
        <f>Lineup!$G$2</f>
        <v>20210817</v>
      </c>
      <c r="BJ139" s="4" t="str">
        <f t="shared" si="12"/>
        <v>內角低</v>
      </c>
      <c r="BK139" s="4" t="str">
        <f t="shared" si="14"/>
        <v>B2O</v>
      </c>
      <c r="BL139" s="4" t="str">
        <f>IFERROR(VLOOKUP('HomeAttackPlay-by-Play'!E139,Roster!$L$2:$M$27,2,FALSE),"")</f>
        <v/>
      </c>
      <c r="BP139" s="48" t="str">
        <f>IF(BO139&lt;&gt;"",HYPERLINK(video!$F$29&amp;"\"&amp;"cam_1_"&amp;$BO139&amp;".avi","Play"),"")</f>
        <v/>
      </c>
      <c r="BQ139" s="48" t="str">
        <f>IF(BO139&lt;&gt;"",HYPERLINK(video!$F$29&amp;"\"&amp;"cam_2_"&amp;$BO139&amp;".avi","Play"),"")</f>
        <v/>
      </c>
      <c r="BR139" s="48" t="str">
        <f>IF(BO139&lt;&gt;"",HYPERLINK(video!$F$29&amp;"\"&amp;"cam_3_"&amp;$BO139&amp;".avi","Play"),"")</f>
        <v/>
      </c>
      <c r="BS139" s="48" t="str">
        <f>IF(BV139&lt;&gt;"",HYPERLINK(video!$F$25&amp;"\"&amp;"cam_4_"&amp;$BV139&amp;".avi","Play"),"")</f>
        <v/>
      </c>
      <c r="BT139" s="48" t="str">
        <f>IF(BV139&lt;&gt;"",HYPERLINK(video!$F$25&amp;"\"&amp;"cam_5_"&amp;$BV139&amp;".avi","Play"),"")</f>
        <v/>
      </c>
      <c r="BU139" s="48" t="str">
        <f>IF(BV139&lt;&gt;"",HYPERLINK(video!$F$25&amp;"\"&amp;"cam_6_"&amp;$BV139&amp;".avi","Play"),"")</f>
        <v/>
      </c>
      <c r="BY139" s="4">
        <f t="shared" si="10"/>
        <v>71.25</v>
      </c>
      <c r="BZ139" s="4">
        <f t="shared" si="11"/>
        <v>246</v>
      </c>
      <c r="CD139" s="5" t="str">
        <f>Lineup!$G$1</f>
        <v>一軍例行賽</v>
      </c>
      <c r="CE139" s="4">
        <f>Lineup!$I$1</f>
        <v>148</v>
      </c>
      <c r="CF139" s="5" t="str">
        <f>Lineup!$G$5</f>
        <v>王俊宏</v>
      </c>
      <c r="CG139" s="5" t="str">
        <f>Lineup!$G$4</f>
        <v>桃園</v>
      </c>
    </row>
    <row r="140" spans="1:85" x14ac:dyDescent="0.3">
      <c r="A140" s="43">
        <v>139</v>
      </c>
      <c r="B140" s="4">
        <v>4</v>
      </c>
      <c r="C140" s="4">
        <v>9</v>
      </c>
      <c r="D140" s="4">
        <v>9</v>
      </c>
      <c r="E140" s="4" t="s">
        <v>309</v>
      </c>
      <c r="F140" s="4" t="s">
        <v>341</v>
      </c>
      <c r="G140" s="4">
        <v>43</v>
      </c>
      <c r="H140" s="4">
        <v>29</v>
      </c>
      <c r="I140" s="4">
        <v>14</v>
      </c>
      <c r="J140" s="4">
        <v>0</v>
      </c>
      <c r="L140" s="4" t="s">
        <v>643</v>
      </c>
      <c r="M140" s="4" t="s">
        <v>588</v>
      </c>
      <c r="N140" s="4" t="s">
        <v>642</v>
      </c>
      <c r="O140" s="4">
        <v>103.5</v>
      </c>
      <c r="P140" s="4">
        <v>116.25</v>
      </c>
      <c r="Q140" s="4" t="s">
        <v>639</v>
      </c>
      <c r="AO140" s="4">
        <v>1</v>
      </c>
      <c r="AP140" s="4">
        <v>0</v>
      </c>
      <c r="AQ140" s="4" t="s">
        <v>640</v>
      </c>
      <c r="AS140">
        <v>0</v>
      </c>
      <c r="AT140">
        <v>0</v>
      </c>
      <c r="AU140" s="33">
        <v>13978.999999999991</v>
      </c>
      <c r="AV140" s="36" t="s">
        <v>644</v>
      </c>
      <c r="AW140" s="4">
        <v>13974.999999999995</v>
      </c>
      <c r="AX140" s="4" t="str">
        <f>IFERROR(VLOOKUP(M140,Roster!$D$2:$E$27,2,FALSE),"")</f>
        <v>L</v>
      </c>
      <c r="AY140" s="4" t="str">
        <f t="shared" si="13"/>
        <v>0好0壞</v>
      </c>
      <c r="BI140" s="5" t="str">
        <f>Lineup!$G$2</f>
        <v>20210817</v>
      </c>
      <c r="BJ140" s="4" t="str">
        <f t="shared" si="12"/>
        <v>偏外角低</v>
      </c>
      <c r="BK140" s="4" t="str">
        <f t="shared" si="14"/>
        <v>B3O</v>
      </c>
      <c r="BL140" s="4" t="str">
        <f>IFERROR(VLOOKUP('HomeAttackPlay-by-Play'!E140,Roster!$L$2:$M$27,2,FALSE),"")</f>
        <v/>
      </c>
      <c r="BP140" s="48" t="str">
        <f>IF(BO140&lt;&gt;"",HYPERLINK(video!$F$29&amp;"\"&amp;"cam_1_"&amp;$BO140&amp;".avi","Play"),"")</f>
        <v/>
      </c>
      <c r="BQ140" s="48" t="str">
        <f>IF(BO140&lt;&gt;"",HYPERLINK(video!$F$29&amp;"\"&amp;"cam_2_"&amp;$BO140&amp;".avi","Play"),"")</f>
        <v/>
      </c>
      <c r="BR140" s="48" t="str">
        <f>IF(BO140&lt;&gt;"",HYPERLINK(video!$F$29&amp;"\"&amp;"cam_3_"&amp;$BO140&amp;".avi","Play"),"")</f>
        <v/>
      </c>
      <c r="BS140" s="48" t="str">
        <f>IF(BV140&lt;&gt;"",HYPERLINK(video!$F$25&amp;"\"&amp;"cam_4_"&amp;$BV140&amp;".avi","Play"),"")</f>
        <v/>
      </c>
      <c r="BT140" s="48" t="str">
        <f>IF(BV140&lt;&gt;"",HYPERLINK(video!$F$25&amp;"\"&amp;"cam_5_"&amp;$BV140&amp;".avi","Play"),"")</f>
        <v/>
      </c>
      <c r="BU140" s="48" t="str">
        <f>IF(BV140&lt;&gt;"",HYPERLINK(video!$F$25&amp;"\"&amp;"cam_6_"&amp;$BV140&amp;".avi","Play"),"")</f>
        <v/>
      </c>
      <c r="BY140" s="4">
        <f t="shared" si="10"/>
        <v>69.75</v>
      </c>
      <c r="BZ140" s="4">
        <f t="shared" si="11"/>
        <v>246</v>
      </c>
      <c r="CD140" s="5" t="str">
        <f>Lineup!$G$1</f>
        <v>一軍例行賽</v>
      </c>
      <c r="CE140" s="4">
        <f>Lineup!$I$1</f>
        <v>148</v>
      </c>
      <c r="CF140" s="5" t="str">
        <f>Lineup!$G$5</f>
        <v>王俊宏</v>
      </c>
      <c r="CG140" s="5" t="str">
        <f>Lineup!$G$4</f>
        <v>桃園</v>
      </c>
    </row>
    <row r="141" spans="1:85" x14ac:dyDescent="0.3">
      <c r="A141" s="43">
        <v>140</v>
      </c>
      <c r="B141" s="4">
        <v>4</v>
      </c>
      <c r="C141" s="4">
        <v>9</v>
      </c>
      <c r="D141" s="4">
        <v>9</v>
      </c>
      <c r="E141" s="4" t="s">
        <v>309</v>
      </c>
      <c r="F141" s="4" t="s">
        <v>341</v>
      </c>
      <c r="G141" s="4">
        <v>44</v>
      </c>
      <c r="H141" s="4">
        <v>30</v>
      </c>
      <c r="I141" s="4">
        <v>14</v>
      </c>
      <c r="J141" s="4">
        <v>0</v>
      </c>
      <c r="K141" s="4">
        <v>128</v>
      </c>
      <c r="L141" s="4" t="s">
        <v>646</v>
      </c>
      <c r="M141" s="4" t="s">
        <v>588</v>
      </c>
      <c r="N141" s="4" t="s">
        <v>649</v>
      </c>
      <c r="O141" s="4">
        <v>91.5</v>
      </c>
      <c r="P141" s="4">
        <v>112.5</v>
      </c>
      <c r="Q141" s="4" t="s">
        <v>639</v>
      </c>
      <c r="R141" s="5" t="s">
        <v>657</v>
      </c>
      <c r="AO141" s="4">
        <v>2</v>
      </c>
      <c r="AP141" s="4">
        <v>0</v>
      </c>
      <c r="AQ141" s="4" t="s">
        <v>662</v>
      </c>
      <c r="AS141">
        <v>1</v>
      </c>
      <c r="AT141">
        <v>0</v>
      </c>
      <c r="AU141" s="33">
        <v>13992</v>
      </c>
      <c r="AV141" s="36" t="s">
        <v>644</v>
      </c>
      <c r="AW141" s="4">
        <v>13988.000000000004</v>
      </c>
      <c r="AX141" s="4" t="str">
        <f>IFERROR(VLOOKUP(M141,Roster!$D$2:$E$27,2,FALSE),"")</f>
        <v>L</v>
      </c>
      <c r="AY141" s="4" t="str">
        <f t="shared" si="13"/>
        <v>1好0壞</v>
      </c>
      <c r="BI141" s="5" t="str">
        <f>Lineup!$G$2</f>
        <v>20210817</v>
      </c>
      <c r="BJ141" s="4" t="str">
        <f t="shared" si="12"/>
        <v>外角低</v>
      </c>
      <c r="BK141" s="4" t="str">
        <f t="shared" si="14"/>
        <v>B0O</v>
      </c>
      <c r="BL141" s="4" t="str">
        <f>IFERROR(VLOOKUP('HomeAttackPlay-by-Play'!E141,Roster!$L$2:$M$27,2,FALSE),"")</f>
        <v/>
      </c>
      <c r="BP141" s="48" t="str">
        <f>IF(BO141&lt;&gt;"",HYPERLINK(video!$F$29&amp;"\"&amp;"cam_1_"&amp;$BO141&amp;".avi","Play"),"")</f>
        <v/>
      </c>
      <c r="BQ141" s="48" t="str">
        <f>IF(BO141&lt;&gt;"",HYPERLINK(video!$F$29&amp;"\"&amp;"cam_2_"&amp;$BO141&amp;".avi","Play"),"")</f>
        <v/>
      </c>
      <c r="BR141" s="48" t="str">
        <f>IF(BO141&lt;&gt;"",HYPERLINK(video!$F$29&amp;"\"&amp;"cam_3_"&amp;$BO141&amp;".avi","Play"),"")</f>
        <v/>
      </c>
      <c r="BS141" s="48" t="str">
        <f>IF(BV141&lt;&gt;"",HYPERLINK(video!$F$25&amp;"\"&amp;"cam_4_"&amp;$BV141&amp;".avi","Play"),"")</f>
        <v/>
      </c>
      <c r="BT141" s="48" t="str">
        <f>IF(BV141&lt;&gt;"",HYPERLINK(video!$F$25&amp;"\"&amp;"cam_5_"&amp;$BV141&amp;".avi","Play"),"")</f>
        <v/>
      </c>
      <c r="BU141" s="48" t="str">
        <f>IF(BV141&lt;&gt;"",HYPERLINK(video!$F$25&amp;"\"&amp;"cam_6_"&amp;$BV141&amp;".avi","Play"),"")</f>
        <v/>
      </c>
      <c r="BY141" s="4">
        <f t="shared" si="10"/>
        <v>73.5</v>
      </c>
      <c r="BZ141" s="4">
        <f t="shared" si="11"/>
        <v>246</v>
      </c>
      <c r="CD141" s="5" t="str">
        <f>Lineup!$G$1</f>
        <v>一軍例行賽</v>
      </c>
      <c r="CE141" s="4">
        <f>Lineup!$I$1</f>
        <v>148</v>
      </c>
      <c r="CF141" s="5" t="str">
        <f>Lineup!$G$5</f>
        <v>王俊宏</v>
      </c>
      <c r="CG141" s="5" t="str">
        <f>Lineup!$G$4</f>
        <v>桃園</v>
      </c>
    </row>
    <row r="142" spans="1:85" x14ac:dyDescent="0.3">
      <c r="A142" s="43">
        <v>141</v>
      </c>
      <c r="B142" s="4">
        <v>4</v>
      </c>
      <c r="C142" s="4">
        <v>9</v>
      </c>
      <c r="D142" s="4">
        <v>9</v>
      </c>
      <c r="E142" s="4" t="s">
        <v>309</v>
      </c>
      <c r="F142" s="4" t="s">
        <v>341</v>
      </c>
      <c r="G142" s="4">
        <v>45</v>
      </c>
      <c r="H142" s="4">
        <v>30</v>
      </c>
      <c r="I142" s="4">
        <v>15</v>
      </c>
      <c r="J142" s="4">
        <v>0</v>
      </c>
      <c r="K142" s="4">
        <v>149</v>
      </c>
      <c r="L142" s="4" t="s">
        <v>643</v>
      </c>
      <c r="M142" s="4" t="s">
        <v>588</v>
      </c>
      <c r="N142" s="4" t="s">
        <v>642</v>
      </c>
      <c r="O142" s="4">
        <v>108.75</v>
      </c>
      <c r="P142" s="4">
        <v>54</v>
      </c>
      <c r="Q142" s="4" t="s">
        <v>641</v>
      </c>
      <c r="AO142" s="4">
        <v>2</v>
      </c>
      <c r="AP142" s="4">
        <v>1</v>
      </c>
      <c r="AQ142" s="4" t="s">
        <v>647</v>
      </c>
      <c r="AS142">
        <v>2</v>
      </c>
      <c r="AT142">
        <v>0</v>
      </c>
      <c r="AU142" s="33">
        <v>14008.999999999996</v>
      </c>
      <c r="AV142" s="36" t="s">
        <v>644</v>
      </c>
      <c r="AW142" s="4">
        <v>14007.000000000002</v>
      </c>
      <c r="AX142" s="4" t="str">
        <f>IFERROR(VLOOKUP(M142,Roster!$D$2:$E$27,2,FALSE),"")</f>
        <v>L</v>
      </c>
      <c r="AY142" s="4" t="str">
        <f t="shared" si="13"/>
        <v>2好0壞</v>
      </c>
      <c r="BI142" s="5" t="str">
        <f>Lineup!$G$2</f>
        <v>20210817</v>
      </c>
      <c r="BJ142" s="4" t="str">
        <f t="shared" si="12"/>
        <v>偏外角偏高</v>
      </c>
      <c r="BK142" s="4" t="str">
        <f t="shared" si="14"/>
        <v>B0O</v>
      </c>
      <c r="BL142" s="4" t="str">
        <f>IFERROR(VLOOKUP('HomeAttackPlay-by-Play'!E142,Roster!$L$2:$M$27,2,FALSE),"")</f>
        <v/>
      </c>
      <c r="BP142" s="48" t="str">
        <f>IF(BO142&lt;&gt;"",HYPERLINK(video!$F$29&amp;"\"&amp;"cam_1_"&amp;$BO142&amp;".avi","Play"),"")</f>
        <v/>
      </c>
      <c r="BQ142" s="48" t="str">
        <f>IF(BO142&lt;&gt;"",HYPERLINK(video!$F$29&amp;"\"&amp;"cam_2_"&amp;$BO142&amp;".avi","Play"),"")</f>
        <v/>
      </c>
      <c r="BR142" s="48" t="str">
        <f>IF(BO142&lt;&gt;"",HYPERLINK(video!$F$29&amp;"\"&amp;"cam_3_"&amp;$BO142&amp;".avi","Play"),"")</f>
        <v/>
      </c>
      <c r="BS142" s="48" t="str">
        <f>IF(BV142&lt;&gt;"",HYPERLINK(video!$F$25&amp;"\"&amp;"cam_4_"&amp;$BV142&amp;".avi","Play"),"")</f>
        <v/>
      </c>
      <c r="BT142" s="48" t="str">
        <f>IF(BV142&lt;&gt;"",HYPERLINK(video!$F$25&amp;"\"&amp;"cam_5_"&amp;$BV142&amp;".avi","Play"),"")</f>
        <v/>
      </c>
      <c r="BU142" s="48" t="str">
        <f>IF(BV142&lt;&gt;"",HYPERLINK(video!$F$25&amp;"\"&amp;"cam_6_"&amp;$BV142&amp;".avi","Play"),"")</f>
        <v/>
      </c>
      <c r="BY142" s="4">
        <f t="shared" si="10"/>
        <v>132</v>
      </c>
      <c r="BZ142" s="4">
        <f t="shared" si="11"/>
        <v>246</v>
      </c>
      <c r="CD142" s="5" t="str">
        <f>Lineup!$G$1</f>
        <v>一軍例行賽</v>
      </c>
      <c r="CE142" s="4">
        <f>Lineup!$I$1</f>
        <v>148</v>
      </c>
      <c r="CF142" s="5" t="str">
        <f>Lineup!$G$5</f>
        <v>王俊宏</v>
      </c>
      <c r="CG142" s="5" t="str">
        <f>Lineup!$G$4</f>
        <v>桃園</v>
      </c>
    </row>
    <row r="143" spans="1:85" x14ac:dyDescent="0.3">
      <c r="A143" s="43">
        <v>142</v>
      </c>
      <c r="B143" s="4">
        <v>4</v>
      </c>
      <c r="C143" s="4">
        <v>9</v>
      </c>
      <c r="D143" s="4">
        <v>9</v>
      </c>
      <c r="E143" s="4" t="s">
        <v>309</v>
      </c>
      <c r="F143" s="4" t="s">
        <v>341</v>
      </c>
      <c r="G143" s="4">
        <v>46</v>
      </c>
      <c r="H143" s="4">
        <v>31</v>
      </c>
      <c r="I143" s="4">
        <v>15</v>
      </c>
      <c r="J143" s="4">
        <v>1</v>
      </c>
      <c r="K143" s="4">
        <v>123</v>
      </c>
      <c r="L143" s="4" t="s">
        <v>689</v>
      </c>
      <c r="M143" s="4" t="s">
        <v>588</v>
      </c>
      <c r="N143" s="4" t="s">
        <v>642</v>
      </c>
      <c r="O143" s="4">
        <v>97.5</v>
      </c>
      <c r="P143" s="4">
        <v>82.5</v>
      </c>
      <c r="Q143" s="4" t="s">
        <v>639</v>
      </c>
      <c r="R143" s="5" t="s">
        <v>693</v>
      </c>
      <c r="AH143" s="4" t="s">
        <v>588</v>
      </c>
      <c r="AK143" s="4">
        <v>1</v>
      </c>
      <c r="AM143" s="4">
        <v>1</v>
      </c>
      <c r="AO143" s="4">
        <v>3</v>
      </c>
      <c r="AP143" s="4">
        <v>1</v>
      </c>
      <c r="AQ143" s="4" t="s">
        <v>648</v>
      </c>
      <c r="AR143" s="4" t="s">
        <v>738</v>
      </c>
      <c r="AS143">
        <v>2</v>
      </c>
      <c r="AT143">
        <v>1</v>
      </c>
      <c r="AU143" s="33">
        <v>14021.999999999995</v>
      </c>
      <c r="AV143" s="36" t="s">
        <v>644</v>
      </c>
      <c r="AW143" s="4">
        <v>14017.999999999998</v>
      </c>
      <c r="AX143" s="4" t="str">
        <f>IFERROR(VLOOKUP(M143,Roster!$D$2:$E$27,2,FALSE),"")</f>
        <v>L</v>
      </c>
      <c r="AY143" s="4" t="str">
        <f t="shared" si="13"/>
        <v>2好1壞</v>
      </c>
      <c r="BI143" s="5" t="str">
        <f>Lineup!$G$2</f>
        <v>20210817</v>
      </c>
      <c r="BJ143" s="4" t="str">
        <f t="shared" si="12"/>
        <v>外角中</v>
      </c>
      <c r="BK143" s="4" t="str">
        <f t="shared" si="14"/>
        <v>B0O</v>
      </c>
      <c r="BL143" s="4" t="str">
        <f>IFERROR(VLOOKUP('HomeAttackPlay-by-Play'!E143,Roster!$L$2:$M$27,2,FALSE),"")</f>
        <v/>
      </c>
      <c r="BP143" s="48" t="str">
        <f>IF(BO143&lt;&gt;"",HYPERLINK(video!$F$29&amp;"\"&amp;"cam_1_"&amp;$BO143&amp;".avi","Play"),"")</f>
        <v/>
      </c>
      <c r="BQ143" s="48" t="str">
        <f>IF(BO143&lt;&gt;"",HYPERLINK(video!$F$29&amp;"\"&amp;"cam_2_"&amp;$BO143&amp;".avi","Play"),"")</f>
        <v/>
      </c>
      <c r="BR143" s="48" t="str">
        <f>IF(BO143&lt;&gt;"",HYPERLINK(video!$F$29&amp;"\"&amp;"cam_3_"&amp;$BO143&amp;".avi","Play"),"")</f>
        <v/>
      </c>
      <c r="BS143" s="48" t="str">
        <f>IF(BV143&lt;&gt;"",HYPERLINK(video!$F$25&amp;"\"&amp;"cam_4_"&amp;$BV143&amp;".avi","Play"),"")</f>
        <v/>
      </c>
      <c r="BT143" s="48" t="str">
        <f>IF(BV143&lt;&gt;"",HYPERLINK(video!$F$25&amp;"\"&amp;"cam_5_"&amp;$BV143&amp;".avi","Play"),"")</f>
        <v/>
      </c>
      <c r="BU143" s="48" t="str">
        <f>IF(BV143&lt;&gt;"",HYPERLINK(video!$F$25&amp;"\"&amp;"cam_6_"&amp;$BV143&amp;".avi","Play"),"")</f>
        <v/>
      </c>
      <c r="BY143" s="4">
        <f t="shared" si="10"/>
        <v>103.5</v>
      </c>
      <c r="BZ143" s="4">
        <f t="shared" si="11"/>
        <v>246</v>
      </c>
      <c r="CD143" s="5" t="str">
        <f>Lineup!$G$1</f>
        <v>一軍例行賽</v>
      </c>
      <c r="CE143" s="4">
        <f>Lineup!$I$1</f>
        <v>148</v>
      </c>
      <c r="CF143" s="5" t="str">
        <f>Lineup!$G$5</f>
        <v>王俊宏</v>
      </c>
      <c r="CG143" s="5" t="str">
        <f>Lineup!$G$4</f>
        <v>桃園</v>
      </c>
    </row>
    <row r="144" spans="1:85" x14ac:dyDescent="0.3">
      <c r="A144" s="43">
        <v>143</v>
      </c>
      <c r="B144" s="4">
        <v>4</v>
      </c>
      <c r="C144" s="4">
        <v>9</v>
      </c>
      <c r="D144" s="4">
        <v>9</v>
      </c>
      <c r="E144" s="4" t="s">
        <v>309</v>
      </c>
      <c r="F144" s="4" t="s">
        <v>341</v>
      </c>
      <c r="G144" s="4">
        <v>47</v>
      </c>
      <c r="H144" s="4">
        <v>31</v>
      </c>
      <c r="I144" s="4">
        <v>16</v>
      </c>
      <c r="J144" s="4">
        <v>1</v>
      </c>
      <c r="K144" s="4">
        <v>123</v>
      </c>
      <c r="L144" s="4" t="s">
        <v>689</v>
      </c>
      <c r="M144" s="4" t="s">
        <v>343</v>
      </c>
      <c r="N144" s="4" t="s">
        <v>642</v>
      </c>
      <c r="O144" s="4">
        <v>108.75</v>
      </c>
      <c r="P144" s="4">
        <v>145.5</v>
      </c>
      <c r="Q144" s="4" t="s">
        <v>641</v>
      </c>
      <c r="AO144" s="4">
        <v>0</v>
      </c>
      <c r="AP144" s="4">
        <v>1</v>
      </c>
      <c r="AQ144" s="4" t="s">
        <v>652</v>
      </c>
      <c r="AS144">
        <v>0</v>
      </c>
      <c r="AT144">
        <v>0</v>
      </c>
      <c r="AU144" s="33">
        <v>14061.000000000002</v>
      </c>
      <c r="AV144" s="36" t="s">
        <v>644</v>
      </c>
      <c r="AW144" s="4">
        <v>14058</v>
      </c>
      <c r="AX144" s="4" t="str">
        <f>IFERROR(VLOOKUP(M144,Roster!$D$2:$E$27,2,FALSE),"")</f>
        <v>L</v>
      </c>
      <c r="AY144" s="4" t="str">
        <f t="shared" si="13"/>
        <v>0好0壞</v>
      </c>
      <c r="BI144" s="5" t="str">
        <f>Lineup!$G$2</f>
        <v>20210817</v>
      </c>
      <c r="BJ144" s="4" t="str">
        <f t="shared" si="12"/>
        <v>偏外角偏低</v>
      </c>
      <c r="BK144" s="4" t="str">
        <f t="shared" si="14"/>
        <v>B1O</v>
      </c>
      <c r="BL144" s="4" t="str">
        <f>IFERROR(VLOOKUP('HomeAttackPlay-by-Play'!E144,Roster!$L$2:$M$27,2,FALSE),"")</f>
        <v/>
      </c>
      <c r="BP144" s="48" t="str">
        <f>IF(BO144&lt;&gt;"",HYPERLINK(video!$F$29&amp;"\"&amp;"cam_1_"&amp;$BO144&amp;".avi","Play"),"")</f>
        <v/>
      </c>
      <c r="BQ144" s="48" t="str">
        <f>IF(BO144&lt;&gt;"",HYPERLINK(video!$F$29&amp;"\"&amp;"cam_2_"&amp;$BO144&amp;".avi","Play"),"")</f>
        <v/>
      </c>
      <c r="BR144" s="48" t="str">
        <f>IF(BO144&lt;&gt;"",HYPERLINK(video!$F$29&amp;"\"&amp;"cam_3_"&amp;$BO144&amp;".avi","Play"),"")</f>
        <v/>
      </c>
      <c r="BS144" s="48" t="str">
        <f>IF(BV144&lt;&gt;"",HYPERLINK(video!$F$25&amp;"\"&amp;"cam_4_"&amp;$BV144&amp;".avi","Play"),"")</f>
        <v/>
      </c>
      <c r="BT144" s="48" t="str">
        <f>IF(BV144&lt;&gt;"",HYPERLINK(video!$F$25&amp;"\"&amp;"cam_5_"&amp;$BV144&amp;".avi","Play"),"")</f>
        <v/>
      </c>
      <c r="BU144" s="48" t="str">
        <f>IF(BV144&lt;&gt;"",HYPERLINK(video!$F$25&amp;"\"&amp;"cam_6_"&amp;$BV144&amp;".avi","Play"),"")</f>
        <v/>
      </c>
      <c r="BY144" s="4">
        <f t="shared" si="10"/>
        <v>40.5</v>
      </c>
      <c r="BZ144" s="4">
        <f t="shared" si="11"/>
        <v>246</v>
      </c>
      <c r="CD144" s="5" t="str">
        <f>Lineup!$G$1</f>
        <v>一軍例行賽</v>
      </c>
      <c r="CE144" s="4">
        <f>Lineup!$I$1</f>
        <v>148</v>
      </c>
      <c r="CF144" s="5" t="str">
        <f>Lineup!$G$5</f>
        <v>王俊宏</v>
      </c>
      <c r="CG144" s="5" t="str">
        <f>Lineup!$G$4</f>
        <v>桃園</v>
      </c>
    </row>
    <row r="145" spans="1:85" x14ac:dyDescent="0.3">
      <c r="A145" s="43">
        <v>144</v>
      </c>
      <c r="B145" s="4">
        <v>4</v>
      </c>
      <c r="C145" s="4">
        <v>9</v>
      </c>
      <c r="D145" s="4">
        <v>9</v>
      </c>
      <c r="E145" s="4" t="s">
        <v>309</v>
      </c>
      <c r="F145" s="4" t="s">
        <v>341</v>
      </c>
      <c r="G145" s="4">
        <v>48</v>
      </c>
      <c r="H145" s="4">
        <v>32</v>
      </c>
      <c r="I145" s="4">
        <v>16</v>
      </c>
      <c r="J145" s="4">
        <v>1</v>
      </c>
      <c r="L145" s="4" t="s">
        <v>689</v>
      </c>
      <c r="M145" s="4" t="s">
        <v>343</v>
      </c>
      <c r="N145" s="4" t="s">
        <v>642</v>
      </c>
      <c r="O145" s="4">
        <v>87</v>
      </c>
      <c r="P145" s="4">
        <v>77.25</v>
      </c>
      <c r="Q145" s="4" t="s">
        <v>639</v>
      </c>
      <c r="AO145" s="4">
        <v>1</v>
      </c>
      <c r="AP145" s="4">
        <v>1</v>
      </c>
      <c r="AQ145" s="4" t="s">
        <v>645</v>
      </c>
      <c r="AS145">
        <v>0</v>
      </c>
      <c r="AT145">
        <v>1</v>
      </c>
      <c r="AU145" s="33">
        <v>14074.999999999996</v>
      </c>
      <c r="AV145" s="36" t="s">
        <v>644</v>
      </c>
      <c r="AW145" s="4">
        <v>14069.999999999993</v>
      </c>
      <c r="AX145" s="4" t="str">
        <f>IFERROR(VLOOKUP(M145,Roster!$D$2:$E$27,2,FALSE),"")</f>
        <v>L</v>
      </c>
      <c r="AY145" s="4" t="str">
        <f t="shared" si="13"/>
        <v>0好1壞</v>
      </c>
      <c r="BI145" s="5" t="str">
        <f>Lineup!$G$2</f>
        <v>20210817</v>
      </c>
      <c r="BJ145" s="4" t="str">
        <f t="shared" si="12"/>
        <v>外角高</v>
      </c>
      <c r="BK145" s="4" t="str">
        <f t="shared" si="14"/>
        <v>B1O</v>
      </c>
      <c r="BL145" s="4" t="str">
        <f>IFERROR(VLOOKUP('HomeAttackPlay-by-Play'!E145,Roster!$L$2:$M$27,2,FALSE),"")</f>
        <v/>
      </c>
      <c r="BP145" s="48" t="str">
        <f>IF(BO145&lt;&gt;"",HYPERLINK(video!$F$29&amp;"\"&amp;"cam_1_"&amp;$BO145&amp;".avi","Play"),"")</f>
        <v/>
      </c>
      <c r="BQ145" s="48" t="str">
        <f>IF(BO145&lt;&gt;"",HYPERLINK(video!$F$29&amp;"\"&amp;"cam_2_"&amp;$BO145&amp;".avi","Play"),"")</f>
        <v/>
      </c>
      <c r="BR145" s="48" t="str">
        <f>IF(BO145&lt;&gt;"",HYPERLINK(video!$F$29&amp;"\"&amp;"cam_3_"&amp;$BO145&amp;".avi","Play"),"")</f>
        <v/>
      </c>
      <c r="BS145" s="48" t="str">
        <f>IF(BV145&lt;&gt;"",HYPERLINK(video!$F$25&amp;"\"&amp;"cam_4_"&amp;$BV145&amp;".avi","Play"),"")</f>
        <v/>
      </c>
      <c r="BT145" s="48" t="str">
        <f>IF(BV145&lt;&gt;"",HYPERLINK(video!$F$25&amp;"\"&amp;"cam_5_"&amp;$BV145&amp;".avi","Play"),"")</f>
        <v/>
      </c>
      <c r="BU145" s="48" t="str">
        <f>IF(BV145&lt;&gt;"",HYPERLINK(video!$F$25&amp;"\"&amp;"cam_6_"&amp;$BV145&amp;".avi","Play"),"")</f>
        <v/>
      </c>
      <c r="BY145" s="4">
        <f t="shared" si="10"/>
        <v>108.75</v>
      </c>
      <c r="BZ145" s="4">
        <f t="shared" si="11"/>
        <v>246</v>
      </c>
      <c r="CD145" s="5" t="str">
        <f>Lineup!$G$1</f>
        <v>一軍例行賽</v>
      </c>
      <c r="CE145" s="4">
        <f>Lineup!$I$1</f>
        <v>148</v>
      </c>
      <c r="CF145" s="5" t="str">
        <f>Lineup!$G$5</f>
        <v>王俊宏</v>
      </c>
      <c r="CG145" s="5" t="str">
        <f>Lineup!$G$4</f>
        <v>桃園</v>
      </c>
    </row>
    <row r="146" spans="1:85" x14ac:dyDescent="0.3">
      <c r="A146" s="43">
        <v>145</v>
      </c>
      <c r="B146" s="4">
        <v>4</v>
      </c>
      <c r="C146" s="4">
        <v>9</v>
      </c>
      <c r="D146" s="4">
        <v>9</v>
      </c>
      <c r="E146" s="4" t="s">
        <v>309</v>
      </c>
      <c r="F146" s="4" t="s">
        <v>341</v>
      </c>
      <c r="G146" s="4">
        <v>49</v>
      </c>
      <c r="H146" s="4">
        <v>32</v>
      </c>
      <c r="I146" s="4">
        <v>17</v>
      </c>
      <c r="J146" s="4">
        <v>1</v>
      </c>
      <c r="K146" s="4">
        <v>144</v>
      </c>
      <c r="L146" s="4" t="s">
        <v>643</v>
      </c>
      <c r="M146" s="4" t="s">
        <v>343</v>
      </c>
      <c r="N146" s="4" t="s">
        <v>642</v>
      </c>
      <c r="O146" s="4">
        <v>53.25</v>
      </c>
      <c r="P146" s="4">
        <v>56.25</v>
      </c>
      <c r="Q146" s="4" t="s">
        <v>641</v>
      </c>
      <c r="AO146" s="4">
        <v>1</v>
      </c>
      <c r="AP146" s="4">
        <v>2</v>
      </c>
      <c r="AQ146" s="4" t="s">
        <v>654</v>
      </c>
      <c r="AS146">
        <v>1</v>
      </c>
      <c r="AT146">
        <v>1</v>
      </c>
      <c r="AU146" s="33">
        <v>14088.000000000005</v>
      </c>
      <c r="AV146" s="36" t="s">
        <v>644</v>
      </c>
      <c r="AW146" s="4">
        <v>14084.999999999996</v>
      </c>
      <c r="AX146" s="4" t="str">
        <f>IFERROR(VLOOKUP(M146,Roster!$D$2:$E$27,2,FALSE),"")</f>
        <v>L</v>
      </c>
      <c r="AY146" s="4" t="str">
        <f t="shared" si="13"/>
        <v>1好1壞</v>
      </c>
      <c r="BI146" s="5" t="str">
        <f>Lineup!$G$2</f>
        <v>20210817</v>
      </c>
      <c r="BJ146" s="4" t="str">
        <f t="shared" si="12"/>
        <v>內角偏高</v>
      </c>
      <c r="BK146" s="4" t="str">
        <f t="shared" si="14"/>
        <v>B1O</v>
      </c>
      <c r="BL146" s="4" t="str">
        <f>IFERROR(VLOOKUP('HomeAttackPlay-by-Play'!E146,Roster!$L$2:$M$27,2,FALSE),"")</f>
        <v/>
      </c>
      <c r="BP146" s="48" t="str">
        <f>IF(BO146&lt;&gt;"",HYPERLINK(video!$F$29&amp;"\"&amp;"cam_1_"&amp;$BO146&amp;".avi","Play"),"")</f>
        <v/>
      </c>
      <c r="BQ146" s="48" t="str">
        <f>IF(BO146&lt;&gt;"",HYPERLINK(video!$F$29&amp;"\"&amp;"cam_2_"&amp;$BO146&amp;".avi","Play"),"")</f>
        <v/>
      </c>
      <c r="BR146" s="48" t="str">
        <f>IF(BO146&lt;&gt;"",HYPERLINK(video!$F$29&amp;"\"&amp;"cam_3_"&amp;$BO146&amp;".avi","Play"),"")</f>
        <v/>
      </c>
      <c r="BS146" s="48" t="str">
        <f>IF(BV146&lt;&gt;"",HYPERLINK(video!$F$25&amp;"\"&amp;"cam_4_"&amp;$BV146&amp;".avi","Play"),"")</f>
        <v/>
      </c>
      <c r="BT146" s="48" t="str">
        <f>IF(BV146&lt;&gt;"",HYPERLINK(video!$F$25&amp;"\"&amp;"cam_5_"&amp;$BV146&amp;".avi","Play"),"")</f>
        <v/>
      </c>
      <c r="BU146" s="48" t="str">
        <f>IF(BV146&lt;&gt;"",HYPERLINK(video!$F$25&amp;"\"&amp;"cam_6_"&amp;$BV146&amp;".avi","Play"),"")</f>
        <v/>
      </c>
      <c r="BY146" s="4">
        <f t="shared" si="10"/>
        <v>129.75</v>
      </c>
      <c r="BZ146" s="4">
        <f t="shared" si="11"/>
        <v>246</v>
      </c>
      <c r="CD146" s="5" t="str">
        <f>Lineup!$G$1</f>
        <v>一軍例行賽</v>
      </c>
      <c r="CE146" s="4">
        <f>Lineup!$I$1</f>
        <v>148</v>
      </c>
      <c r="CF146" s="5" t="str">
        <f>Lineup!$G$5</f>
        <v>王俊宏</v>
      </c>
      <c r="CG146" s="5" t="str">
        <f>Lineup!$G$4</f>
        <v>桃園</v>
      </c>
    </row>
    <row r="147" spans="1:85" x14ac:dyDescent="0.3">
      <c r="A147" s="43">
        <v>146</v>
      </c>
      <c r="B147" s="4">
        <v>4</v>
      </c>
      <c r="C147" s="4">
        <v>9</v>
      </c>
      <c r="D147" s="4">
        <v>9</v>
      </c>
      <c r="E147" s="4" t="s">
        <v>309</v>
      </c>
      <c r="F147" s="4" t="s">
        <v>341</v>
      </c>
      <c r="G147" s="4">
        <v>50</v>
      </c>
      <c r="H147" s="4">
        <v>33</v>
      </c>
      <c r="I147" s="4">
        <v>17</v>
      </c>
      <c r="J147" s="4">
        <v>1</v>
      </c>
      <c r="K147" s="4">
        <v>146</v>
      </c>
      <c r="L147" s="4" t="s">
        <v>643</v>
      </c>
      <c r="M147" s="4" t="s">
        <v>343</v>
      </c>
      <c r="N147" s="4" t="s">
        <v>649</v>
      </c>
      <c r="O147" s="4">
        <v>93</v>
      </c>
      <c r="P147" s="4">
        <v>74.25</v>
      </c>
      <c r="Q147" s="4" t="s">
        <v>639</v>
      </c>
      <c r="R147" s="5" t="s">
        <v>657</v>
      </c>
      <c r="AO147" s="4">
        <v>2</v>
      </c>
      <c r="AP147" s="4">
        <v>2</v>
      </c>
      <c r="AQ147" s="4" t="s">
        <v>655</v>
      </c>
      <c r="AS147">
        <v>1</v>
      </c>
      <c r="AT147">
        <v>2</v>
      </c>
      <c r="AU147" s="33">
        <v>14103.999999999995</v>
      </c>
      <c r="AV147" s="36" t="s">
        <v>644</v>
      </c>
      <c r="AW147" s="4">
        <v>14100.999999999995</v>
      </c>
      <c r="AX147" s="4" t="str">
        <f>IFERROR(VLOOKUP(M147,Roster!$D$2:$E$27,2,FALSE),"")</f>
        <v>L</v>
      </c>
      <c r="AY147" s="4" t="str">
        <f t="shared" si="13"/>
        <v>1好2壞</v>
      </c>
      <c r="BI147" s="5" t="str">
        <f>Lineup!$G$2</f>
        <v>20210817</v>
      </c>
      <c r="BJ147" s="4" t="str">
        <f t="shared" si="12"/>
        <v>外角高</v>
      </c>
      <c r="BK147" s="4" t="str">
        <f t="shared" si="14"/>
        <v>B1O</v>
      </c>
      <c r="BL147" s="4" t="str">
        <f>IFERROR(VLOOKUP('HomeAttackPlay-by-Play'!E147,Roster!$L$2:$M$27,2,FALSE),"")</f>
        <v/>
      </c>
      <c r="BP147" s="48" t="str">
        <f>IF(BO147&lt;&gt;"",HYPERLINK(video!$F$29&amp;"\"&amp;"cam_1_"&amp;$BO147&amp;".avi","Play"),"")</f>
        <v/>
      </c>
      <c r="BQ147" s="48" t="str">
        <f>IF(BO147&lt;&gt;"",HYPERLINK(video!$F$29&amp;"\"&amp;"cam_2_"&amp;$BO147&amp;".avi","Play"),"")</f>
        <v/>
      </c>
      <c r="BR147" s="48" t="str">
        <f>IF(BO147&lt;&gt;"",HYPERLINK(video!$F$29&amp;"\"&amp;"cam_3_"&amp;$BO147&amp;".avi","Play"),"")</f>
        <v/>
      </c>
      <c r="BS147" s="48" t="str">
        <f>IF(BV147&lt;&gt;"",HYPERLINK(video!$F$25&amp;"\"&amp;"cam_4_"&amp;$BV147&amp;".avi","Play"),"")</f>
        <v/>
      </c>
      <c r="BT147" s="48" t="str">
        <f>IF(BV147&lt;&gt;"",HYPERLINK(video!$F$25&amp;"\"&amp;"cam_5_"&amp;$BV147&amp;".avi","Play"),"")</f>
        <v/>
      </c>
      <c r="BU147" s="48" t="str">
        <f>IF(BV147&lt;&gt;"",HYPERLINK(video!$F$25&amp;"\"&amp;"cam_6_"&amp;$BV147&amp;".avi","Play"),"")</f>
        <v/>
      </c>
      <c r="BY147" s="4">
        <f t="shared" si="10"/>
        <v>111.75</v>
      </c>
      <c r="BZ147" s="4">
        <f t="shared" si="11"/>
        <v>246</v>
      </c>
      <c r="CD147" s="5" t="str">
        <f>Lineup!$G$1</f>
        <v>一軍例行賽</v>
      </c>
      <c r="CE147" s="4">
        <f>Lineup!$I$1</f>
        <v>148</v>
      </c>
      <c r="CF147" s="5" t="str">
        <f>Lineup!$G$5</f>
        <v>王俊宏</v>
      </c>
      <c r="CG147" s="5" t="str">
        <f>Lineup!$G$4</f>
        <v>桃園</v>
      </c>
    </row>
    <row r="148" spans="1:85" x14ac:dyDescent="0.3">
      <c r="A148" s="43">
        <v>147</v>
      </c>
      <c r="B148" s="4">
        <v>4</v>
      </c>
      <c r="C148" s="4">
        <v>9</v>
      </c>
      <c r="D148" s="4">
        <v>9</v>
      </c>
      <c r="E148" s="4" t="s">
        <v>309</v>
      </c>
      <c r="F148" s="4" t="s">
        <v>341</v>
      </c>
      <c r="G148" s="4">
        <v>51</v>
      </c>
      <c r="H148" s="4">
        <v>34</v>
      </c>
      <c r="I148" s="4">
        <v>17</v>
      </c>
      <c r="J148" s="4">
        <v>1</v>
      </c>
      <c r="K148" s="4">
        <v>126</v>
      </c>
      <c r="L148" s="4" t="s">
        <v>646</v>
      </c>
      <c r="M148" s="4" t="s">
        <v>343</v>
      </c>
      <c r="N148" s="4" t="s">
        <v>649</v>
      </c>
      <c r="O148" s="4">
        <v>89.25</v>
      </c>
      <c r="P148" s="4">
        <v>72</v>
      </c>
      <c r="Q148" s="4" t="s">
        <v>639</v>
      </c>
      <c r="R148" s="5" t="s">
        <v>696</v>
      </c>
      <c r="AO148" s="4">
        <v>2</v>
      </c>
      <c r="AP148" s="4">
        <v>2</v>
      </c>
      <c r="AQ148" s="4" t="s">
        <v>655</v>
      </c>
      <c r="AS148">
        <v>2</v>
      </c>
      <c r="AT148">
        <v>2</v>
      </c>
      <c r="AU148" s="33">
        <v>14131.999999999996</v>
      </c>
      <c r="AV148" s="36" t="s">
        <v>644</v>
      </c>
      <c r="AW148" s="4">
        <v>14128.999999999996</v>
      </c>
      <c r="AX148" s="4" t="str">
        <f>IFERROR(VLOOKUP(M148,Roster!$D$2:$E$27,2,FALSE),"")</f>
        <v>L</v>
      </c>
      <c r="AY148" s="4" t="str">
        <f t="shared" si="13"/>
        <v>2好2壞</v>
      </c>
      <c r="BI148" s="5" t="str">
        <f>Lineup!$G$2</f>
        <v>20210817</v>
      </c>
      <c r="BJ148" s="4" t="str">
        <f t="shared" si="12"/>
        <v>外角高</v>
      </c>
      <c r="BK148" s="4" t="str">
        <f t="shared" si="14"/>
        <v>B1O</v>
      </c>
      <c r="BL148" s="4" t="str">
        <f>IFERROR(VLOOKUP('HomeAttackPlay-by-Play'!E148,Roster!$L$2:$M$27,2,FALSE),"")</f>
        <v/>
      </c>
      <c r="BP148" s="48" t="str">
        <f>IF(BO148&lt;&gt;"",HYPERLINK(video!$F$29&amp;"\"&amp;"cam_1_"&amp;$BO148&amp;".avi","Play"),"")</f>
        <v/>
      </c>
      <c r="BQ148" s="48" t="str">
        <f>IF(BO148&lt;&gt;"",HYPERLINK(video!$F$29&amp;"\"&amp;"cam_2_"&amp;$BO148&amp;".avi","Play"),"")</f>
        <v/>
      </c>
      <c r="BR148" s="48" t="str">
        <f>IF(BO148&lt;&gt;"",HYPERLINK(video!$F$29&amp;"\"&amp;"cam_3_"&amp;$BO148&amp;".avi","Play"),"")</f>
        <v/>
      </c>
      <c r="BS148" s="48" t="str">
        <f>IF(BV148&lt;&gt;"",HYPERLINK(video!$F$25&amp;"\"&amp;"cam_4_"&amp;$BV148&amp;".avi","Play"),"")</f>
        <v/>
      </c>
      <c r="BT148" s="48" t="str">
        <f>IF(BV148&lt;&gt;"",HYPERLINK(video!$F$25&amp;"\"&amp;"cam_5_"&amp;$BV148&amp;".avi","Play"),"")</f>
        <v/>
      </c>
      <c r="BU148" s="48" t="str">
        <f>IF(BV148&lt;&gt;"",HYPERLINK(video!$F$25&amp;"\"&amp;"cam_6_"&amp;$BV148&amp;".avi","Play"),"")</f>
        <v/>
      </c>
      <c r="BY148" s="4">
        <f t="shared" si="10"/>
        <v>114</v>
      </c>
      <c r="BZ148" s="4">
        <f t="shared" si="11"/>
        <v>246</v>
      </c>
      <c r="CD148" s="5" t="str">
        <f>Lineup!$G$1</f>
        <v>一軍例行賽</v>
      </c>
      <c r="CE148" s="4">
        <f>Lineup!$I$1</f>
        <v>148</v>
      </c>
      <c r="CF148" s="5" t="str">
        <f>Lineup!$G$5</f>
        <v>王俊宏</v>
      </c>
      <c r="CG148" s="5" t="str">
        <f>Lineup!$G$4</f>
        <v>桃園</v>
      </c>
    </row>
    <row r="149" spans="1:85" x14ac:dyDescent="0.3">
      <c r="A149" s="43">
        <v>148</v>
      </c>
      <c r="B149" s="4">
        <v>4</v>
      </c>
      <c r="C149" s="4">
        <v>9</v>
      </c>
      <c r="D149" s="4">
        <v>9</v>
      </c>
      <c r="E149" s="4" t="s">
        <v>309</v>
      </c>
      <c r="F149" s="4" t="s">
        <v>341</v>
      </c>
      <c r="G149" s="4">
        <v>52</v>
      </c>
      <c r="H149" s="4">
        <v>34</v>
      </c>
      <c r="I149" s="4">
        <v>18</v>
      </c>
      <c r="J149" s="4">
        <v>1</v>
      </c>
      <c r="K149" s="4">
        <v>149</v>
      </c>
      <c r="L149" s="4" t="s">
        <v>643</v>
      </c>
      <c r="M149" s="4" t="s">
        <v>343</v>
      </c>
      <c r="N149" s="4" t="s">
        <v>642</v>
      </c>
      <c r="O149" s="4">
        <v>106.5</v>
      </c>
      <c r="P149" s="4">
        <v>39.75</v>
      </c>
      <c r="Q149" s="4" t="s">
        <v>641</v>
      </c>
      <c r="AO149" s="4">
        <v>2</v>
      </c>
      <c r="AP149" s="4">
        <v>3</v>
      </c>
      <c r="AQ149" s="4" t="s">
        <v>674</v>
      </c>
      <c r="AS149">
        <v>2</v>
      </c>
      <c r="AT149">
        <v>2</v>
      </c>
      <c r="AU149" s="33">
        <v>14152.000000000004</v>
      </c>
      <c r="AV149" s="36" t="s">
        <v>644</v>
      </c>
      <c r="AW149" s="4">
        <v>14149.000000000002</v>
      </c>
      <c r="AX149" s="4" t="str">
        <f>IFERROR(VLOOKUP(M149,Roster!$D$2:$E$27,2,FALSE),"")</f>
        <v>L</v>
      </c>
      <c r="AY149" s="4" t="str">
        <f t="shared" si="13"/>
        <v>2好2壞</v>
      </c>
      <c r="BI149" s="5" t="str">
        <f>Lineup!$G$2</f>
        <v>20210817</v>
      </c>
      <c r="BJ149" s="4" t="str">
        <f t="shared" si="12"/>
        <v>偏外角偏高</v>
      </c>
      <c r="BK149" s="4" t="str">
        <f t="shared" si="14"/>
        <v>B1O</v>
      </c>
      <c r="BL149" s="4" t="str">
        <f>IFERROR(VLOOKUP('HomeAttackPlay-by-Play'!E149,Roster!$L$2:$M$27,2,FALSE),"")</f>
        <v/>
      </c>
      <c r="BP149" s="48" t="str">
        <f>IF(BO149&lt;&gt;"",HYPERLINK(video!$F$29&amp;"\"&amp;"cam_1_"&amp;$BO149&amp;".avi","Play"),"")</f>
        <v/>
      </c>
      <c r="BQ149" s="48" t="str">
        <f>IF(BO149&lt;&gt;"",HYPERLINK(video!$F$29&amp;"\"&amp;"cam_2_"&amp;$BO149&amp;".avi","Play"),"")</f>
        <v/>
      </c>
      <c r="BR149" s="48" t="str">
        <f>IF(BO149&lt;&gt;"",HYPERLINK(video!$F$29&amp;"\"&amp;"cam_3_"&amp;$BO149&amp;".avi","Play"),"")</f>
        <v/>
      </c>
      <c r="BS149" s="48" t="str">
        <f>IF(BV149&lt;&gt;"",HYPERLINK(video!$F$25&amp;"\"&amp;"cam_4_"&amp;$BV149&amp;".avi","Play"),"")</f>
        <v/>
      </c>
      <c r="BT149" s="48" t="str">
        <f>IF(BV149&lt;&gt;"",HYPERLINK(video!$F$25&amp;"\"&amp;"cam_5_"&amp;$BV149&amp;".avi","Play"),"")</f>
        <v/>
      </c>
      <c r="BU149" s="48" t="str">
        <f>IF(BV149&lt;&gt;"",HYPERLINK(video!$F$25&amp;"\"&amp;"cam_6_"&amp;$BV149&amp;".avi","Play"),"")</f>
        <v/>
      </c>
      <c r="BY149" s="4">
        <f t="shared" si="10"/>
        <v>146.25</v>
      </c>
      <c r="BZ149" s="4">
        <f t="shared" si="11"/>
        <v>246</v>
      </c>
      <c r="CD149" s="5" t="str">
        <f>Lineup!$G$1</f>
        <v>一軍例行賽</v>
      </c>
      <c r="CE149" s="4">
        <f>Lineup!$I$1</f>
        <v>148</v>
      </c>
      <c r="CF149" s="5" t="str">
        <f>Lineup!$G$5</f>
        <v>王俊宏</v>
      </c>
      <c r="CG149" s="5" t="str">
        <f>Lineup!$G$4</f>
        <v>桃園</v>
      </c>
    </row>
    <row r="150" spans="1:85" x14ac:dyDescent="0.3">
      <c r="A150" s="43">
        <v>149</v>
      </c>
      <c r="B150" s="4">
        <v>4</v>
      </c>
      <c r="C150" s="4">
        <v>9</v>
      </c>
      <c r="D150" s="4">
        <v>9</v>
      </c>
      <c r="E150" s="4" t="s">
        <v>309</v>
      </c>
      <c r="F150" s="4" t="s">
        <v>341</v>
      </c>
      <c r="G150" s="4">
        <v>53</v>
      </c>
      <c r="H150" s="4">
        <v>35</v>
      </c>
      <c r="I150" s="4">
        <v>18</v>
      </c>
      <c r="J150" s="4">
        <v>1</v>
      </c>
      <c r="K150" s="4">
        <v>126</v>
      </c>
      <c r="L150" s="4" t="s">
        <v>646</v>
      </c>
      <c r="M150" s="4" t="s">
        <v>343</v>
      </c>
      <c r="N150" s="4" t="s">
        <v>649</v>
      </c>
      <c r="O150" s="4">
        <v>103.5</v>
      </c>
      <c r="P150" s="4">
        <v>108.75</v>
      </c>
      <c r="Q150" s="4" t="s">
        <v>639</v>
      </c>
      <c r="R150" s="5" t="s">
        <v>696</v>
      </c>
      <c r="AO150" s="4">
        <v>2</v>
      </c>
      <c r="AP150" s="4">
        <v>3</v>
      </c>
      <c r="AQ150" s="4" t="s">
        <v>674</v>
      </c>
      <c r="AS150">
        <v>2</v>
      </c>
      <c r="AT150">
        <v>3</v>
      </c>
      <c r="AU150" s="33">
        <v>14171.000000000002</v>
      </c>
      <c r="AV150" s="36" t="s">
        <v>644</v>
      </c>
      <c r="AW150" s="4">
        <v>14165.999999999998</v>
      </c>
      <c r="AX150" s="4" t="str">
        <f>IFERROR(VLOOKUP(M150,Roster!$D$2:$E$27,2,FALSE),"")</f>
        <v>L</v>
      </c>
      <c r="AY150" s="4" t="str">
        <f t="shared" si="13"/>
        <v>2好3壞</v>
      </c>
      <c r="BI150" s="5" t="str">
        <f>Lineup!$G$2</f>
        <v>20210817</v>
      </c>
      <c r="BJ150" s="4" t="str">
        <f t="shared" si="12"/>
        <v>偏外角低</v>
      </c>
      <c r="BK150" s="4" t="str">
        <f t="shared" si="14"/>
        <v>B1O</v>
      </c>
      <c r="BL150" s="4" t="str">
        <f>IFERROR(VLOOKUP('HomeAttackPlay-by-Play'!E150,Roster!$L$2:$M$27,2,FALSE),"")</f>
        <v/>
      </c>
      <c r="BP150" s="48" t="str">
        <f>IF(BO150&lt;&gt;"",HYPERLINK(video!$F$29&amp;"\"&amp;"cam_1_"&amp;$BO150&amp;".avi","Play"),"")</f>
        <v/>
      </c>
      <c r="BQ150" s="48" t="str">
        <f>IF(BO150&lt;&gt;"",HYPERLINK(video!$F$29&amp;"\"&amp;"cam_2_"&amp;$BO150&amp;".avi","Play"),"")</f>
        <v/>
      </c>
      <c r="BR150" s="48" t="str">
        <f>IF(BO150&lt;&gt;"",HYPERLINK(video!$F$29&amp;"\"&amp;"cam_3_"&amp;$BO150&amp;".avi","Play"),"")</f>
        <v/>
      </c>
      <c r="BS150" s="48" t="str">
        <f>IF(BV150&lt;&gt;"",HYPERLINK(video!$F$25&amp;"\"&amp;"cam_4_"&amp;$BV150&amp;".avi","Play"),"")</f>
        <v/>
      </c>
      <c r="BT150" s="48" t="str">
        <f>IF(BV150&lt;&gt;"",HYPERLINK(video!$F$25&amp;"\"&amp;"cam_5_"&amp;$BV150&amp;".avi","Play"),"")</f>
        <v/>
      </c>
      <c r="BU150" s="48" t="str">
        <f>IF(BV150&lt;&gt;"",HYPERLINK(video!$F$25&amp;"\"&amp;"cam_6_"&amp;$BV150&amp;".avi","Play"),"")</f>
        <v/>
      </c>
      <c r="BY150" s="4">
        <f t="shared" si="10"/>
        <v>77.25</v>
      </c>
      <c r="BZ150" s="4">
        <f t="shared" si="11"/>
        <v>246</v>
      </c>
      <c r="CD150" s="5" t="str">
        <f>Lineup!$G$1</f>
        <v>一軍例行賽</v>
      </c>
      <c r="CE150" s="4">
        <f>Lineup!$I$1</f>
        <v>148</v>
      </c>
      <c r="CF150" s="5" t="str">
        <f>Lineup!$G$5</f>
        <v>王俊宏</v>
      </c>
      <c r="CG150" s="5" t="str">
        <f>Lineup!$G$4</f>
        <v>桃園</v>
      </c>
    </row>
    <row r="151" spans="1:85" x14ac:dyDescent="0.3">
      <c r="A151" s="43">
        <v>150</v>
      </c>
      <c r="B151" s="4">
        <v>4</v>
      </c>
      <c r="C151" s="4">
        <v>9</v>
      </c>
      <c r="D151" s="4">
        <v>9</v>
      </c>
      <c r="E151" s="4" t="s">
        <v>309</v>
      </c>
      <c r="F151" s="4" t="s">
        <v>341</v>
      </c>
      <c r="G151" s="4">
        <v>54</v>
      </c>
      <c r="H151" s="4">
        <v>36</v>
      </c>
      <c r="I151" s="4">
        <v>18</v>
      </c>
      <c r="J151" s="4">
        <v>2</v>
      </c>
      <c r="K151" s="4">
        <v>147</v>
      </c>
      <c r="L151" s="4" t="s">
        <v>643</v>
      </c>
      <c r="M151" s="4" t="s">
        <v>343</v>
      </c>
      <c r="N151" s="4" t="s">
        <v>649</v>
      </c>
      <c r="O151" s="4">
        <v>91.5</v>
      </c>
      <c r="P151" s="4">
        <v>81</v>
      </c>
      <c r="Q151" s="4" t="s">
        <v>639</v>
      </c>
      <c r="R151" s="5" t="s">
        <v>676</v>
      </c>
      <c r="S151" s="4">
        <v>225.75</v>
      </c>
      <c r="T151" s="4">
        <v>45</v>
      </c>
      <c r="U151" s="4" t="s">
        <v>383</v>
      </c>
      <c r="AI151" s="4" t="s">
        <v>343</v>
      </c>
      <c r="AK151" s="4">
        <v>1</v>
      </c>
      <c r="AM151" s="4">
        <v>1</v>
      </c>
      <c r="AO151" s="4">
        <v>3</v>
      </c>
      <c r="AP151" s="4">
        <v>3</v>
      </c>
      <c r="AQ151" s="4" t="s">
        <v>675</v>
      </c>
      <c r="AR151" s="4" t="s">
        <v>684</v>
      </c>
      <c r="AS151">
        <v>2</v>
      </c>
      <c r="AT151">
        <v>3</v>
      </c>
      <c r="AU151" s="33">
        <v>14200.999999999998</v>
      </c>
      <c r="AV151" s="36" t="s">
        <v>644</v>
      </c>
      <c r="AW151" s="4">
        <v>14191.999999999996</v>
      </c>
      <c r="AX151" s="4" t="str">
        <f>IFERROR(VLOOKUP(M151,Roster!$D$2:$E$27,2,FALSE),"")</f>
        <v>L</v>
      </c>
      <c r="AY151" s="4" t="str">
        <f t="shared" si="13"/>
        <v>2好3壞</v>
      </c>
      <c r="BI151" s="5" t="str">
        <f>Lineup!$G$2</f>
        <v>20210817</v>
      </c>
      <c r="BJ151" s="4" t="str">
        <f t="shared" si="12"/>
        <v>外角中</v>
      </c>
      <c r="BK151" s="4" t="str">
        <f t="shared" si="14"/>
        <v>B1O</v>
      </c>
      <c r="BL151" s="4" t="str">
        <f>IFERROR(VLOOKUP('HomeAttackPlay-by-Play'!E151,Roster!$L$2:$M$27,2,FALSE),"")</f>
        <v/>
      </c>
      <c r="BP151" s="48" t="str">
        <f>IF(BO151&lt;&gt;"",HYPERLINK(video!$F$29&amp;"\"&amp;"cam_1_"&amp;$BO151&amp;".avi","Play"),"")</f>
        <v/>
      </c>
      <c r="BQ151" s="48" t="str">
        <f>IF(BO151&lt;&gt;"",HYPERLINK(video!$F$29&amp;"\"&amp;"cam_2_"&amp;$BO151&amp;".avi","Play"),"")</f>
        <v/>
      </c>
      <c r="BR151" s="48" t="str">
        <f>IF(BO151&lt;&gt;"",HYPERLINK(video!$F$29&amp;"\"&amp;"cam_3_"&amp;$BO151&amp;".avi","Play"),"")</f>
        <v/>
      </c>
      <c r="BS151" s="48" t="str">
        <f>IF(BV151&lt;&gt;"",HYPERLINK(video!$F$25&amp;"\"&amp;"cam_4_"&amp;$BV151&amp;".avi","Play"),"")</f>
        <v/>
      </c>
      <c r="BT151" s="48" t="str">
        <f>IF(BV151&lt;&gt;"",HYPERLINK(video!$F$25&amp;"\"&amp;"cam_5_"&amp;$BV151&amp;".avi","Play"),"")</f>
        <v/>
      </c>
      <c r="BU151" s="48" t="str">
        <f>IF(BV151&lt;&gt;"",HYPERLINK(video!$F$25&amp;"\"&amp;"cam_6_"&amp;$BV151&amp;".avi","Play"),"")</f>
        <v/>
      </c>
      <c r="BY151" s="4">
        <f t="shared" si="10"/>
        <v>105</v>
      </c>
      <c r="BZ151" s="4">
        <f t="shared" si="11"/>
        <v>201</v>
      </c>
      <c r="CD151" s="5" t="str">
        <f>Lineup!$G$1</f>
        <v>一軍例行賽</v>
      </c>
      <c r="CE151" s="4">
        <f>Lineup!$I$1</f>
        <v>148</v>
      </c>
      <c r="CF151" s="5" t="str">
        <f>Lineup!$G$5</f>
        <v>王俊宏</v>
      </c>
      <c r="CG151" s="5" t="str">
        <f>Lineup!$G$4</f>
        <v>桃園</v>
      </c>
    </row>
    <row r="152" spans="1:85" x14ac:dyDescent="0.3">
      <c r="A152" s="43">
        <v>151</v>
      </c>
      <c r="B152" s="4">
        <v>4</v>
      </c>
      <c r="C152" s="4">
        <v>9</v>
      </c>
      <c r="D152" s="4">
        <v>9</v>
      </c>
      <c r="E152" s="4" t="s">
        <v>309</v>
      </c>
      <c r="F152" s="4" t="s">
        <v>341</v>
      </c>
      <c r="G152" s="4">
        <v>55</v>
      </c>
      <c r="H152" s="4">
        <v>37</v>
      </c>
      <c r="I152" s="4">
        <v>18</v>
      </c>
      <c r="J152" s="4">
        <v>3</v>
      </c>
      <c r="L152" s="4" t="s">
        <v>643</v>
      </c>
      <c r="M152" s="4" t="s">
        <v>547</v>
      </c>
      <c r="N152" s="4" t="s">
        <v>649</v>
      </c>
      <c r="O152" s="4">
        <v>54</v>
      </c>
      <c r="P152" s="4">
        <v>75.75</v>
      </c>
      <c r="Q152" s="4" t="s">
        <v>639</v>
      </c>
      <c r="R152" s="5" t="s">
        <v>650</v>
      </c>
      <c r="S152" s="4">
        <v>143.25</v>
      </c>
      <c r="T152" s="4">
        <v>188.25</v>
      </c>
      <c r="U152" s="4" t="s">
        <v>350</v>
      </c>
      <c r="V152" s="4" t="s">
        <v>360</v>
      </c>
      <c r="AJ152" s="4" t="s">
        <v>547</v>
      </c>
      <c r="AK152" s="4">
        <v>1</v>
      </c>
      <c r="AM152" s="4">
        <v>1</v>
      </c>
      <c r="AO152" s="4">
        <v>1</v>
      </c>
      <c r="AP152" s="4">
        <v>0</v>
      </c>
      <c r="AQ152" s="4" t="s">
        <v>640</v>
      </c>
      <c r="AR152" s="4" t="s">
        <v>730</v>
      </c>
      <c r="AS152">
        <v>0</v>
      </c>
      <c r="AT152">
        <v>0</v>
      </c>
      <c r="AU152" s="33">
        <v>14244.999999999989</v>
      </c>
      <c r="AV152" s="36" t="s">
        <v>644</v>
      </c>
      <c r="AW152" s="4">
        <v>14235</v>
      </c>
      <c r="AX152" s="4" t="str">
        <f>IFERROR(VLOOKUP(M152,Roster!$D$2:$E$27,2,FALSE),"")</f>
        <v>R</v>
      </c>
      <c r="AY152" s="4" t="str">
        <f t="shared" si="13"/>
        <v>0好0壞</v>
      </c>
      <c r="BI152" s="5" t="str">
        <f>Lineup!$G$2</f>
        <v>20210817</v>
      </c>
      <c r="BJ152" s="4" t="str">
        <f t="shared" si="12"/>
        <v>外角高</v>
      </c>
      <c r="BK152" s="4" t="str">
        <f t="shared" si="14"/>
        <v>B2O</v>
      </c>
      <c r="BL152" s="4" t="str">
        <f>IFERROR(VLOOKUP('HomeAttackPlay-by-Play'!E152,Roster!$L$2:$M$27,2,FALSE),"")</f>
        <v/>
      </c>
      <c r="BP152" s="48" t="str">
        <f>IF(BO152&lt;&gt;"",HYPERLINK(video!$F$29&amp;"\"&amp;"cam_1_"&amp;$BO152&amp;".avi","Play"),"")</f>
        <v/>
      </c>
      <c r="BQ152" s="48" t="str">
        <f>IF(BO152&lt;&gt;"",HYPERLINK(video!$F$29&amp;"\"&amp;"cam_2_"&amp;$BO152&amp;".avi","Play"),"")</f>
        <v/>
      </c>
      <c r="BR152" s="48" t="str">
        <f>IF(BO152&lt;&gt;"",HYPERLINK(video!$F$29&amp;"\"&amp;"cam_3_"&amp;$BO152&amp;".avi","Play"),"")</f>
        <v/>
      </c>
      <c r="BS152" s="48" t="str">
        <f>IF(BV152&lt;&gt;"",HYPERLINK(video!$F$25&amp;"\"&amp;"cam_4_"&amp;$BV152&amp;".avi","Play"),"")</f>
        <v/>
      </c>
      <c r="BT152" s="48" t="str">
        <f>IF(BV152&lt;&gt;"",HYPERLINK(video!$F$25&amp;"\"&amp;"cam_5_"&amp;$BV152&amp;".avi","Play"),"")</f>
        <v/>
      </c>
      <c r="BU152" s="48" t="str">
        <f>IF(BV152&lt;&gt;"",HYPERLINK(video!$F$25&amp;"\"&amp;"cam_6_"&amp;$BV152&amp;".avi","Play"),"")</f>
        <v/>
      </c>
      <c r="BY152" s="4">
        <f t="shared" si="10"/>
        <v>110.25</v>
      </c>
      <c r="BZ152" s="4">
        <f t="shared" si="11"/>
        <v>57.75</v>
      </c>
      <c r="CD152" s="5" t="str">
        <f>Lineup!$G$1</f>
        <v>一軍例行賽</v>
      </c>
      <c r="CE152" s="4">
        <f>Lineup!$I$1</f>
        <v>148</v>
      </c>
      <c r="CF152" s="5" t="str">
        <f>Lineup!$G$5</f>
        <v>王俊宏</v>
      </c>
      <c r="CG152" s="5" t="str">
        <f>Lineup!$G$4</f>
        <v>桃園</v>
      </c>
    </row>
    <row r="153" spans="1:85" x14ac:dyDescent="0.3">
      <c r="A153" s="43"/>
      <c r="AS153" t="str">
        <f t="shared" ref="AS153" si="15">IF($A153="","",IF(OR(AO153&lt;AO152,AP153&lt;AP152),0,AO152))</f>
        <v/>
      </c>
      <c r="AT153" t="str">
        <f t="shared" ref="AT153" si="16">IF($A153="","",IF(OR(AO153&lt;AO152,AP153&lt;AP152),0,AP152))</f>
        <v/>
      </c>
      <c r="AX153" s="4" t="str">
        <f>IFERROR(VLOOKUP(M153,Roster!$D$2:$E$27,2,FALSE),"")</f>
        <v/>
      </c>
      <c r="AY153" s="4" t="str">
        <f t="shared" ref="AY153:AY183" si="17">IF(M153=M152,AS153&amp;"好"&amp;AT153&amp;"壞","0好0壞")</f>
        <v>0好0壞</v>
      </c>
      <c r="BI153" s="5" t="str">
        <f>Lineup!$G$2</f>
        <v>20210817</v>
      </c>
      <c r="BJ153" s="4" t="str">
        <f t="shared" si="12"/>
        <v>偏內角偏高</v>
      </c>
      <c r="BK153" s="4" t="str">
        <f t="shared" si="14"/>
        <v>B3O</v>
      </c>
      <c r="BL153" s="4" t="str">
        <f>IFERROR(VLOOKUP('HomeAttackPlay-by-Play'!E153,Roster!$L$2:$M$27,2,FALSE),"")</f>
        <v/>
      </c>
      <c r="BP153" s="48" t="str">
        <f>IF(BO153&lt;&gt;"",HYPERLINK(video!$F$29&amp;"\"&amp;"cam_1_"&amp;$BO153&amp;".avi","Play"),"")</f>
        <v/>
      </c>
      <c r="BQ153" s="48" t="str">
        <f>IF(BO153&lt;&gt;"",HYPERLINK(video!$F$29&amp;"\"&amp;"cam_2_"&amp;$BO153&amp;".avi","Play"),"")</f>
        <v/>
      </c>
      <c r="BR153" s="48" t="str">
        <f>IF(BO153&lt;&gt;"",HYPERLINK(video!$F$29&amp;"\"&amp;"cam_3_"&amp;$BO153&amp;".avi","Play"),"")</f>
        <v/>
      </c>
      <c r="BS153" s="48" t="str">
        <f>IF(BV153&lt;&gt;"",HYPERLINK(video!$F$25&amp;"\"&amp;"cam_4_"&amp;$BV153&amp;".avi","Play"),"")</f>
        <v/>
      </c>
      <c r="BT153" s="48" t="str">
        <f>IF(BV153&lt;&gt;"",HYPERLINK(video!$F$25&amp;"\"&amp;"cam_5_"&amp;$BV153&amp;".avi","Play"),"")</f>
        <v/>
      </c>
      <c r="BU153" s="48" t="str">
        <f>IF(BV153&lt;&gt;"",HYPERLINK(video!$F$25&amp;"\"&amp;"cam_6_"&amp;$BV153&amp;".avi","Play"),"")</f>
        <v/>
      </c>
      <c r="BY153" s="4">
        <f t="shared" si="10"/>
        <v>186</v>
      </c>
      <c r="BZ153" s="4">
        <f t="shared" si="11"/>
        <v>246</v>
      </c>
      <c r="CD153" s="5" t="str">
        <f>Lineup!$G$1</f>
        <v>一軍例行賽</v>
      </c>
      <c r="CE153" s="4">
        <f>Lineup!$I$1</f>
        <v>148</v>
      </c>
      <c r="CF153" s="5" t="str">
        <f>Lineup!$G$5</f>
        <v>王俊宏</v>
      </c>
      <c r="CG153" s="5" t="str">
        <f>Lineup!$G$4</f>
        <v>桃園</v>
      </c>
    </row>
    <row r="154" spans="1:85" x14ac:dyDescent="0.3">
      <c r="A154" s="43"/>
      <c r="AX154" s="4" t="str">
        <f>IFERROR(VLOOKUP(M154,Roster!$D$2:$E$27,2,FALSE),"")</f>
        <v/>
      </c>
      <c r="AY154" s="4" t="str">
        <f t="shared" si="17"/>
        <v>好壞</v>
      </c>
      <c r="BI154" s="5" t="str">
        <f>Lineup!$G$2</f>
        <v>20210817</v>
      </c>
      <c r="BJ154" s="4" t="str">
        <f t="shared" si="12"/>
        <v>偏內角偏高</v>
      </c>
      <c r="BK154" s="4" t="str">
        <f t="shared" ref="BK154:BK183" si="18">IF(AB153&lt;&gt;"","1","")&amp;IF(AC153&lt;&gt;"","2","")&amp;IF(AD153&lt;&gt;"","3","")&amp;"B"&amp;J153&amp;"O"</f>
        <v>BO</v>
      </c>
      <c r="BL154" s="4" t="str">
        <f>IFERROR(VLOOKUP('HomeAttackPlay-by-Play'!E154,Roster!$L$2:$M$27,2,FALSE),"")</f>
        <v/>
      </c>
      <c r="BP154" s="48" t="str">
        <f>IF(BO154&lt;&gt;"",HYPERLINK(video!$F$29&amp;"\"&amp;"cam_1_"&amp;$BO154&amp;".avi","Play"),"")</f>
        <v/>
      </c>
      <c r="BQ154" s="48" t="str">
        <f>IF(BO154&lt;&gt;"",HYPERLINK(video!$F$29&amp;"\"&amp;"cam_2_"&amp;$BO154&amp;".avi","Play"),"")</f>
        <v/>
      </c>
      <c r="BR154" s="48" t="str">
        <f>IF(BO154&lt;&gt;"",HYPERLINK(video!$F$29&amp;"\"&amp;"cam_3_"&amp;$BO154&amp;".avi","Play"),"")</f>
        <v/>
      </c>
      <c r="BS154" s="48" t="str">
        <f>IF(BV154&lt;&gt;"",HYPERLINK(video!$F$25&amp;"\"&amp;"cam_4_"&amp;$BV154&amp;".avi","Play"),"")</f>
        <v/>
      </c>
      <c r="BT154" s="48" t="str">
        <f>IF(BV154&lt;&gt;"",HYPERLINK(video!$F$25&amp;"\"&amp;"cam_5_"&amp;$BV154&amp;".avi","Play"),"")</f>
        <v/>
      </c>
      <c r="BU154" s="48" t="str">
        <f>IF(BV154&lt;&gt;"",HYPERLINK(video!$F$25&amp;"\"&amp;"cam_6_"&amp;$BV154&amp;".avi","Play"),"")</f>
        <v/>
      </c>
      <c r="BY154" s="4">
        <f t="shared" si="10"/>
        <v>186</v>
      </c>
      <c r="BZ154" s="4">
        <f t="shared" si="11"/>
        <v>246</v>
      </c>
      <c r="CD154" s="5" t="str">
        <f>Lineup!$G$1</f>
        <v>一軍例行賽</v>
      </c>
      <c r="CE154" s="4">
        <f>Lineup!$I$1</f>
        <v>148</v>
      </c>
      <c r="CF154" s="5" t="str">
        <f>Lineup!$G$5</f>
        <v>王俊宏</v>
      </c>
      <c r="CG154" s="5" t="str">
        <f>Lineup!$G$4</f>
        <v>桃園</v>
      </c>
    </row>
    <row r="155" spans="1:85" x14ac:dyDescent="0.3">
      <c r="A155" s="43"/>
      <c r="AX155" s="4" t="str">
        <f>IFERROR(VLOOKUP(M155,Roster!$D$2:$E$27,2,FALSE),"")</f>
        <v/>
      </c>
      <c r="AY155" s="4" t="str">
        <f t="shared" si="17"/>
        <v>好壞</v>
      </c>
      <c r="BI155" s="5" t="str">
        <f>Lineup!$G$2</f>
        <v>20210817</v>
      </c>
      <c r="BJ155" s="4" t="str">
        <f t="shared" si="12"/>
        <v>偏內角偏高</v>
      </c>
      <c r="BK155" s="4" t="str">
        <f t="shared" si="18"/>
        <v>BO</v>
      </c>
      <c r="BL155" s="4" t="str">
        <f>IFERROR(VLOOKUP('HomeAttackPlay-by-Play'!E155,Roster!$L$2:$M$27,2,FALSE),"")</f>
        <v/>
      </c>
      <c r="BP155" s="48" t="str">
        <f>IF(BO155&lt;&gt;"",HYPERLINK(video!$F$29&amp;"\"&amp;"cam_1_"&amp;$BO155&amp;".avi","Play"),"")</f>
        <v/>
      </c>
      <c r="BQ155" s="48" t="str">
        <f>IF(BO155&lt;&gt;"",HYPERLINK(video!$F$29&amp;"\"&amp;"cam_2_"&amp;$BO155&amp;".avi","Play"),"")</f>
        <v/>
      </c>
      <c r="BR155" s="48" t="str">
        <f>IF(BO155&lt;&gt;"",HYPERLINK(video!$F$29&amp;"\"&amp;"cam_3_"&amp;$BO155&amp;".avi","Play"),"")</f>
        <v/>
      </c>
      <c r="BS155" s="48" t="str">
        <f>IF(BV155&lt;&gt;"",HYPERLINK(video!$F$25&amp;"\"&amp;"cam_4_"&amp;$BV155&amp;".avi","Play"),"")</f>
        <v/>
      </c>
      <c r="BT155" s="48" t="str">
        <f>IF(BV155&lt;&gt;"",HYPERLINK(video!$F$25&amp;"\"&amp;"cam_5_"&amp;$BV155&amp;".avi","Play"),"")</f>
        <v/>
      </c>
      <c r="BU155" s="48" t="str">
        <f>IF(BV155&lt;&gt;"",HYPERLINK(video!$F$25&amp;"\"&amp;"cam_6_"&amp;$BV155&amp;".avi","Play"),"")</f>
        <v/>
      </c>
      <c r="BY155" s="4">
        <f t="shared" si="10"/>
        <v>186</v>
      </c>
      <c r="BZ155" s="4">
        <f t="shared" si="11"/>
        <v>246</v>
      </c>
      <c r="CD155" s="5" t="str">
        <f>Lineup!$G$1</f>
        <v>一軍例行賽</v>
      </c>
      <c r="CE155" s="4">
        <f>Lineup!$I$1</f>
        <v>148</v>
      </c>
      <c r="CF155" s="5" t="str">
        <f>Lineup!$G$5</f>
        <v>王俊宏</v>
      </c>
      <c r="CG155" s="5" t="str">
        <f>Lineup!$G$4</f>
        <v>桃園</v>
      </c>
    </row>
    <row r="156" spans="1:85" x14ac:dyDescent="0.3">
      <c r="A156" s="43"/>
      <c r="AX156" s="4" t="str">
        <f>IFERROR(VLOOKUP(M156,Roster!$D$2:$E$27,2,FALSE),"")</f>
        <v/>
      </c>
      <c r="AY156" s="4" t="str">
        <f t="shared" si="17"/>
        <v>好壞</v>
      </c>
      <c r="BI156" s="5" t="str">
        <f>Lineup!$G$2</f>
        <v>20210817</v>
      </c>
      <c r="BJ156" s="4" t="str">
        <f t="shared" si="12"/>
        <v>偏內角偏高</v>
      </c>
      <c r="BK156" s="4" t="str">
        <f t="shared" si="18"/>
        <v>BO</v>
      </c>
      <c r="BL156" s="4" t="str">
        <f>IFERROR(VLOOKUP('HomeAttackPlay-by-Play'!E156,Roster!$L$2:$M$27,2,FALSE),"")</f>
        <v/>
      </c>
      <c r="BP156" s="48" t="str">
        <f>IF(BO156&lt;&gt;"",HYPERLINK(video!$F$29&amp;"\"&amp;"cam_1_"&amp;$BO156&amp;".avi","Play"),"")</f>
        <v/>
      </c>
      <c r="BQ156" s="48" t="str">
        <f>IF(BO156&lt;&gt;"",HYPERLINK(video!$F$29&amp;"\"&amp;"cam_2_"&amp;$BO156&amp;".avi","Play"),"")</f>
        <v/>
      </c>
      <c r="BR156" s="48" t="str">
        <f>IF(BO156&lt;&gt;"",HYPERLINK(video!$F$29&amp;"\"&amp;"cam_3_"&amp;$BO156&amp;".avi","Play"),"")</f>
        <v/>
      </c>
      <c r="BS156" s="48" t="str">
        <f>IF(BV156&lt;&gt;"",HYPERLINK(video!$F$25&amp;"\"&amp;"cam_4_"&amp;$BV156&amp;".avi","Play"),"")</f>
        <v/>
      </c>
      <c r="BT156" s="48" t="str">
        <f>IF(BV156&lt;&gt;"",HYPERLINK(video!$F$25&amp;"\"&amp;"cam_5_"&amp;$BV156&amp;".avi","Play"),"")</f>
        <v/>
      </c>
      <c r="BU156" s="48" t="str">
        <f>IF(BV156&lt;&gt;"",HYPERLINK(video!$F$25&amp;"\"&amp;"cam_6_"&amp;$BV156&amp;".avi","Play"),"")</f>
        <v/>
      </c>
      <c r="BY156" s="4">
        <f t="shared" si="10"/>
        <v>186</v>
      </c>
      <c r="BZ156" s="4">
        <f t="shared" si="11"/>
        <v>246</v>
      </c>
      <c r="CD156" s="5" t="str">
        <f>Lineup!$G$1</f>
        <v>一軍例行賽</v>
      </c>
      <c r="CE156" s="4">
        <f>Lineup!$I$1</f>
        <v>148</v>
      </c>
      <c r="CF156" s="5" t="str">
        <f>Lineup!$G$5</f>
        <v>王俊宏</v>
      </c>
      <c r="CG156" s="5" t="str">
        <f>Lineup!$G$4</f>
        <v>桃園</v>
      </c>
    </row>
    <row r="157" spans="1:85" x14ac:dyDescent="0.3">
      <c r="A157" s="43"/>
      <c r="AX157" s="4" t="str">
        <f>IFERROR(VLOOKUP(M157,Roster!$D$2:$E$27,2,FALSE),"")</f>
        <v/>
      </c>
      <c r="AY157" s="4" t="str">
        <f t="shared" si="17"/>
        <v>好壞</v>
      </c>
      <c r="BI157" s="5" t="str">
        <f>Lineup!$G$2</f>
        <v>20210817</v>
      </c>
      <c r="BJ157" s="4" t="str">
        <f t="shared" si="12"/>
        <v>偏內角偏高</v>
      </c>
      <c r="BK157" s="4" t="str">
        <f t="shared" si="18"/>
        <v>BO</v>
      </c>
      <c r="BL157" s="4" t="str">
        <f>IFERROR(VLOOKUP('HomeAttackPlay-by-Play'!E157,Roster!$L$2:$M$27,2,FALSE),"")</f>
        <v/>
      </c>
      <c r="BP157" s="48" t="str">
        <f>IF(BO157&lt;&gt;"",HYPERLINK(video!$F$29&amp;"\"&amp;"cam_1_"&amp;$BO157&amp;".avi","Play"),"")</f>
        <v/>
      </c>
      <c r="BQ157" s="48" t="str">
        <f>IF(BO157&lt;&gt;"",HYPERLINK(video!$F$29&amp;"\"&amp;"cam_2_"&amp;$BO157&amp;".avi","Play"),"")</f>
        <v/>
      </c>
      <c r="BR157" s="48" t="str">
        <f>IF(BO157&lt;&gt;"",HYPERLINK(video!$F$29&amp;"\"&amp;"cam_3_"&amp;$BO157&amp;".avi","Play"),"")</f>
        <v/>
      </c>
      <c r="BS157" s="48" t="str">
        <f>IF(BV157&lt;&gt;"",HYPERLINK(video!$F$25&amp;"\"&amp;"cam_4_"&amp;$BV157&amp;".avi","Play"),"")</f>
        <v/>
      </c>
      <c r="BT157" s="48" t="str">
        <f>IF(BV157&lt;&gt;"",HYPERLINK(video!$F$25&amp;"\"&amp;"cam_5_"&amp;$BV157&amp;".avi","Play"),"")</f>
        <v/>
      </c>
      <c r="BU157" s="48" t="str">
        <f>IF(BV157&lt;&gt;"",HYPERLINK(video!$F$25&amp;"\"&amp;"cam_6_"&amp;$BV157&amp;".avi","Play"),"")</f>
        <v/>
      </c>
      <c r="BY157" s="4">
        <f t="shared" si="10"/>
        <v>186</v>
      </c>
      <c r="BZ157" s="4">
        <f t="shared" si="11"/>
        <v>246</v>
      </c>
      <c r="CD157" s="5" t="str">
        <f>Lineup!$G$1</f>
        <v>一軍例行賽</v>
      </c>
      <c r="CE157" s="4">
        <f>Lineup!$I$1</f>
        <v>148</v>
      </c>
      <c r="CF157" s="5" t="str">
        <f>Lineup!$G$5</f>
        <v>王俊宏</v>
      </c>
      <c r="CG157" s="5" t="str">
        <f>Lineup!$G$4</f>
        <v>桃園</v>
      </c>
    </row>
    <row r="158" spans="1:85" x14ac:dyDescent="0.3">
      <c r="A158" s="43"/>
      <c r="AX158" s="4" t="str">
        <f>IFERROR(VLOOKUP(M158,Roster!$D$2:$E$27,2,FALSE),"")</f>
        <v/>
      </c>
      <c r="AY158" s="4" t="str">
        <f t="shared" si="17"/>
        <v>好壞</v>
      </c>
      <c r="BI158" s="5" t="str">
        <f>Lineup!$G$2</f>
        <v>20210817</v>
      </c>
      <c r="BJ158" s="4" t="str">
        <f t="shared" si="12"/>
        <v>偏內角偏高</v>
      </c>
      <c r="BK158" s="4" t="str">
        <f t="shared" si="18"/>
        <v>BO</v>
      </c>
      <c r="BL158" s="4" t="str">
        <f>IFERROR(VLOOKUP('HomeAttackPlay-by-Play'!E158,Roster!$L$2:$M$27,2,FALSE),"")</f>
        <v/>
      </c>
      <c r="BP158" s="48" t="str">
        <f>IF(BO158&lt;&gt;"",HYPERLINK(video!$F$29&amp;"\"&amp;"cam_1_"&amp;$BO158&amp;".avi","Play"),"")</f>
        <v/>
      </c>
      <c r="BQ158" s="48" t="str">
        <f>IF(BO158&lt;&gt;"",HYPERLINK(video!$F$29&amp;"\"&amp;"cam_2_"&amp;$BO158&amp;".avi","Play"),"")</f>
        <v/>
      </c>
      <c r="BR158" s="48" t="str">
        <f>IF(BO158&lt;&gt;"",HYPERLINK(video!$F$29&amp;"\"&amp;"cam_3_"&amp;$BO158&amp;".avi","Play"),"")</f>
        <v/>
      </c>
      <c r="BS158" s="48" t="str">
        <f>IF(BV158&lt;&gt;"",HYPERLINK(video!$F$25&amp;"\"&amp;"cam_4_"&amp;$BV158&amp;".avi","Play"),"")</f>
        <v/>
      </c>
      <c r="BT158" s="48" t="str">
        <f>IF(BV158&lt;&gt;"",HYPERLINK(video!$F$25&amp;"\"&amp;"cam_5_"&amp;$BV158&amp;".avi","Play"),"")</f>
        <v/>
      </c>
      <c r="BU158" s="48" t="str">
        <f>IF(BV158&lt;&gt;"",HYPERLINK(video!$F$25&amp;"\"&amp;"cam_6_"&amp;$BV158&amp;".avi","Play"),"")</f>
        <v/>
      </c>
      <c r="BY158" s="4">
        <f t="shared" si="10"/>
        <v>186</v>
      </c>
      <c r="BZ158" s="4">
        <f t="shared" si="11"/>
        <v>246</v>
      </c>
      <c r="CD158" s="5" t="str">
        <f>Lineup!$G$1</f>
        <v>一軍例行賽</v>
      </c>
      <c r="CE158" s="4">
        <f>Lineup!$I$1</f>
        <v>148</v>
      </c>
      <c r="CF158" s="5" t="str">
        <f>Lineup!$G$5</f>
        <v>王俊宏</v>
      </c>
      <c r="CG158" s="5" t="str">
        <f>Lineup!$G$4</f>
        <v>桃園</v>
      </c>
    </row>
    <row r="159" spans="1:85" x14ac:dyDescent="0.3">
      <c r="A159" s="43"/>
      <c r="AX159" s="4" t="str">
        <f>IFERROR(VLOOKUP(M159,Roster!$D$2:$E$27,2,FALSE),"")</f>
        <v/>
      </c>
      <c r="AY159" s="4" t="str">
        <f t="shared" si="17"/>
        <v>好壞</v>
      </c>
      <c r="BI159" s="5" t="str">
        <f>Lineup!$G$2</f>
        <v>20210817</v>
      </c>
      <c r="BJ159" s="4" t="str">
        <f t="shared" si="12"/>
        <v>偏內角偏高</v>
      </c>
      <c r="BK159" s="4" t="str">
        <f t="shared" si="18"/>
        <v>BO</v>
      </c>
      <c r="BL159" s="4" t="str">
        <f>IFERROR(VLOOKUP('HomeAttackPlay-by-Play'!E159,Roster!$L$2:$M$27,2,FALSE),"")</f>
        <v/>
      </c>
      <c r="BP159" s="48" t="str">
        <f>IF(BO159&lt;&gt;"",HYPERLINK(video!$F$29&amp;"\"&amp;"cam_1_"&amp;$BO159&amp;".avi","Play"),"")</f>
        <v/>
      </c>
      <c r="BQ159" s="48" t="str">
        <f>IF(BO159&lt;&gt;"",HYPERLINK(video!$F$29&amp;"\"&amp;"cam_2_"&amp;$BO159&amp;".avi","Play"),"")</f>
        <v/>
      </c>
      <c r="BR159" s="48" t="str">
        <f>IF(BO159&lt;&gt;"",HYPERLINK(video!$F$29&amp;"\"&amp;"cam_3_"&amp;$BO159&amp;".avi","Play"),"")</f>
        <v/>
      </c>
      <c r="BS159" s="48" t="str">
        <f>IF(BV159&lt;&gt;"",HYPERLINK(video!$F$25&amp;"\"&amp;"cam_4_"&amp;$BV159&amp;".avi","Play"),"")</f>
        <v/>
      </c>
      <c r="BT159" s="48" t="str">
        <f>IF(BV159&lt;&gt;"",HYPERLINK(video!$F$25&amp;"\"&amp;"cam_5_"&amp;$BV159&amp;".avi","Play"),"")</f>
        <v/>
      </c>
      <c r="BU159" s="48" t="str">
        <f>IF(BV159&lt;&gt;"",HYPERLINK(video!$F$25&amp;"\"&amp;"cam_6_"&amp;$BV159&amp;".avi","Play"),"")</f>
        <v/>
      </c>
      <c r="BY159" s="4">
        <f t="shared" si="10"/>
        <v>186</v>
      </c>
      <c r="BZ159" s="4">
        <f t="shared" si="11"/>
        <v>246</v>
      </c>
      <c r="CD159" s="5" t="str">
        <f>Lineup!$G$1</f>
        <v>一軍例行賽</v>
      </c>
      <c r="CE159" s="4">
        <f>Lineup!$I$1</f>
        <v>148</v>
      </c>
      <c r="CF159" s="5" t="str">
        <f>Lineup!$G$5</f>
        <v>王俊宏</v>
      </c>
      <c r="CG159" s="5" t="str">
        <f>Lineup!$G$4</f>
        <v>桃園</v>
      </c>
    </row>
    <row r="160" spans="1:85" x14ac:dyDescent="0.3">
      <c r="A160" s="43"/>
      <c r="AX160" s="4" t="str">
        <f>IFERROR(VLOOKUP(M160,Roster!$D$2:$E$27,2,FALSE),"")</f>
        <v/>
      </c>
      <c r="AY160" s="4" t="str">
        <f t="shared" si="17"/>
        <v>好壞</v>
      </c>
      <c r="BI160" s="5" t="str">
        <f>Lineup!$G$2</f>
        <v>20210817</v>
      </c>
      <c r="BJ160" s="4" t="str">
        <f t="shared" si="12"/>
        <v>偏內角偏高</v>
      </c>
      <c r="BK160" s="4" t="str">
        <f t="shared" si="18"/>
        <v>BO</v>
      </c>
      <c r="BL160" s="4" t="str">
        <f>IFERROR(VLOOKUP('HomeAttackPlay-by-Play'!E160,Roster!$L$2:$M$27,2,FALSE),"")</f>
        <v/>
      </c>
      <c r="BP160" s="48" t="str">
        <f>IF(BO160&lt;&gt;"",HYPERLINK(video!$F$29&amp;"\"&amp;"cam_1_"&amp;$BO160&amp;".avi","Play"),"")</f>
        <v/>
      </c>
      <c r="BQ160" s="48" t="str">
        <f>IF(BO160&lt;&gt;"",HYPERLINK(video!$F$29&amp;"\"&amp;"cam_2_"&amp;$BO160&amp;".avi","Play"),"")</f>
        <v/>
      </c>
      <c r="BR160" s="48" t="str">
        <f>IF(BO160&lt;&gt;"",HYPERLINK(video!$F$29&amp;"\"&amp;"cam_3_"&amp;$BO160&amp;".avi","Play"),"")</f>
        <v/>
      </c>
      <c r="BS160" s="48" t="str">
        <f>IF(BV160&lt;&gt;"",HYPERLINK(video!$F$25&amp;"\"&amp;"cam_4_"&amp;$BV160&amp;".avi","Play"),"")</f>
        <v/>
      </c>
      <c r="BT160" s="48" t="str">
        <f>IF(BV160&lt;&gt;"",HYPERLINK(video!$F$25&amp;"\"&amp;"cam_5_"&amp;$BV160&amp;".avi","Play"),"")</f>
        <v/>
      </c>
      <c r="BU160" s="48" t="str">
        <f>IF(BV160&lt;&gt;"",HYPERLINK(video!$F$25&amp;"\"&amp;"cam_6_"&amp;$BV160&amp;".avi","Play"),"")</f>
        <v/>
      </c>
      <c r="BY160" s="4">
        <f t="shared" si="10"/>
        <v>186</v>
      </c>
      <c r="BZ160" s="4">
        <f t="shared" si="11"/>
        <v>246</v>
      </c>
      <c r="CD160" s="5" t="str">
        <f>Lineup!$G$1</f>
        <v>一軍例行賽</v>
      </c>
      <c r="CE160" s="4">
        <f>Lineup!$I$1</f>
        <v>148</v>
      </c>
      <c r="CF160" s="5" t="str">
        <f>Lineup!$G$5</f>
        <v>王俊宏</v>
      </c>
      <c r="CG160" s="5" t="str">
        <f>Lineup!$G$4</f>
        <v>桃園</v>
      </c>
    </row>
    <row r="161" spans="1:85" x14ac:dyDescent="0.3">
      <c r="A161" s="43"/>
      <c r="AX161" s="4" t="str">
        <f>IFERROR(VLOOKUP(M161,Roster!$D$2:$E$27,2,FALSE),"")</f>
        <v/>
      </c>
      <c r="AY161" s="4" t="str">
        <f t="shared" si="17"/>
        <v>好壞</v>
      </c>
      <c r="BI161" s="5" t="str">
        <f>Lineup!$G$2</f>
        <v>20210817</v>
      </c>
      <c r="BJ161" s="4" t="str">
        <f t="shared" si="12"/>
        <v>偏內角偏高</v>
      </c>
      <c r="BK161" s="4" t="str">
        <f t="shared" si="18"/>
        <v>BO</v>
      </c>
      <c r="BL161" s="4" t="str">
        <f>IFERROR(VLOOKUP('HomeAttackPlay-by-Play'!E161,Roster!$L$2:$M$27,2,FALSE),"")</f>
        <v/>
      </c>
      <c r="BP161" s="48" t="str">
        <f>IF(BO161&lt;&gt;"",HYPERLINK(video!$F$29&amp;"\"&amp;"cam_1_"&amp;$BO161&amp;".avi","Play"),"")</f>
        <v/>
      </c>
      <c r="BQ161" s="48" t="str">
        <f>IF(BO161&lt;&gt;"",HYPERLINK(video!$F$29&amp;"\"&amp;"cam_2_"&amp;$BO161&amp;".avi","Play"),"")</f>
        <v/>
      </c>
      <c r="BR161" s="48" t="str">
        <f>IF(BO161&lt;&gt;"",HYPERLINK(video!$F$29&amp;"\"&amp;"cam_3_"&amp;$BO161&amp;".avi","Play"),"")</f>
        <v/>
      </c>
      <c r="BS161" s="48" t="str">
        <f>IF(BV161&lt;&gt;"",HYPERLINK(video!$F$25&amp;"\"&amp;"cam_4_"&amp;$BV161&amp;".avi","Play"),"")</f>
        <v/>
      </c>
      <c r="BT161" s="48" t="str">
        <f>IF(BV161&lt;&gt;"",HYPERLINK(video!$F$25&amp;"\"&amp;"cam_5_"&amp;$BV161&amp;".avi","Play"),"")</f>
        <v/>
      </c>
      <c r="BU161" s="48" t="str">
        <f>IF(BV161&lt;&gt;"",HYPERLINK(video!$F$25&amp;"\"&amp;"cam_6_"&amp;$BV161&amp;".avi","Play"),"")</f>
        <v/>
      </c>
      <c r="BY161" s="4">
        <f t="shared" si="10"/>
        <v>186</v>
      </c>
      <c r="BZ161" s="4">
        <f t="shared" si="11"/>
        <v>246</v>
      </c>
      <c r="CD161" s="5" t="str">
        <f>Lineup!$G$1</f>
        <v>一軍例行賽</v>
      </c>
      <c r="CE161" s="4">
        <f>Lineup!$I$1</f>
        <v>148</v>
      </c>
      <c r="CF161" s="5" t="str">
        <f>Lineup!$G$5</f>
        <v>王俊宏</v>
      </c>
      <c r="CG161" s="5" t="str">
        <f>Lineup!$G$4</f>
        <v>桃園</v>
      </c>
    </row>
    <row r="162" spans="1:85" x14ac:dyDescent="0.3">
      <c r="A162" s="43"/>
      <c r="AX162" s="4" t="str">
        <f>IFERROR(VLOOKUP(M162,Roster!$D$2:$E$27,2,FALSE),"")</f>
        <v/>
      </c>
      <c r="AY162" s="4" t="str">
        <f t="shared" si="17"/>
        <v>好壞</v>
      </c>
      <c r="BI162" s="5" t="str">
        <f>Lineup!$G$2</f>
        <v>20210817</v>
      </c>
      <c r="BJ162" s="4" t="str">
        <f t="shared" si="12"/>
        <v>偏內角偏高</v>
      </c>
      <c r="BK162" s="4" t="str">
        <f t="shared" si="18"/>
        <v>BO</v>
      </c>
      <c r="BL162" s="4" t="str">
        <f>IFERROR(VLOOKUP('HomeAttackPlay-by-Play'!E162,Roster!$L$2:$M$27,2,FALSE),"")</f>
        <v/>
      </c>
      <c r="BP162" s="48" t="str">
        <f>IF(BO162&lt;&gt;"",HYPERLINK(video!$F$29&amp;"\"&amp;"cam_1_"&amp;$BO162&amp;".avi","Play"),"")</f>
        <v/>
      </c>
      <c r="BQ162" s="48" t="str">
        <f>IF(BO162&lt;&gt;"",HYPERLINK(video!$F$29&amp;"\"&amp;"cam_2_"&amp;$BO162&amp;".avi","Play"),"")</f>
        <v/>
      </c>
      <c r="BR162" s="48" t="str">
        <f>IF(BO162&lt;&gt;"",HYPERLINK(video!$F$29&amp;"\"&amp;"cam_3_"&amp;$BO162&amp;".avi","Play"),"")</f>
        <v/>
      </c>
      <c r="BS162" s="48" t="str">
        <f>IF(BV162&lt;&gt;"",HYPERLINK(video!$F$25&amp;"\"&amp;"cam_4_"&amp;$BV162&amp;".avi","Play"),"")</f>
        <v/>
      </c>
      <c r="BT162" s="48" t="str">
        <f>IF(BV162&lt;&gt;"",HYPERLINK(video!$F$25&amp;"\"&amp;"cam_5_"&amp;$BV162&amp;".avi","Play"),"")</f>
        <v/>
      </c>
      <c r="BU162" s="48" t="str">
        <f>IF(BV162&lt;&gt;"",HYPERLINK(video!$F$25&amp;"\"&amp;"cam_6_"&amp;$BV162&amp;".avi","Play"),"")</f>
        <v/>
      </c>
      <c r="BY162" s="4">
        <f t="shared" si="10"/>
        <v>186</v>
      </c>
      <c r="BZ162" s="4">
        <f t="shared" si="11"/>
        <v>246</v>
      </c>
      <c r="CD162" s="5" t="str">
        <f>Lineup!$G$1</f>
        <v>一軍例行賽</v>
      </c>
      <c r="CE162" s="4">
        <f>Lineup!$I$1</f>
        <v>148</v>
      </c>
      <c r="CF162" s="5" t="str">
        <f>Lineup!$G$5</f>
        <v>王俊宏</v>
      </c>
      <c r="CG162" s="5" t="str">
        <f>Lineup!$G$4</f>
        <v>桃園</v>
      </c>
    </row>
    <row r="163" spans="1:85" x14ac:dyDescent="0.3">
      <c r="A163" s="43"/>
      <c r="AX163" s="4" t="str">
        <f>IFERROR(VLOOKUP(M163,Roster!$D$2:$E$27,2,FALSE),"")</f>
        <v/>
      </c>
      <c r="AY163" s="4" t="str">
        <f t="shared" si="17"/>
        <v>好壞</v>
      </c>
      <c r="BI163" s="5" t="str">
        <f>Lineup!$G$2</f>
        <v>20210817</v>
      </c>
      <c r="BJ163" s="4" t="str">
        <f t="shared" si="12"/>
        <v>偏內角偏高</v>
      </c>
      <c r="BK163" s="4" t="str">
        <f t="shared" si="18"/>
        <v>BO</v>
      </c>
      <c r="BL163" s="4" t="str">
        <f>IFERROR(VLOOKUP('HomeAttackPlay-by-Play'!E163,Roster!$L$2:$M$27,2,FALSE),"")</f>
        <v/>
      </c>
      <c r="BP163" s="48" t="str">
        <f>IF(BO163&lt;&gt;"",HYPERLINK(video!$F$29&amp;"\"&amp;"cam_1_"&amp;$BO163&amp;".avi","Play"),"")</f>
        <v/>
      </c>
      <c r="BQ163" s="48" t="str">
        <f>IF(BO163&lt;&gt;"",HYPERLINK(video!$F$29&amp;"\"&amp;"cam_2_"&amp;$BO163&amp;".avi","Play"),"")</f>
        <v/>
      </c>
      <c r="BR163" s="48" t="str">
        <f>IF(BO163&lt;&gt;"",HYPERLINK(video!$F$29&amp;"\"&amp;"cam_3_"&amp;$BO163&amp;".avi","Play"),"")</f>
        <v/>
      </c>
      <c r="BS163" s="48" t="str">
        <f>IF(BV163&lt;&gt;"",HYPERLINK(video!$F$25&amp;"\"&amp;"cam_4_"&amp;$BV163&amp;".avi","Play"),"")</f>
        <v/>
      </c>
      <c r="BT163" s="48" t="str">
        <f>IF(BV163&lt;&gt;"",HYPERLINK(video!$F$25&amp;"\"&amp;"cam_5_"&amp;$BV163&amp;".avi","Play"),"")</f>
        <v/>
      </c>
      <c r="BU163" s="48" t="str">
        <f>IF(BV163&lt;&gt;"",HYPERLINK(video!$F$25&amp;"\"&amp;"cam_6_"&amp;$BV163&amp;".avi","Play"),"")</f>
        <v/>
      </c>
      <c r="BY163" s="4">
        <f t="shared" si="10"/>
        <v>186</v>
      </c>
      <c r="BZ163" s="4">
        <f t="shared" si="11"/>
        <v>246</v>
      </c>
      <c r="CD163" s="5" t="str">
        <f>Lineup!$G$1</f>
        <v>一軍例行賽</v>
      </c>
      <c r="CE163" s="4">
        <f>Lineup!$I$1</f>
        <v>148</v>
      </c>
      <c r="CF163" s="5" t="str">
        <f>Lineup!$G$5</f>
        <v>王俊宏</v>
      </c>
      <c r="CG163" s="5" t="str">
        <f>Lineup!$G$4</f>
        <v>桃園</v>
      </c>
    </row>
    <row r="164" spans="1:85" x14ac:dyDescent="0.3">
      <c r="A164" s="43"/>
      <c r="AX164" s="4" t="str">
        <f>IFERROR(VLOOKUP(M164,Roster!$D$2:$E$27,2,FALSE),"")</f>
        <v/>
      </c>
      <c r="AY164" s="4" t="str">
        <f t="shared" si="17"/>
        <v>好壞</v>
      </c>
      <c r="BI164" s="5" t="str">
        <f>Lineup!$G$2</f>
        <v>20210817</v>
      </c>
      <c r="BJ164" s="4" t="str">
        <f t="shared" si="12"/>
        <v>偏內角偏高</v>
      </c>
      <c r="BK164" s="4" t="str">
        <f t="shared" si="18"/>
        <v>BO</v>
      </c>
      <c r="BL164" s="4" t="str">
        <f>IFERROR(VLOOKUP('HomeAttackPlay-by-Play'!E164,Roster!$L$2:$M$27,2,FALSE),"")</f>
        <v/>
      </c>
      <c r="BP164" s="48" t="str">
        <f>IF(BO164&lt;&gt;"",HYPERLINK(video!$F$29&amp;"\"&amp;"cam_1_"&amp;$BO164&amp;".avi","Play"),"")</f>
        <v/>
      </c>
      <c r="BQ164" s="48" t="str">
        <f>IF(BO164&lt;&gt;"",HYPERLINK(video!$F$29&amp;"\"&amp;"cam_2_"&amp;$BO164&amp;".avi","Play"),"")</f>
        <v/>
      </c>
      <c r="BR164" s="48" t="str">
        <f>IF(BO164&lt;&gt;"",HYPERLINK(video!$F$29&amp;"\"&amp;"cam_3_"&amp;$BO164&amp;".avi","Play"),"")</f>
        <v/>
      </c>
      <c r="BS164" s="48" t="str">
        <f>IF(BV164&lt;&gt;"",HYPERLINK(video!$F$25&amp;"\"&amp;"cam_4_"&amp;$BV164&amp;".avi","Play"),"")</f>
        <v/>
      </c>
      <c r="BT164" s="48" t="str">
        <f>IF(BV164&lt;&gt;"",HYPERLINK(video!$F$25&amp;"\"&amp;"cam_5_"&amp;$BV164&amp;".avi","Play"),"")</f>
        <v/>
      </c>
      <c r="BU164" s="48" t="str">
        <f>IF(BV164&lt;&gt;"",HYPERLINK(video!$F$25&amp;"\"&amp;"cam_6_"&amp;$BV164&amp;".avi","Play"),"")</f>
        <v/>
      </c>
      <c r="BY164" s="4">
        <f t="shared" si="10"/>
        <v>186</v>
      </c>
      <c r="BZ164" s="4">
        <f t="shared" si="11"/>
        <v>246</v>
      </c>
      <c r="CD164" s="5" t="str">
        <f>Lineup!$G$1</f>
        <v>一軍例行賽</v>
      </c>
      <c r="CE164" s="4">
        <f>Lineup!$I$1</f>
        <v>148</v>
      </c>
      <c r="CF164" s="5" t="str">
        <f>Lineup!$G$5</f>
        <v>王俊宏</v>
      </c>
      <c r="CG164" s="5" t="str">
        <f>Lineup!$G$4</f>
        <v>桃園</v>
      </c>
    </row>
    <row r="165" spans="1:85" x14ac:dyDescent="0.3">
      <c r="A165" s="43"/>
      <c r="AX165" s="4" t="str">
        <f>IFERROR(VLOOKUP(M165,Roster!$D$2:$E$27,2,FALSE),"")</f>
        <v/>
      </c>
      <c r="AY165" s="4" t="str">
        <f t="shared" si="17"/>
        <v>好壞</v>
      </c>
      <c r="BI165" s="5" t="str">
        <f>Lineup!$G$2</f>
        <v>20210817</v>
      </c>
      <c r="BJ165" s="4" t="str">
        <f t="shared" si="12"/>
        <v>偏內角偏高</v>
      </c>
      <c r="BK165" s="4" t="str">
        <f t="shared" si="18"/>
        <v>BO</v>
      </c>
      <c r="BL165" s="4" t="str">
        <f>IFERROR(VLOOKUP('HomeAttackPlay-by-Play'!E165,Roster!$L$2:$M$27,2,FALSE),"")</f>
        <v/>
      </c>
      <c r="BP165" s="48" t="str">
        <f>IF(BO165&lt;&gt;"",HYPERLINK(video!$F$29&amp;"\"&amp;"cam_1_"&amp;$BO165&amp;".avi","Play"),"")</f>
        <v/>
      </c>
      <c r="BQ165" s="48" t="str">
        <f>IF(BO165&lt;&gt;"",HYPERLINK(video!$F$29&amp;"\"&amp;"cam_2_"&amp;$BO165&amp;".avi","Play"),"")</f>
        <v/>
      </c>
      <c r="BR165" s="48" t="str">
        <f>IF(BO165&lt;&gt;"",HYPERLINK(video!$F$29&amp;"\"&amp;"cam_3_"&amp;$BO165&amp;".avi","Play"),"")</f>
        <v/>
      </c>
      <c r="BS165" s="48" t="str">
        <f>IF(BV165&lt;&gt;"",HYPERLINK(video!$F$25&amp;"\"&amp;"cam_4_"&amp;$BV165&amp;".avi","Play"),"")</f>
        <v/>
      </c>
      <c r="BT165" s="48" t="str">
        <f>IF(BV165&lt;&gt;"",HYPERLINK(video!$F$25&amp;"\"&amp;"cam_5_"&amp;$BV165&amp;".avi","Play"),"")</f>
        <v/>
      </c>
      <c r="BU165" s="48" t="str">
        <f>IF(BV165&lt;&gt;"",HYPERLINK(video!$F$25&amp;"\"&amp;"cam_6_"&amp;$BV165&amp;".avi","Play"),"")</f>
        <v/>
      </c>
      <c r="BY165" s="4">
        <f t="shared" si="10"/>
        <v>186</v>
      </c>
      <c r="BZ165" s="4">
        <f t="shared" si="11"/>
        <v>246</v>
      </c>
      <c r="CD165" s="5" t="str">
        <f>Lineup!$G$1</f>
        <v>一軍例行賽</v>
      </c>
      <c r="CE165" s="4">
        <f>Lineup!$I$1</f>
        <v>148</v>
      </c>
      <c r="CF165" s="5" t="str">
        <f>Lineup!$G$5</f>
        <v>王俊宏</v>
      </c>
      <c r="CG165" s="5" t="str">
        <f>Lineup!$G$4</f>
        <v>桃園</v>
      </c>
    </row>
    <row r="166" spans="1:85" x14ac:dyDescent="0.3">
      <c r="A166" s="43"/>
      <c r="AX166" s="4" t="str">
        <f>IFERROR(VLOOKUP(M166,Roster!$D$2:$E$27,2,FALSE),"")</f>
        <v/>
      </c>
      <c r="AY166" s="4" t="str">
        <f t="shared" si="17"/>
        <v>好壞</v>
      </c>
      <c r="BI166" s="5" t="str">
        <f>Lineup!$G$2</f>
        <v>20210817</v>
      </c>
      <c r="BJ166" s="4" t="str">
        <f t="shared" si="12"/>
        <v>偏內角偏高</v>
      </c>
      <c r="BK166" s="4" t="str">
        <f t="shared" si="18"/>
        <v>BO</v>
      </c>
      <c r="BL166" s="4" t="str">
        <f>IFERROR(VLOOKUP('HomeAttackPlay-by-Play'!E166,Roster!$L$2:$M$27,2,FALSE),"")</f>
        <v/>
      </c>
      <c r="BP166" s="48" t="str">
        <f>IF(BO166&lt;&gt;"",HYPERLINK(video!$F$29&amp;"\"&amp;"cam_1_"&amp;$BO166&amp;".avi","Play"),"")</f>
        <v/>
      </c>
      <c r="BQ166" s="48" t="str">
        <f>IF(BO166&lt;&gt;"",HYPERLINK(video!$F$29&amp;"\"&amp;"cam_2_"&amp;$BO166&amp;".avi","Play"),"")</f>
        <v/>
      </c>
      <c r="BR166" s="48" t="str">
        <f>IF(BO166&lt;&gt;"",HYPERLINK(video!$F$29&amp;"\"&amp;"cam_3_"&amp;$BO166&amp;".avi","Play"),"")</f>
        <v/>
      </c>
      <c r="BS166" s="48" t="str">
        <f>IF(BV166&lt;&gt;"",HYPERLINK(video!$F$25&amp;"\"&amp;"cam_4_"&amp;$BV166&amp;".avi","Play"),"")</f>
        <v/>
      </c>
      <c r="BT166" s="48" t="str">
        <f>IF(BV166&lt;&gt;"",HYPERLINK(video!$F$25&amp;"\"&amp;"cam_5_"&amp;$BV166&amp;".avi","Play"),"")</f>
        <v/>
      </c>
      <c r="BU166" s="48" t="str">
        <f>IF(BV166&lt;&gt;"",HYPERLINK(video!$F$25&amp;"\"&amp;"cam_6_"&amp;$BV166&amp;".avi","Play"),"")</f>
        <v/>
      </c>
      <c r="BY166" s="4">
        <f t="shared" si="10"/>
        <v>186</v>
      </c>
      <c r="BZ166" s="4">
        <f t="shared" si="11"/>
        <v>246</v>
      </c>
      <c r="CD166" s="5" t="str">
        <f>Lineup!$G$1</f>
        <v>一軍例行賽</v>
      </c>
      <c r="CE166" s="4">
        <f>Lineup!$I$1</f>
        <v>148</v>
      </c>
      <c r="CF166" s="5" t="str">
        <f>Lineup!$G$5</f>
        <v>王俊宏</v>
      </c>
      <c r="CG166" s="5" t="str">
        <f>Lineup!$G$4</f>
        <v>桃園</v>
      </c>
    </row>
    <row r="167" spans="1:85" x14ac:dyDescent="0.3">
      <c r="A167" s="43"/>
      <c r="AX167" s="4" t="str">
        <f>IFERROR(VLOOKUP(M167,Roster!$D$2:$E$27,2,FALSE),"")</f>
        <v/>
      </c>
      <c r="AY167" s="4" t="str">
        <f t="shared" si="17"/>
        <v>好壞</v>
      </c>
      <c r="BI167" s="5" t="str">
        <f>Lineup!$G$2</f>
        <v>20210817</v>
      </c>
      <c r="BJ167" s="4" t="str">
        <f t="shared" si="12"/>
        <v>偏內角偏高</v>
      </c>
      <c r="BK167" s="4" t="str">
        <f t="shared" si="18"/>
        <v>BO</v>
      </c>
      <c r="BL167" s="4" t="str">
        <f>IFERROR(VLOOKUP('HomeAttackPlay-by-Play'!E167,Roster!$L$2:$M$27,2,FALSE),"")</f>
        <v/>
      </c>
      <c r="BP167" s="48" t="str">
        <f>IF(BO167&lt;&gt;"",HYPERLINK(video!$F$29&amp;"\"&amp;"cam_1_"&amp;$BO167&amp;".avi","Play"),"")</f>
        <v/>
      </c>
      <c r="BQ167" s="48" t="str">
        <f>IF(BO167&lt;&gt;"",HYPERLINK(video!$F$29&amp;"\"&amp;"cam_2_"&amp;$BO167&amp;".avi","Play"),"")</f>
        <v/>
      </c>
      <c r="BR167" s="48" t="str">
        <f>IF(BO167&lt;&gt;"",HYPERLINK(video!$F$29&amp;"\"&amp;"cam_3_"&amp;$BO167&amp;".avi","Play"),"")</f>
        <v/>
      </c>
      <c r="BS167" s="48" t="str">
        <f>IF(BV167&lt;&gt;"",HYPERLINK(video!$F$25&amp;"\"&amp;"cam_4_"&amp;$BV167&amp;".avi","Play"),"")</f>
        <v/>
      </c>
      <c r="BT167" s="48" t="str">
        <f>IF(BV167&lt;&gt;"",HYPERLINK(video!$F$25&amp;"\"&amp;"cam_5_"&amp;$BV167&amp;".avi","Play"),"")</f>
        <v/>
      </c>
      <c r="BU167" s="48" t="str">
        <f>IF(BV167&lt;&gt;"",HYPERLINK(video!$F$25&amp;"\"&amp;"cam_6_"&amp;$BV167&amp;".avi","Play"),"")</f>
        <v/>
      </c>
      <c r="BY167" s="4">
        <f t="shared" si="10"/>
        <v>186</v>
      </c>
      <c r="BZ167" s="4">
        <f t="shared" si="11"/>
        <v>246</v>
      </c>
      <c r="CD167" s="5" t="str">
        <f>Lineup!$G$1</f>
        <v>一軍例行賽</v>
      </c>
      <c r="CE167" s="4">
        <f>Lineup!$I$1</f>
        <v>148</v>
      </c>
      <c r="CF167" s="5" t="str">
        <f>Lineup!$G$5</f>
        <v>王俊宏</v>
      </c>
      <c r="CG167" s="5" t="str">
        <f>Lineup!$G$4</f>
        <v>桃園</v>
      </c>
    </row>
    <row r="168" spans="1:85" x14ac:dyDescent="0.3">
      <c r="A168" s="43"/>
      <c r="AX168" s="4" t="str">
        <f>IFERROR(VLOOKUP(M168,Roster!$D$2:$E$27,2,FALSE),"")</f>
        <v/>
      </c>
      <c r="AY168" s="4" t="str">
        <f t="shared" si="17"/>
        <v>好壞</v>
      </c>
      <c r="BI168" s="5" t="str">
        <f>Lineup!$G$2</f>
        <v>20210817</v>
      </c>
      <c r="BJ168" s="4" t="str">
        <f t="shared" si="12"/>
        <v>偏內角偏高</v>
      </c>
      <c r="BK168" s="4" t="str">
        <f t="shared" si="18"/>
        <v>BO</v>
      </c>
      <c r="BL168" s="4" t="str">
        <f>IFERROR(VLOOKUP('HomeAttackPlay-by-Play'!E168,Roster!$L$2:$M$27,2,FALSE),"")</f>
        <v/>
      </c>
      <c r="BP168" s="48" t="str">
        <f>IF(BO168&lt;&gt;"",HYPERLINK(video!$F$29&amp;"\"&amp;"cam_1_"&amp;$BO168&amp;".avi","Play"),"")</f>
        <v/>
      </c>
      <c r="BQ168" s="48" t="str">
        <f>IF(BO168&lt;&gt;"",HYPERLINK(video!$F$29&amp;"\"&amp;"cam_2_"&amp;$BO168&amp;".avi","Play"),"")</f>
        <v/>
      </c>
      <c r="BR168" s="48" t="str">
        <f>IF(BO168&lt;&gt;"",HYPERLINK(video!$F$29&amp;"\"&amp;"cam_3_"&amp;$BO168&amp;".avi","Play"),"")</f>
        <v/>
      </c>
      <c r="BS168" s="48" t="str">
        <f>IF(BV168&lt;&gt;"",HYPERLINK(video!$F$25&amp;"\"&amp;"cam_4_"&amp;$BV168&amp;".avi","Play"),"")</f>
        <v/>
      </c>
      <c r="BT168" s="48" t="str">
        <f>IF(BV168&lt;&gt;"",HYPERLINK(video!$F$25&amp;"\"&amp;"cam_5_"&amp;$BV168&amp;".avi","Play"),"")</f>
        <v/>
      </c>
      <c r="BU168" s="48" t="str">
        <f>IF(BV168&lt;&gt;"",HYPERLINK(video!$F$25&amp;"\"&amp;"cam_6_"&amp;$BV168&amp;".avi","Play"),"")</f>
        <v/>
      </c>
      <c r="BY168" s="4">
        <f t="shared" si="10"/>
        <v>186</v>
      </c>
      <c r="BZ168" s="4">
        <f t="shared" si="11"/>
        <v>246</v>
      </c>
      <c r="CD168" s="5" t="str">
        <f>Lineup!$G$1</f>
        <v>一軍例行賽</v>
      </c>
      <c r="CE168" s="4">
        <f>Lineup!$I$1</f>
        <v>148</v>
      </c>
      <c r="CF168" s="5" t="str">
        <f>Lineup!$G$5</f>
        <v>王俊宏</v>
      </c>
      <c r="CG168" s="5" t="str">
        <f>Lineup!$G$4</f>
        <v>桃園</v>
      </c>
    </row>
    <row r="169" spans="1:85" x14ac:dyDescent="0.3">
      <c r="A169" s="43"/>
      <c r="AX169" s="4" t="str">
        <f>IFERROR(VLOOKUP(M169,Roster!$D$2:$E$27,2,FALSE),"")</f>
        <v/>
      </c>
      <c r="AY169" s="4" t="str">
        <f t="shared" si="17"/>
        <v>好壞</v>
      </c>
      <c r="BI169" s="5" t="str">
        <f>Lineup!$G$2</f>
        <v>20210817</v>
      </c>
      <c r="BJ169" s="4" t="str">
        <f t="shared" si="12"/>
        <v>偏內角偏高</v>
      </c>
      <c r="BK169" s="4" t="str">
        <f t="shared" si="18"/>
        <v>BO</v>
      </c>
      <c r="BL169" s="4" t="str">
        <f>IFERROR(VLOOKUP('HomeAttackPlay-by-Play'!E169,Roster!$L$2:$M$27,2,FALSE),"")</f>
        <v/>
      </c>
      <c r="BP169" s="48" t="str">
        <f>IF(BO169&lt;&gt;"",HYPERLINK(video!$F$29&amp;"\"&amp;"cam_1_"&amp;$BO169&amp;".avi","Play"),"")</f>
        <v/>
      </c>
      <c r="BQ169" s="48" t="str">
        <f>IF(BO169&lt;&gt;"",HYPERLINK(video!$F$29&amp;"\"&amp;"cam_2_"&amp;$BO169&amp;".avi","Play"),"")</f>
        <v/>
      </c>
      <c r="BR169" s="48" t="str">
        <f>IF(BO169&lt;&gt;"",HYPERLINK(video!$F$29&amp;"\"&amp;"cam_3_"&amp;$BO169&amp;".avi","Play"),"")</f>
        <v/>
      </c>
      <c r="BS169" s="48" t="str">
        <f>IF(BV169&lt;&gt;"",HYPERLINK(video!$F$25&amp;"\"&amp;"cam_4_"&amp;$BV169&amp;".avi","Play"),"")</f>
        <v/>
      </c>
      <c r="BT169" s="48" t="str">
        <f>IF(BV169&lt;&gt;"",HYPERLINK(video!$F$25&amp;"\"&amp;"cam_5_"&amp;$BV169&amp;".avi","Play"),"")</f>
        <v/>
      </c>
      <c r="BU169" s="48" t="str">
        <f>IF(BV169&lt;&gt;"",HYPERLINK(video!$F$25&amp;"\"&amp;"cam_6_"&amp;$BV169&amp;".avi","Play"),"")</f>
        <v/>
      </c>
      <c r="BY169" s="4">
        <f t="shared" si="10"/>
        <v>186</v>
      </c>
      <c r="BZ169" s="4">
        <f t="shared" si="11"/>
        <v>246</v>
      </c>
      <c r="CD169" s="5" t="str">
        <f>Lineup!$G$1</f>
        <v>一軍例行賽</v>
      </c>
      <c r="CE169" s="4">
        <f>Lineup!$I$1</f>
        <v>148</v>
      </c>
      <c r="CF169" s="5" t="str">
        <f>Lineup!$G$5</f>
        <v>王俊宏</v>
      </c>
      <c r="CG169" s="5" t="str">
        <f>Lineup!$G$4</f>
        <v>桃園</v>
      </c>
    </row>
    <row r="170" spans="1:85" x14ac:dyDescent="0.3">
      <c r="A170" s="43"/>
      <c r="AX170" s="4" t="str">
        <f>IFERROR(VLOOKUP(M170,Roster!$D$2:$E$27,2,FALSE),"")</f>
        <v/>
      </c>
      <c r="AY170" s="4" t="str">
        <f t="shared" si="17"/>
        <v>好壞</v>
      </c>
      <c r="BI170" s="5" t="str">
        <f>Lineup!$G$2</f>
        <v>20210817</v>
      </c>
      <c r="BJ170" s="4" t="str">
        <f t="shared" si="12"/>
        <v>偏內角偏高</v>
      </c>
      <c r="BK170" s="4" t="str">
        <f t="shared" si="18"/>
        <v>BO</v>
      </c>
      <c r="BL170" s="4" t="str">
        <f>IFERROR(VLOOKUP('HomeAttackPlay-by-Play'!E170,Roster!$L$2:$M$27,2,FALSE),"")</f>
        <v/>
      </c>
      <c r="BP170" s="48" t="str">
        <f>IF(BO170&lt;&gt;"",HYPERLINK(video!$F$29&amp;"\"&amp;"cam_1_"&amp;$BO170&amp;".avi","Play"),"")</f>
        <v/>
      </c>
      <c r="BQ170" s="48" t="str">
        <f>IF(BO170&lt;&gt;"",HYPERLINK(video!$F$29&amp;"\"&amp;"cam_2_"&amp;$BO170&amp;".avi","Play"),"")</f>
        <v/>
      </c>
      <c r="BR170" s="48" t="str">
        <f>IF(BO170&lt;&gt;"",HYPERLINK(video!$F$29&amp;"\"&amp;"cam_3_"&amp;$BO170&amp;".avi","Play"),"")</f>
        <v/>
      </c>
      <c r="BS170" s="48" t="str">
        <f>IF(BV170&lt;&gt;"",HYPERLINK(video!$F$25&amp;"\"&amp;"cam_4_"&amp;$BV170&amp;".avi","Play"),"")</f>
        <v/>
      </c>
      <c r="BT170" s="48" t="str">
        <f>IF(BV170&lt;&gt;"",HYPERLINK(video!$F$25&amp;"\"&amp;"cam_5_"&amp;$BV170&amp;".avi","Play"),"")</f>
        <v/>
      </c>
      <c r="BU170" s="48" t="str">
        <f>IF(BV170&lt;&gt;"",HYPERLINK(video!$F$25&amp;"\"&amp;"cam_6_"&amp;$BV170&amp;".avi","Play"),"")</f>
        <v/>
      </c>
      <c r="BY170" s="4">
        <f t="shared" si="10"/>
        <v>186</v>
      </c>
      <c r="BZ170" s="4">
        <f t="shared" si="11"/>
        <v>246</v>
      </c>
      <c r="CD170" s="5" t="str">
        <f>Lineup!$G$1</f>
        <v>一軍例行賽</v>
      </c>
      <c r="CE170" s="4">
        <f>Lineup!$I$1</f>
        <v>148</v>
      </c>
      <c r="CF170" s="5" t="str">
        <f>Lineup!$G$5</f>
        <v>王俊宏</v>
      </c>
      <c r="CG170" s="5" t="str">
        <f>Lineup!$G$4</f>
        <v>桃園</v>
      </c>
    </row>
    <row r="171" spans="1:85" x14ac:dyDescent="0.3">
      <c r="A171" s="43"/>
      <c r="AX171" s="4" t="str">
        <f>IFERROR(VLOOKUP(M171,Roster!$D$2:$E$27,2,FALSE),"")</f>
        <v/>
      </c>
      <c r="AY171" s="4" t="str">
        <f t="shared" si="17"/>
        <v>好壞</v>
      </c>
      <c r="BI171" s="5" t="str">
        <f>Lineup!$G$2</f>
        <v>20210817</v>
      </c>
      <c r="BJ171" s="4" t="str">
        <f t="shared" si="12"/>
        <v>偏內角偏高</v>
      </c>
      <c r="BK171" s="4" t="str">
        <f t="shared" si="18"/>
        <v>BO</v>
      </c>
      <c r="BL171" s="4" t="str">
        <f>IFERROR(VLOOKUP('HomeAttackPlay-by-Play'!E171,Roster!$L$2:$M$27,2,FALSE),"")</f>
        <v/>
      </c>
      <c r="BP171" s="48" t="str">
        <f>IF(BO171&lt;&gt;"",HYPERLINK(video!$F$29&amp;"\"&amp;"cam_1_"&amp;$BO171&amp;".avi","Play"),"")</f>
        <v/>
      </c>
      <c r="BQ171" s="48" t="str">
        <f>IF(BO171&lt;&gt;"",HYPERLINK(video!$F$29&amp;"\"&amp;"cam_2_"&amp;$BO171&amp;".avi","Play"),"")</f>
        <v/>
      </c>
      <c r="BR171" s="48" t="str">
        <f>IF(BO171&lt;&gt;"",HYPERLINK(video!$F$29&amp;"\"&amp;"cam_3_"&amp;$BO171&amp;".avi","Play"),"")</f>
        <v/>
      </c>
      <c r="BS171" s="48" t="str">
        <f>IF(BV171&lt;&gt;"",HYPERLINK(video!$F$25&amp;"\"&amp;"cam_4_"&amp;$BV171&amp;".avi","Play"),"")</f>
        <v/>
      </c>
      <c r="BT171" s="48" t="str">
        <f>IF(BV171&lt;&gt;"",HYPERLINK(video!$F$25&amp;"\"&amp;"cam_5_"&amp;$BV171&amp;".avi","Play"),"")</f>
        <v/>
      </c>
      <c r="BU171" s="48" t="str">
        <f>IF(BV171&lt;&gt;"",HYPERLINK(video!$F$25&amp;"\"&amp;"cam_6_"&amp;$BV171&amp;".avi","Play"),"")</f>
        <v/>
      </c>
      <c r="BY171" s="4">
        <f t="shared" si="10"/>
        <v>186</v>
      </c>
      <c r="BZ171" s="4">
        <f t="shared" si="11"/>
        <v>246</v>
      </c>
      <c r="CD171" s="5" t="str">
        <f>Lineup!$G$1</f>
        <v>一軍例行賽</v>
      </c>
      <c r="CE171" s="4">
        <f>Lineup!$I$1</f>
        <v>148</v>
      </c>
      <c r="CF171" s="5" t="str">
        <f>Lineup!$G$5</f>
        <v>王俊宏</v>
      </c>
      <c r="CG171" s="5" t="str">
        <f>Lineup!$G$4</f>
        <v>桃園</v>
      </c>
    </row>
    <row r="172" spans="1:85" x14ac:dyDescent="0.3">
      <c r="A172" s="43"/>
      <c r="AX172" s="4" t="str">
        <f>IFERROR(VLOOKUP(M172,Roster!$D$2:$E$27,2,FALSE),"")</f>
        <v/>
      </c>
      <c r="AY172" s="4" t="str">
        <f t="shared" si="17"/>
        <v>好壞</v>
      </c>
      <c r="BI172" s="5" t="str">
        <f>Lineup!$G$2</f>
        <v>20210817</v>
      </c>
      <c r="BJ172" s="4" t="str">
        <f t="shared" si="12"/>
        <v>偏內角偏高</v>
      </c>
      <c r="BK172" s="4" t="str">
        <f t="shared" si="18"/>
        <v>BO</v>
      </c>
      <c r="BL172" s="4" t="str">
        <f>IFERROR(VLOOKUP('HomeAttackPlay-by-Play'!E172,Roster!$L$2:$M$27,2,FALSE),"")</f>
        <v/>
      </c>
      <c r="BP172" s="48" t="str">
        <f>IF(BO172&lt;&gt;"",HYPERLINK(video!$F$29&amp;"\"&amp;"cam_1_"&amp;$BO172&amp;".avi","Play"),"")</f>
        <v/>
      </c>
      <c r="BQ172" s="48" t="str">
        <f>IF(BO172&lt;&gt;"",HYPERLINK(video!$F$29&amp;"\"&amp;"cam_2_"&amp;$BO172&amp;".avi","Play"),"")</f>
        <v/>
      </c>
      <c r="BR172" s="48" t="str">
        <f>IF(BO172&lt;&gt;"",HYPERLINK(video!$F$29&amp;"\"&amp;"cam_3_"&amp;$BO172&amp;".avi","Play"),"")</f>
        <v/>
      </c>
      <c r="BS172" s="48" t="str">
        <f>IF(BV172&lt;&gt;"",HYPERLINK(video!$F$25&amp;"\"&amp;"cam_4_"&amp;$BV172&amp;".avi","Play"),"")</f>
        <v/>
      </c>
      <c r="BT172" s="48" t="str">
        <f>IF(BV172&lt;&gt;"",HYPERLINK(video!$F$25&amp;"\"&amp;"cam_5_"&amp;$BV172&amp;".avi","Play"),"")</f>
        <v/>
      </c>
      <c r="BU172" s="48" t="str">
        <f>IF(BV172&lt;&gt;"",HYPERLINK(video!$F$25&amp;"\"&amp;"cam_6_"&amp;$BV172&amp;".avi","Play"),"")</f>
        <v/>
      </c>
      <c r="BY172" s="4">
        <f t="shared" si="10"/>
        <v>186</v>
      </c>
      <c r="BZ172" s="4">
        <f t="shared" si="11"/>
        <v>246</v>
      </c>
      <c r="CD172" s="5" t="str">
        <f>Lineup!$G$1</f>
        <v>一軍例行賽</v>
      </c>
      <c r="CE172" s="4">
        <f>Lineup!$I$1</f>
        <v>148</v>
      </c>
      <c r="CF172" s="5" t="str">
        <f>Lineup!$G$5</f>
        <v>王俊宏</v>
      </c>
      <c r="CG172" s="5" t="str">
        <f>Lineup!$G$4</f>
        <v>桃園</v>
      </c>
    </row>
    <row r="173" spans="1:85" x14ac:dyDescent="0.3">
      <c r="A173" s="43"/>
      <c r="AX173" s="4" t="str">
        <f>IFERROR(VLOOKUP(M173,Roster!$D$2:$E$27,2,FALSE),"")</f>
        <v/>
      </c>
      <c r="AY173" s="4" t="str">
        <f t="shared" si="17"/>
        <v>好壞</v>
      </c>
      <c r="BI173" s="5" t="str">
        <f>Lineup!$G$2</f>
        <v>20210817</v>
      </c>
      <c r="BJ173" s="4" t="str">
        <f t="shared" si="12"/>
        <v>偏內角偏高</v>
      </c>
      <c r="BK173" s="4" t="str">
        <f t="shared" si="18"/>
        <v>BO</v>
      </c>
      <c r="BL173" s="4" t="str">
        <f>IFERROR(VLOOKUP('HomeAttackPlay-by-Play'!E173,Roster!$L$2:$M$27,2,FALSE),"")</f>
        <v/>
      </c>
      <c r="BP173" s="48" t="str">
        <f>IF(BO173&lt;&gt;"",HYPERLINK(video!$F$29&amp;"\"&amp;"cam_1_"&amp;$BO173&amp;".avi","Play"),"")</f>
        <v/>
      </c>
      <c r="BQ173" s="48" t="str">
        <f>IF(BO173&lt;&gt;"",HYPERLINK(video!$F$29&amp;"\"&amp;"cam_2_"&amp;$BO173&amp;".avi","Play"),"")</f>
        <v/>
      </c>
      <c r="BR173" s="48" t="str">
        <f>IF(BO173&lt;&gt;"",HYPERLINK(video!$F$29&amp;"\"&amp;"cam_3_"&amp;$BO173&amp;".avi","Play"),"")</f>
        <v/>
      </c>
      <c r="BS173" s="48" t="str">
        <f>IF(BV173&lt;&gt;"",HYPERLINK(video!$F$25&amp;"\"&amp;"cam_4_"&amp;$BV173&amp;".avi","Play"),"")</f>
        <v/>
      </c>
      <c r="BT173" s="48" t="str">
        <f>IF(BV173&lt;&gt;"",HYPERLINK(video!$F$25&amp;"\"&amp;"cam_5_"&amp;$BV173&amp;".avi","Play"),"")</f>
        <v/>
      </c>
      <c r="BU173" s="48" t="str">
        <f>IF(BV173&lt;&gt;"",HYPERLINK(video!$F$25&amp;"\"&amp;"cam_6_"&amp;$BV173&amp;".avi","Play"),"")</f>
        <v/>
      </c>
      <c r="BY173" s="4">
        <f t="shared" si="10"/>
        <v>186</v>
      </c>
      <c r="BZ173" s="4">
        <f t="shared" si="11"/>
        <v>246</v>
      </c>
      <c r="CD173" s="5" t="str">
        <f>Lineup!$G$1</f>
        <v>一軍例行賽</v>
      </c>
      <c r="CE173" s="4">
        <f>Lineup!$I$1</f>
        <v>148</v>
      </c>
      <c r="CF173" s="5" t="str">
        <f>Lineup!$G$5</f>
        <v>王俊宏</v>
      </c>
      <c r="CG173" s="5" t="str">
        <f>Lineup!$G$4</f>
        <v>桃園</v>
      </c>
    </row>
    <row r="174" spans="1:85" x14ac:dyDescent="0.3">
      <c r="A174" s="43"/>
      <c r="AX174" s="4" t="str">
        <f>IFERROR(VLOOKUP(M174,Roster!$D$2:$E$27,2,FALSE),"")</f>
        <v/>
      </c>
      <c r="AY174" s="4" t="str">
        <f t="shared" si="17"/>
        <v>好壞</v>
      </c>
      <c r="BI174" s="5" t="str">
        <f>Lineup!$G$2</f>
        <v>20210817</v>
      </c>
      <c r="BJ174" s="4" t="str">
        <f t="shared" si="12"/>
        <v>偏內角偏高</v>
      </c>
      <c r="BK174" s="4" t="str">
        <f t="shared" si="18"/>
        <v>BO</v>
      </c>
      <c r="BL174" s="4" t="str">
        <f>IFERROR(VLOOKUP('HomeAttackPlay-by-Play'!E174,Roster!$L$2:$M$27,2,FALSE),"")</f>
        <v/>
      </c>
      <c r="BP174" s="48" t="str">
        <f>IF(BO174&lt;&gt;"",HYPERLINK(video!$F$29&amp;"\"&amp;"cam_1_"&amp;$BO174&amp;".avi","Play"),"")</f>
        <v/>
      </c>
      <c r="BQ174" s="48" t="str">
        <f>IF(BO174&lt;&gt;"",HYPERLINK(video!$F$29&amp;"\"&amp;"cam_2_"&amp;$BO174&amp;".avi","Play"),"")</f>
        <v/>
      </c>
      <c r="BR174" s="48" t="str">
        <f>IF(BO174&lt;&gt;"",HYPERLINK(video!$F$29&amp;"\"&amp;"cam_3_"&amp;$BO174&amp;".avi","Play"),"")</f>
        <v/>
      </c>
      <c r="BS174" s="48" t="str">
        <f>IF(BV174&lt;&gt;"",HYPERLINK(video!$F$25&amp;"\"&amp;"cam_4_"&amp;$BV174&amp;".avi","Play"),"")</f>
        <v/>
      </c>
      <c r="BT174" s="48" t="str">
        <f>IF(BV174&lt;&gt;"",HYPERLINK(video!$F$25&amp;"\"&amp;"cam_5_"&amp;$BV174&amp;".avi","Play"),"")</f>
        <v/>
      </c>
      <c r="BU174" s="48" t="str">
        <f>IF(BV174&lt;&gt;"",HYPERLINK(video!$F$25&amp;"\"&amp;"cam_6_"&amp;$BV174&amp;".avi","Play"),"")</f>
        <v/>
      </c>
      <c r="BY174" s="4">
        <f t="shared" si="10"/>
        <v>186</v>
      </c>
      <c r="BZ174" s="4">
        <f t="shared" si="11"/>
        <v>246</v>
      </c>
      <c r="CD174" s="5" t="str">
        <f>Lineup!$G$1</f>
        <v>一軍例行賽</v>
      </c>
      <c r="CE174" s="4">
        <f>Lineup!$I$1</f>
        <v>148</v>
      </c>
      <c r="CF174" s="5" t="str">
        <f>Lineup!$G$5</f>
        <v>王俊宏</v>
      </c>
      <c r="CG174" s="5" t="str">
        <f>Lineup!$G$4</f>
        <v>桃園</v>
      </c>
    </row>
    <row r="175" spans="1:85" x14ac:dyDescent="0.3">
      <c r="A175" s="43"/>
      <c r="AX175" s="4" t="str">
        <f>IFERROR(VLOOKUP(M175,Roster!$D$2:$E$27,2,FALSE),"")</f>
        <v/>
      </c>
      <c r="AY175" s="4" t="str">
        <f t="shared" si="17"/>
        <v>好壞</v>
      </c>
      <c r="BI175" s="5" t="str">
        <f>Lineup!$G$2</f>
        <v>20210817</v>
      </c>
      <c r="BJ175" s="4" t="str">
        <f t="shared" si="12"/>
        <v>偏內角偏高</v>
      </c>
      <c r="BK175" s="4" t="str">
        <f t="shared" si="18"/>
        <v>BO</v>
      </c>
      <c r="BL175" s="4" t="str">
        <f>IFERROR(VLOOKUP('HomeAttackPlay-by-Play'!E175,Roster!$L$2:$M$27,2,FALSE),"")</f>
        <v/>
      </c>
      <c r="BP175" s="48" t="str">
        <f>IF(BO175&lt;&gt;"",HYPERLINK(video!$F$29&amp;"\"&amp;"cam_1_"&amp;$BO175&amp;".avi","Play"),"")</f>
        <v/>
      </c>
      <c r="BQ175" s="48" t="str">
        <f>IF(BO175&lt;&gt;"",HYPERLINK(video!$F$29&amp;"\"&amp;"cam_2_"&amp;$BO175&amp;".avi","Play"),"")</f>
        <v/>
      </c>
      <c r="BR175" s="48" t="str">
        <f>IF(BO175&lt;&gt;"",HYPERLINK(video!$F$29&amp;"\"&amp;"cam_3_"&amp;$BO175&amp;".avi","Play"),"")</f>
        <v/>
      </c>
      <c r="BS175" s="48" t="str">
        <f>IF(BV175&lt;&gt;"",HYPERLINK(video!$F$25&amp;"\"&amp;"cam_4_"&amp;$BV175&amp;".avi","Play"),"")</f>
        <v/>
      </c>
      <c r="BT175" s="48" t="str">
        <f>IF(BV175&lt;&gt;"",HYPERLINK(video!$F$25&amp;"\"&amp;"cam_5_"&amp;$BV175&amp;".avi","Play"),"")</f>
        <v/>
      </c>
      <c r="BU175" s="48" t="str">
        <f>IF(BV175&lt;&gt;"",HYPERLINK(video!$F$25&amp;"\"&amp;"cam_6_"&amp;$BV175&amp;".avi","Play"),"")</f>
        <v/>
      </c>
      <c r="BY175" s="4">
        <f t="shared" si="10"/>
        <v>186</v>
      </c>
      <c r="BZ175" s="4">
        <f t="shared" si="11"/>
        <v>246</v>
      </c>
      <c r="CD175" s="5" t="str">
        <f>Lineup!$G$1</f>
        <v>一軍例行賽</v>
      </c>
      <c r="CE175" s="4">
        <f>Lineup!$I$1</f>
        <v>148</v>
      </c>
      <c r="CF175" s="5" t="str">
        <f>Lineup!$G$5</f>
        <v>王俊宏</v>
      </c>
      <c r="CG175" s="5" t="str">
        <f>Lineup!$G$4</f>
        <v>桃園</v>
      </c>
    </row>
    <row r="176" spans="1:85" x14ac:dyDescent="0.3">
      <c r="A176" s="43"/>
      <c r="AX176" s="4" t="str">
        <f>IFERROR(VLOOKUP(M176,Roster!$D$2:$E$27,2,FALSE),"")</f>
        <v/>
      </c>
      <c r="AY176" s="4" t="str">
        <f t="shared" si="17"/>
        <v>好壞</v>
      </c>
      <c r="BI176" s="5" t="str">
        <f>Lineup!$G$2</f>
        <v>20210817</v>
      </c>
      <c r="BJ176" s="4" t="str">
        <f t="shared" si="12"/>
        <v>偏內角偏高</v>
      </c>
      <c r="BK176" s="4" t="str">
        <f t="shared" si="18"/>
        <v>BO</v>
      </c>
      <c r="BL176" s="4" t="str">
        <f>IFERROR(VLOOKUP('HomeAttackPlay-by-Play'!E176,Roster!$L$2:$M$27,2,FALSE),"")</f>
        <v/>
      </c>
      <c r="BP176" s="48" t="str">
        <f>IF(BO176&lt;&gt;"",HYPERLINK(video!$F$29&amp;"\"&amp;"cam_1_"&amp;$BO176&amp;".avi","Play"),"")</f>
        <v/>
      </c>
      <c r="BQ176" s="48" t="str">
        <f>IF(BO176&lt;&gt;"",HYPERLINK(video!$F$29&amp;"\"&amp;"cam_2_"&amp;$BO176&amp;".avi","Play"),"")</f>
        <v/>
      </c>
      <c r="BR176" s="48" t="str">
        <f>IF(BO176&lt;&gt;"",HYPERLINK(video!$F$29&amp;"\"&amp;"cam_3_"&amp;$BO176&amp;".avi","Play"),"")</f>
        <v/>
      </c>
      <c r="BS176" s="48" t="str">
        <f>IF(BV176&lt;&gt;"",HYPERLINK(video!$F$25&amp;"\"&amp;"cam_4_"&amp;$BV176&amp;".avi","Play"),"")</f>
        <v/>
      </c>
      <c r="BT176" s="48" t="str">
        <f>IF(BV176&lt;&gt;"",HYPERLINK(video!$F$25&amp;"\"&amp;"cam_5_"&amp;$BV176&amp;".avi","Play"),"")</f>
        <v/>
      </c>
      <c r="BU176" s="48" t="str">
        <f>IF(BV176&lt;&gt;"",HYPERLINK(video!$F$25&amp;"\"&amp;"cam_6_"&amp;$BV176&amp;".avi","Play"),"")</f>
        <v/>
      </c>
      <c r="BY176" s="4">
        <f t="shared" si="10"/>
        <v>186</v>
      </c>
      <c r="BZ176" s="4">
        <f t="shared" si="11"/>
        <v>246</v>
      </c>
      <c r="CD176" s="5" t="str">
        <f>Lineup!$G$1</f>
        <v>一軍例行賽</v>
      </c>
      <c r="CE176" s="4">
        <f>Lineup!$I$1</f>
        <v>148</v>
      </c>
      <c r="CF176" s="5" t="str">
        <f>Lineup!$G$5</f>
        <v>王俊宏</v>
      </c>
      <c r="CG176" s="5" t="str">
        <f>Lineup!$G$4</f>
        <v>桃園</v>
      </c>
    </row>
    <row r="177" spans="1:85" x14ac:dyDescent="0.3">
      <c r="A177" s="43"/>
      <c r="AX177" s="4" t="str">
        <f>IFERROR(VLOOKUP(M177,Roster!$D$2:$E$27,2,FALSE),"")</f>
        <v/>
      </c>
      <c r="AY177" s="4" t="str">
        <f t="shared" si="17"/>
        <v>好壞</v>
      </c>
      <c r="BI177" s="5" t="str">
        <f>Lineup!$G$2</f>
        <v>20210817</v>
      </c>
      <c r="BJ177" s="4" t="str">
        <f t="shared" si="12"/>
        <v>偏內角偏高</v>
      </c>
      <c r="BK177" s="4" t="str">
        <f t="shared" si="18"/>
        <v>BO</v>
      </c>
      <c r="BL177" s="4" t="str">
        <f>IFERROR(VLOOKUP('HomeAttackPlay-by-Play'!E177,Roster!$L$2:$M$27,2,FALSE),"")</f>
        <v/>
      </c>
      <c r="BP177" s="48" t="str">
        <f>IF(BO177&lt;&gt;"",HYPERLINK(video!$F$29&amp;"\"&amp;"cam_1_"&amp;$BO177&amp;".avi","Play"),"")</f>
        <v/>
      </c>
      <c r="BQ177" s="48" t="str">
        <f>IF(BO177&lt;&gt;"",HYPERLINK(video!$F$29&amp;"\"&amp;"cam_2_"&amp;$BO177&amp;".avi","Play"),"")</f>
        <v/>
      </c>
      <c r="BR177" s="48" t="str">
        <f>IF(BO177&lt;&gt;"",HYPERLINK(video!$F$29&amp;"\"&amp;"cam_3_"&amp;$BO177&amp;".avi","Play"),"")</f>
        <v/>
      </c>
      <c r="BS177" s="48" t="str">
        <f>IF(BV177&lt;&gt;"",HYPERLINK(video!$F$25&amp;"\"&amp;"cam_4_"&amp;$BV177&amp;".avi","Play"),"")</f>
        <v/>
      </c>
      <c r="BT177" s="48" t="str">
        <f>IF(BV177&lt;&gt;"",HYPERLINK(video!$F$25&amp;"\"&amp;"cam_5_"&amp;$BV177&amp;".avi","Play"),"")</f>
        <v/>
      </c>
      <c r="BU177" s="48" t="str">
        <f>IF(BV177&lt;&gt;"",HYPERLINK(video!$F$25&amp;"\"&amp;"cam_6_"&amp;$BV177&amp;".avi","Play"),"")</f>
        <v/>
      </c>
      <c r="BY177" s="4">
        <f t="shared" si="10"/>
        <v>186</v>
      </c>
      <c r="BZ177" s="4">
        <f t="shared" si="11"/>
        <v>246</v>
      </c>
      <c r="CD177" s="5" t="str">
        <f>Lineup!$G$1</f>
        <v>一軍例行賽</v>
      </c>
      <c r="CE177" s="4">
        <f>Lineup!$I$1</f>
        <v>148</v>
      </c>
      <c r="CF177" s="5" t="str">
        <f>Lineup!$G$5</f>
        <v>王俊宏</v>
      </c>
      <c r="CG177" s="5" t="str">
        <f>Lineup!$G$4</f>
        <v>桃園</v>
      </c>
    </row>
    <row r="178" spans="1:85" x14ac:dyDescent="0.3">
      <c r="A178" s="43"/>
      <c r="AX178" s="4" t="str">
        <f>IFERROR(VLOOKUP(M178,Roster!$D$2:$E$27,2,FALSE),"")</f>
        <v/>
      </c>
      <c r="AY178" s="4" t="str">
        <f t="shared" si="17"/>
        <v>好壞</v>
      </c>
      <c r="BI178" s="5" t="str">
        <f>Lineup!$G$2</f>
        <v>20210817</v>
      </c>
      <c r="BJ178" s="4" t="str">
        <f t="shared" si="12"/>
        <v>偏內角偏高</v>
      </c>
      <c r="BK178" s="4" t="str">
        <f t="shared" si="18"/>
        <v>BO</v>
      </c>
      <c r="BL178" s="4" t="str">
        <f>IFERROR(VLOOKUP('HomeAttackPlay-by-Play'!E178,Roster!$L$2:$M$27,2,FALSE),"")</f>
        <v/>
      </c>
      <c r="BP178" s="48" t="str">
        <f>IF(BO178&lt;&gt;"",HYPERLINK(video!$F$29&amp;"\"&amp;"cam_1_"&amp;$BO178&amp;".avi","Play"),"")</f>
        <v/>
      </c>
      <c r="BQ178" s="48" t="str">
        <f>IF(BO178&lt;&gt;"",HYPERLINK(video!$F$29&amp;"\"&amp;"cam_2_"&amp;$BO178&amp;".avi","Play"),"")</f>
        <v/>
      </c>
      <c r="BR178" s="48" t="str">
        <f>IF(BO178&lt;&gt;"",HYPERLINK(video!$F$29&amp;"\"&amp;"cam_3_"&amp;$BO178&amp;".avi","Play"),"")</f>
        <v/>
      </c>
      <c r="BS178" s="48" t="str">
        <f>IF(BV178&lt;&gt;"",HYPERLINK(video!$F$25&amp;"\"&amp;"cam_4_"&amp;$BV178&amp;".avi","Play"),"")</f>
        <v/>
      </c>
      <c r="BT178" s="48" t="str">
        <f>IF(BV178&lt;&gt;"",HYPERLINK(video!$F$25&amp;"\"&amp;"cam_5_"&amp;$BV178&amp;".avi","Play"),"")</f>
        <v/>
      </c>
      <c r="BU178" s="48" t="str">
        <f>IF(BV178&lt;&gt;"",HYPERLINK(video!$F$25&amp;"\"&amp;"cam_6_"&amp;$BV178&amp;".avi","Play"),"")</f>
        <v/>
      </c>
      <c r="BY178" s="4">
        <f t="shared" si="10"/>
        <v>186</v>
      </c>
      <c r="BZ178" s="4">
        <f t="shared" si="11"/>
        <v>246</v>
      </c>
      <c r="CD178" s="5" t="str">
        <f>Lineup!$G$1</f>
        <v>一軍例行賽</v>
      </c>
      <c r="CE178" s="4">
        <f>Lineup!$I$1</f>
        <v>148</v>
      </c>
      <c r="CF178" s="5" t="str">
        <f>Lineup!$G$5</f>
        <v>王俊宏</v>
      </c>
      <c r="CG178" s="5" t="str">
        <f>Lineup!$G$4</f>
        <v>桃園</v>
      </c>
    </row>
    <row r="179" spans="1:85" x14ac:dyDescent="0.3">
      <c r="A179" s="43"/>
      <c r="AX179" s="4" t="str">
        <f>IFERROR(VLOOKUP(M179,Roster!$D$2:$E$27,2,FALSE),"")</f>
        <v/>
      </c>
      <c r="AY179" s="4" t="str">
        <f t="shared" si="17"/>
        <v>好壞</v>
      </c>
      <c r="BI179" s="5" t="str">
        <f>Lineup!$G$2</f>
        <v>20210817</v>
      </c>
      <c r="BJ179" s="4" t="str">
        <f t="shared" si="12"/>
        <v>偏內角偏高</v>
      </c>
      <c r="BK179" s="4" t="str">
        <f t="shared" si="18"/>
        <v>BO</v>
      </c>
      <c r="BL179" s="4" t="str">
        <f>IFERROR(VLOOKUP('HomeAttackPlay-by-Play'!E179,Roster!$L$2:$M$27,2,FALSE),"")</f>
        <v/>
      </c>
      <c r="BP179" s="48" t="str">
        <f>IF(BO179&lt;&gt;"",HYPERLINK(video!$F$29&amp;"\"&amp;"cam_1_"&amp;$BO179&amp;".avi","Play"),"")</f>
        <v/>
      </c>
      <c r="BQ179" s="48" t="str">
        <f>IF(BO179&lt;&gt;"",HYPERLINK(video!$F$29&amp;"\"&amp;"cam_2_"&amp;$BO179&amp;".avi","Play"),"")</f>
        <v/>
      </c>
      <c r="BR179" s="48" t="str">
        <f>IF(BO179&lt;&gt;"",HYPERLINK(video!$F$29&amp;"\"&amp;"cam_3_"&amp;$BO179&amp;".avi","Play"),"")</f>
        <v/>
      </c>
      <c r="BS179" s="48" t="str">
        <f>IF(BV179&lt;&gt;"",HYPERLINK(video!$F$25&amp;"\"&amp;"cam_4_"&amp;$BV179&amp;".avi","Play"),"")</f>
        <v/>
      </c>
      <c r="BT179" s="48" t="str">
        <f>IF(BV179&lt;&gt;"",HYPERLINK(video!$F$25&amp;"\"&amp;"cam_5_"&amp;$BV179&amp;".avi","Play"),"")</f>
        <v/>
      </c>
      <c r="BU179" s="48" t="str">
        <f>IF(BV179&lt;&gt;"",HYPERLINK(video!$F$25&amp;"\"&amp;"cam_6_"&amp;$BV179&amp;".avi","Play"),"")</f>
        <v/>
      </c>
      <c r="BY179" s="4">
        <f t="shared" si="10"/>
        <v>186</v>
      </c>
      <c r="BZ179" s="4">
        <f t="shared" si="11"/>
        <v>246</v>
      </c>
      <c r="CD179" s="5" t="str">
        <f>Lineup!$G$1</f>
        <v>一軍例行賽</v>
      </c>
      <c r="CE179" s="4">
        <f>Lineup!$I$1</f>
        <v>148</v>
      </c>
      <c r="CF179" s="5" t="str">
        <f>Lineup!$G$5</f>
        <v>王俊宏</v>
      </c>
      <c r="CG179" s="5" t="str">
        <f>Lineup!$G$4</f>
        <v>桃園</v>
      </c>
    </row>
    <row r="180" spans="1:85" x14ac:dyDescent="0.3">
      <c r="A180" s="43"/>
      <c r="AX180" s="4" t="str">
        <f>IFERROR(VLOOKUP(M180,Roster!$D$2:$E$27,2,FALSE),"")</f>
        <v/>
      </c>
      <c r="AY180" s="4" t="str">
        <f t="shared" si="17"/>
        <v>好壞</v>
      </c>
      <c r="BI180" s="5" t="str">
        <f>Lineup!$G$2</f>
        <v>20210817</v>
      </c>
      <c r="BJ180" s="4" t="str">
        <f t="shared" si="12"/>
        <v>偏內角偏高</v>
      </c>
      <c r="BK180" s="4" t="str">
        <f t="shared" si="18"/>
        <v>BO</v>
      </c>
      <c r="BL180" s="4" t="str">
        <f>IFERROR(VLOOKUP('HomeAttackPlay-by-Play'!E180,Roster!$L$2:$M$27,2,FALSE),"")</f>
        <v/>
      </c>
      <c r="BP180" s="48" t="str">
        <f>IF(BO180&lt;&gt;"",HYPERLINK(video!$F$29&amp;"\"&amp;"cam_1_"&amp;$BO180&amp;".avi","Play"),"")</f>
        <v/>
      </c>
      <c r="BQ180" s="48" t="str">
        <f>IF(BO180&lt;&gt;"",HYPERLINK(video!$F$29&amp;"\"&amp;"cam_2_"&amp;$BO180&amp;".avi","Play"),"")</f>
        <v/>
      </c>
      <c r="BR180" s="48" t="str">
        <f>IF(BO180&lt;&gt;"",HYPERLINK(video!$F$29&amp;"\"&amp;"cam_3_"&amp;$BO180&amp;".avi","Play"),"")</f>
        <v/>
      </c>
      <c r="BS180" s="48" t="str">
        <f>IF(BV180&lt;&gt;"",HYPERLINK(video!$F$25&amp;"\"&amp;"cam_4_"&amp;$BV180&amp;".avi","Play"),"")</f>
        <v/>
      </c>
      <c r="BT180" s="48" t="str">
        <f>IF(BV180&lt;&gt;"",HYPERLINK(video!$F$25&amp;"\"&amp;"cam_5_"&amp;$BV180&amp;".avi","Play"),"")</f>
        <v/>
      </c>
      <c r="BU180" s="48" t="str">
        <f>IF(BV180&lt;&gt;"",HYPERLINK(video!$F$25&amp;"\"&amp;"cam_6_"&amp;$BV180&amp;".avi","Play"),"")</f>
        <v/>
      </c>
      <c r="BY180" s="4">
        <f t="shared" si="10"/>
        <v>186</v>
      </c>
      <c r="BZ180" s="4">
        <f t="shared" si="11"/>
        <v>246</v>
      </c>
      <c r="CD180" s="5" t="str">
        <f>Lineup!$G$1</f>
        <v>一軍例行賽</v>
      </c>
      <c r="CE180" s="4">
        <f>Lineup!$I$1</f>
        <v>148</v>
      </c>
      <c r="CF180" s="5" t="str">
        <f>Lineup!$G$5</f>
        <v>王俊宏</v>
      </c>
      <c r="CG180" s="5" t="str">
        <f>Lineup!$G$4</f>
        <v>桃園</v>
      </c>
    </row>
    <row r="181" spans="1:85" x14ac:dyDescent="0.3">
      <c r="A181" s="43"/>
      <c r="AX181" s="4" t="str">
        <f>IFERROR(VLOOKUP(M181,Roster!$D$2:$E$27,2,FALSE),"")</f>
        <v/>
      </c>
      <c r="AY181" s="4" t="str">
        <f t="shared" si="17"/>
        <v>好壞</v>
      </c>
      <c r="BI181" s="5" t="str">
        <f>Lineup!$G$2</f>
        <v>20210817</v>
      </c>
      <c r="BJ181" s="4" t="str">
        <f t="shared" si="12"/>
        <v>偏內角偏高</v>
      </c>
      <c r="BK181" s="4" t="str">
        <f t="shared" si="18"/>
        <v>BO</v>
      </c>
      <c r="BL181" s="4" t="str">
        <f>IFERROR(VLOOKUP('HomeAttackPlay-by-Play'!E181,Roster!$L$2:$M$27,2,FALSE),"")</f>
        <v/>
      </c>
      <c r="BP181" s="48" t="str">
        <f>IF(BO181&lt;&gt;"",HYPERLINK(video!$F$29&amp;"\"&amp;"cam_1_"&amp;$BO181&amp;".avi","Play"),"")</f>
        <v/>
      </c>
      <c r="BQ181" s="48" t="str">
        <f>IF(BO181&lt;&gt;"",HYPERLINK(video!$F$29&amp;"\"&amp;"cam_2_"&amp;$BO181&amp;".avi","Play"),"")</f>
        <v/>
      </c>
      <c r="BR181" s="48" t="str">
        <f>IF(BO181&lt;&gt;"",HYPERLINK(video!$F$29&amp;"\"&amp;"cam_3_"&amp;$BO181&amp;".avi","Play"),"")</f>
        <v/>
      </c>
      <c r="BS181" s="48" t="str">
        <f>IF(BV181&lt;&gt;"",HYPERLINK(video!$F$25&amp;"\"&amp;"cam_4_"&amp;$BV181&amp;".avi","Play"),"")</f>
        <v/>
      </c>
      <c r="BT181" s="48" t="str">
        <f>IF(BV181&lt;&gt;"",HYPERLINK(video!$F$25&amp;"\"&amp;"cam_5_"&amp;$BV181&amp;".avi","Play"),"")</f>
        <v/>
      </c>
      <c r="BU181" s="48" t="str">
        <f>IF(BV181&lt;&gt;"",HYPERLINK(video!$F$25&amp;"\"&amp;"cam_6_"&amp;$BV181&amp;".avi","Play"),"")</f>
        <v/>
      </c>
      <c r="BY181" s="4">
        <f t="shared" si="10"/>
        <v>186</v>
      </c>
      <c r="BZ181" s="4">
        <f t="shared" si="11"/>
        <v>246</v>
      </c>
      <c r="CD181" s="5" t="str">
        <f>Lineup!$G$1</f>
        <v>一軍例行賽</v>
      </c>
      <c r="CE181" s="4">
        <f>Lineup!$I$1</f>
        <v>148</v>
      </c>
      <c r="CF181" s="5" t="str">
        <f>Lineup!$G$5</f>
        <v>王俊宏</v>
      </c>
      <c r="CG181" s="5" t="str">
        <f>Lineup!$G$4</f>
        <v>桃園</v>
      </c>
    </row>
    <row r="182" spans="1:85" x14ac:dyDescent="0.3">
      <c r="A182" s="43"/>
      <c r="AX182" s="4" t="str">
        <f>IFERROR(VLOOKUP(M182,Roster!$D$2:$E$27,2,FALSE),"")</f>
        <v/>
      </c>
      <c r="AY182" s="4" t="str">
        <f t="shared" si="17"/>
        <v>好壞</v>
      </c>
      <c r="BI182" s="5" t="str">
        <f>Lineup!$G$2</f>
        <v>20210817</v>
      </c>
      <c r="BJ182" s="4" t="str">
        <f t="shared" si="12"/>
        <v>偏內角偏高</v>
      </c>
      <c r="BK182" s="4" t="str">
        <f t="shared" si="18"/>
        <v>BO</v>
      </c>
      <c r="BL182" s="4" t="str">
        <f>IFERROR(VLOOKUP('HomeAttackPlay-by-Play'!E182,Roster!$L$2:$M$27,2,FALSE),"")</f>
        <v/>
      </c>
      <c r="BP182" s="48" t="str">
        <f>IF(BO182&lt;&gt;"",HYPERLINK(video!$F$29&amp;"\"&amp;"cam_1_"&amp;$BO182&amp;".avi","Play"),"")</f>
        <v/>
      </c>
      <c r="BQ182" s="48" t="str">
        <f>IF(BO182&lt;&gt;"",HYPERLINK(video!$F$29&amp;"\"&amp;"cam_2_"&amp;$BO182&amp;".avi","Play"),"")</f>
        <v/>
      </c>
      <c r="BR182" s="48" t="str">
        <f>IF(BO182&lt;&gt;"",HYPERLINK(video!$F$29&amp;"\"&amp;"cam_3_"&amp;$BO182&amp;".avi","Play"),"")</f>
        <v/>
      </c>
      <c r="BS182" s="48" t="str">
        <f>IF(BV182&lt;&gt;"",HYPERLINK(video!$F$25&amp;"\"&amp;"cam_4_"&amp;$BV182&amp;".avi","Play"),"")</f>
        <v/>
      </c>
      <c r="BT182" s="48" t="str">
        <f>IF(BV182&lt;&gt;"",HYPERLINK(video!$F$25&amp;"\"&amp;"cam_5_"&amp;$BV182&amp;".avi","Play"),"")</f>
        <v/>
      </c>
      <c r="BU182" s="48" t="str">
        <f>IF(BV182&lt;&gt;"",HYPERLINK(video!$F$25&amp;"\"&amp;"cam_6_"&amp;$BV182&amp;".avi","Play"),"")</f>
        <v/>
      </c>
      <c r="BY182" s="4">
        <f t="shared" si="10"/>
        <v>186</v>
      </c>
      <c r="BZ182" s="4">
        <f t="shared" si="11"/>
        <v>246</v>
      </c>
      <c r="CD182" s="5" t="str">
        <f>Lineup!$G$1</f>
        <v>一軍例行賽</v>
      </c>
      <c r="CE182" s="4">
        <f>Lineup!$I$1</f>
        <v>148</v>
      </c>
      <c r="CF182" s="5" t="str">
        <f>Lineup!$G$5</f>
        <v>王俊宏</v>
      </c>
      <c r="CG182" s="5" t="str">
        <f>Lineup!$G$4</f>
        <v>桃園</v>
      </c>
    </row>
    <row r="183" spans="1:85" x14ac:dyDescent="0.3">
      <c r="A183" s="43"/>
      <c r="AX183" s="4" t="str">
        <f>IFERROR(VLOOKUP(M183,Roster!$D$2:$E$27,2,FALSE),"")</f>
        <v/>
      </c>
      <c r="AY183" s="4" t="str">
        <f t="shared" si="17"/>
        <v>好壞</v>
      </c>
      <c r="BI183" s="5" t="str">
        <f>Lineup!$G$2</f>
        <v>20210817</v>
      </c>
      <c r="BJ183" s="4" t="str">
        <f t="shared" si="12"/>
        <v>偏內角偏高</v>
      </c>
      <c r="BK183" s="4" t="str">
        <f t="shared" si="18"/>
        <v>BO</v>
      </c>
      <c r="BL183" s="4" t="str">
        <f>IFERROR(VLOOKUP('HomeAttackPlay-by-Play'!E183,Roster!$L$2:$M$27,2,FALSE),"")</f>
        <v/>
      </c>
      <c r="BP183" s="48" t="str">
        <f>IF(BO183&lt;&gt;"",HYPERLINK(video!$F$29&amp;"\"&amp;"cam_1_"&amp;$BO183&amp;".avi","Play"),"")</f>
        <v/>
      </c>
      <c r="BQ183" s="48" t="str">
        <f>IF(BO183&lt;&gt;"",HYPERLINK(video!$F$29&amp;"\"&amp;"cam_2_"&amp;$BO183&amp;".avi","Play"),"")</f>
        <v/>
      </c>
      <c r="BR183" s="48" t="str">
        <f>IF(BO183&lt;&gt;"",HYPERLINK(video!$F$29&amp;"\"&amp;"cam_3_"&amp;$BO183&amp;".avi","Play"),"")</f>
        <v/>
      </c>
      <c r="BS183" s="48" t="str">
        <f>IF(BV183&lt;&gt;"",HYPERLINK(video!$F$25&amp;"\"&amp;"cam_4_"&amp;$BV183&amp;".avi","Play"),"")</f>
        <v/>
      </c>
      <c r="BT183" s="48" t="str">
        <f>IF(BV183&lt;&gt;"",HYPERLINK(video!$F$25&amp;"\"&amp;"cam_5_"&amp;$BV183&amp;".avi","Play"),"")</f>
        <v/>
      </c>
      <c r="BU183" s="48" t="str">
        <f>IF(BV183&lt;&gt;"",HYPERLINK(video!$F$25&amp;"\"&amp;"cam_6_"&amp;$BV183&amp;".avi","Play"),"")</f>
        <v/>
      </c>
      <c r="BY183" s="4">
        <f t="shared" ref="BY183:BY246" si="19">186-P183</f>
        <v>186</v>
      </c>
      <c r="BZ183" s="4">
        <f t="shared" ref="BZ183:BZ246" si="20">246-T183</f>
        <v>246</v>
      </c>
      <c r="CD183" s="5" t="str">
        <f>Lineup!$G$1</f>
        <v>一軍例行賽</v>
      </c>
      <c r="CE183" s="4">
        <f>Lineup!$I$1</f>
        <v>148</v>
      </c>
      <c r="CF183" s="5" t="str">
        <f>Lineup!$G$5</f>
        <v>王俊宏</v>
      </c>
      <c r="CG183" s="5" t="str">
        <f>Lineup!$G$4</f>
        <v>桃園</v>
      </c>
    </row>
    <row r="184" spans="1:85" x14ac:dyDescent="0.3">
      <c r="A184" s="43"/>
      <c r="AX184" s="4" t="str">
        <f>IFERROR(VLOOKUP(M184,Roster!$D$2:$E$27,2,FALSE),"")</f>
        <v/>
      </c>
      <c r="AY184" s="4" t="str">
        <f t="shared" ref="AY184:AY247" si="21">IF(M184=M183,AS184&amp;"好"&amp;AT184&amp;"壞","0好0壞")</f>
        <v>好壞</v>
      </c>
      <c r="BI184" s="5" t="str">
        <f>Lineup!$G$2</f>
        <v>20210817</v>
      </c>
      <c r="BJ184" s="4" t="str">
        <f t="shared" ref="BJ184:BJ239" si="22">IF(AX184="R",IF(O184&lt;46.8,"偏外角",IF(O184&lt;65.5,"外角",IF(O184&lt;84.4,"中",IF(O184 &lt; 103.2,"內角","偏內角"))))&amp;IF(P184&lt;57,"偏高",IF(P184&lt;79.8,"高",IF(P184&lt;102.7,"中",IF(P184 &lt; 125.5,"低","偏低")))),IF(O184&lt;46.8,"偏內角",IF(O184&lt;65.5,"內角",IF(O184&lt;84.4,"中",IF(O184 &lt; 103.2,"外角","偏外角"))))&amp;IF(P184&lt;57,"偏高",IF(P184&lt;79.8,"高",IF(P184&lt;102.7,"中",IF(P184 &lt; 125.5,"低","偏低"))))
)</f>
        <v>偏內角偏高</v>
      </c>
      <c r="BK184" s="4" t="str">
        <f t="shared" ref="BK184:BK239" si="23">IF(AB183&lt;&gt;"","1","")&amp;IF(AC183&lt;&gt;"","2","")&amp;IF(AD183&lt;&gt;"","3","")&amp;"B"&amp;J183&amp;"O"</f>
        <v>BO</v>
      </c>
      <c r="BL184" s="4" t="str">
        <f>IFERROR(VLOOKUP('HomeAttackPlay-by-Play'!E184,Roster!$L$2:$M$27,2,FALSE),"")</f>
        <v/>
      </c>
      <c r="BP184" s="48" t="str">
        <f>IF(BO184&lt;&gt;"",HYPERLINK(video!$F$29&amp;"\"&amp;"cam_1_"&amp;$BO184&amp;".avi","Play"),"")</f>
        <v/>
      </c>
      <c r="BQ184" s="48" t="str">
        <f>IF(BO184&lt;&gt;"",HYPERLINK(video!$F$29&amp;"\"&amp;"cam_2_"&amp;$BO184&amp;".avi","Play"),"")</f>
        <v/>
      </c>
      <c r="BR184" s="48" t="str">
        <f>IF(BO184&lt;&gt;"",HYPERLINK(video!$F$29&amp;"\"&amp;"cam_3_"&amp;$BO184&amp;".avi","Play"),"")</f>
        <v/>
      </c>
      <c r="BS184" s="48" t="str">
        <f>IF(BV184&lt;&gt;"",HYPERLINK(video!$F$25&amp;"\"&amp;"cam_4_"&amp;$BV184&amp;".avi","Play"),"")</f>
        <v/>
      </c>
      <c r="BT184" s="48" t="str">
        <f>IF(BV184&lt;&gt;"",HYPERLINK(video!$F$25&amp;"\"&amp;"cam_5_"&amp;$BV184&amp;".avi","Play"),"")</f>
        <v/>
      </c>
      <c r="BU184" s="48" t="str">
        <f>IF(BV184&lt;&gt;"",HYPERLINK(video!$F$25&amp;"\"&amp;"cam_6_"&amp;$BV184&amp;".avi","Play"),"")</f>
        <v/>
      </c>
      <c r="BY184" s="4">
        <f t="shared" si="19"/>
        <v>186</v>
      </c>
      <c r="BZ184" s="4">
        <f t="shared" si="20"/>
        <v>246</v>
      </c>
      <c r="CD184" s="5" t="str">
        <f>Lineup!$G$1</f>
        <v>一軍例行賽</v>
      </c>
      <c r="CE184" s="4">
        <f>Lineup!$I$1</f>
        <v>148</v>
      </c>
      <c r="CF184" s="5" t="str">
        <f>Lineup!$G$5</f>
        <v>王俊宏</v>
      </c>
      <c r="CG184" s="5" t="str">
        <f>Lineup!$G$4</f>
        <v>桃園</v>
      </c>
    </row>
    <row r="185" spans="1:85" x14ac:dyDescent="0.3">
      <c r="A185" s="43"/>
      <c r="AX185" s="4" t="str">
        <f>IFERROR(VLOOKUP(M185,Roster!$D$2:$E$27,2,FALSE),"")</f>
        <v/>
      </c>
      <c r="AY185" s="4" t="str">
        <f t="shared" si="21"/>
        <v>好壞</v>
      </c>
      <c r="BI185" s="5" t="str">
        <f>Lineup!$G$2</f>
        <v>20210817</v>
      </c>
      <c r="BJ185" s="4" t="str">
        <f t="shared" si="22"/>
        <v>偏內角偏高</v>
      </c>
      <c r="BK185" s="4" t="str">
        <f t="shared" si="23"/>
        <v>BO</v>
      </c>
      <c r="BL185" s="4" t="str">
        <f>IFERROR(VLOOKUP('HomeAttackPlay-by-Play'!E185,Roster!$L$2:$M$27,2,FALSE),"")</f>
        <v/>
      </c>
      <c r="BP185" s="48" t="str">
        <f>IF(BO185&lt;&gt;"",HYPERLINK(video!$F$29&amp;"\"&amp;"cam_1_"&amp;$BO185&amp;".avi","Play"),"")</f>
        <v/>
      </c>
      <c r="BQ185" s="48" t="str">
        <f>IF(BO185&lt;&gt;"",HYPERLINK(video!$F$29&amp;"\"&amp;"cam_2_"&amp;$BO185&amp;".avi","Play"),"")</f>
        <v/>
      </c>
      <c r="BR185" s="48" t="str">
        <f>IF(BO185&lt;&gt;"",HYPERLINK(video!$F$29&amp;"\"&amp;"cam_3_"&amp;$BO185&amp;".avi","Play"),"")</f>
        <v/>
      </c>
      <c r="BS185" s="48" t="str">
        <f>IF(BV185&lt;&gt;"",HYPERLINK(video!$F$25&amp;"\"&amp;"cam_4_"&amp;$BV185&amp;".avi","Play"),"")</f>
        <v/>
      </c>
      <c r="BT185" s="48" t="str">
        <f>IF(BV185&lt;&gt;"",HYPERLINK(video!$F$25&amp;"\"&amp;"cam_5_"&amp;$BV185&amp;".avi","Play"),"")</f>
        <v/>
      </c>
      <c r="BU185" s="48" t="str">
        <f>IF(BV185&lt;&gt;"",HYPERLINK(video!$F$25&amp;"\"&amp;"cam_6_"&amp;$BV185&amp;".avi","Play"),"")</f>
        <v/>
      </c>
      <c r="BY185" s="4">
        <f t="shared" si="19"/>
        <v>186</v>
      </c>
      <c r="BZ185" s="4">
        <f t="shared" si="20"/>
        <v>246</v>
      </c>
      <c r="CD185" s="5" t="str">
        <f>Lineup!$G$1</f>
        <v>一軍例行賽</v>
      </c>
      <c r="CE185" s="4">
        <f>Lineup!$I$1</f>
        <v>148</v>
      </c>
      <c r="CF185" s="5" t="str">
        <f>Lineup!$G$5</f>
        <v>王俊宏</v>
      </c>
      <c r="CG185" s="5" t="str">
        <f>Lineup!$G$4</f>
        <v>桃園</v>
      </c>
    </row>
    <row r="186" spans="1:85" x14ac:dyDescent="0.3">
      <c r="A186" s="43"/>
      <c r="AX186" s="4" t="str">
        <f>IFERROR(VLOOKUP(M186,Roster!$D$2:$E$27,2,FALSE),"")</f>
        <v/>
      </c>
      <c r="AY186" s="4" t="str">
        <f t="shared" si="21"/>
        <v>好壞</v>
      </c>
      <c r="BI186" s="5" t="str">
        <f>Lineup!$G$2</f>
        <v>20210817</v>
      </c>
      <c r="BJ186" s="4" t="str">
        <f t="shared" si="22"/>
        <v>偏內角偏高</v>
      </c>
      <c r="BK186" s="4" t="str">
        <f t="shared" si="23"/>
        <v>BO</v>
      </c>
      <c r="BL186" s="4" t="str">
        <f>IFERROR(VLOOKUP('HomeAttackPlay-by-Play'!E186,Roster!$L$2:$M$27,2,FALSE),"")</f>
        <v/>
      </c>
      <c r="BP186" s="48" t="str">
        <f>IF(BO186&lt;&gt;"",HYPERLINK(video!$F$29&amp;"\"&amp;"cam_1_"&amp;$BO186&amp;".avi","Play"),"")</f>
        <v/>
      </c>
      <c r="BQ186" s="48" t="str">
        <f>IF(BO186&lt;&gt;"",HYPERLINK(video!$F$29&amp;"\"&amp;"cam_2_"&amp;$BO186&amp;".avi","Play"),"")</f>
        <v/>
      </c>
      <c r="BR186" s="48" t="str">
        <f>IF(BO186&lt;&gt;"",HYPERLINK(video!$F$29&amp;"\"&amp;"cam_3_"&amp;$BO186&amp;".avi","Play"),"")</f>
        <v/>
      </c>
      <c r="BS186" s="48" t="str">
        <f>IF(BV186&lt;&gt;"",HYPERLINK(video!$F$25&amp;"\"&amp;"cam_4_"&amp;$BV186&amp;".avi","Play"),"")</f>
        <v/>
      </c>
      <c r="BT186" s="48" t="str">
        <f>IF(BV186&lt;&gt;"",HYPERLINK(video!$F$25&amp;"\"&amp;"cam_5_"&amp;$BV186&amp;".avi","Play"),"")</f>
        <v/>
      </c>
      <c r="BU186" s="48" t="str">
        <f>IF(BV186&lt;&gt;"",HYPERLINK(video!$F$25&amp;"\"&amp;"cam_6_"&amp;$BV186&amp;".avi","Play"),"")</f>
        <v/>
      </c>
      <c r="BY186" s="4">
        <f t="shared" si="19"/>
        <v>186</v>
      </c>
      <c r="BZ186" s="4">
        <f t="shared" si="20"/>
        <v>246</v>
      </c>
      <c r="CD186" s="5" t="str">
        <f>Lineup!$G$1</f>
        <v>一軍例行賽</v>
      </c>
      <c r="CE186" s="4">
        <f>Lineup!$I$1</f>
        <v>148</v>
      </c>
      <c r="CF186" s="5" t="str">
        <f>Lineup!$G$5</f>
        <v>王俊宏</v>
      </c>
      <c r="CG186" s="5" t="str">
        <f>Lineup!$G$4</f>
        <v>桃園</v>
      </c>
    </row>
    <row r="187" spans="1:85" x14ac:dyDescent="0.3">
      <c r="A187" s="43"/>
      <c r="AX187" s="4" t="str">
        <f>IFERROR(VLOOKUP(M187,Roster!$D$2:$E$27,2,FALSE),"")</f>
        <v/>
      </c>
      <c r="AY187" s="4" t="str">
        <f t="shared" si="21"/>
        <v>好壞</v>
      </c>
      <c r="BI187" s="5" t="str">
        <f>Lineup!$G$2</f>
        <v>20210817</v>
      </c>
      <c r="BJ187" s="4" t="str">
        <f t="shared" si="22"/>
        <v>偏內角偏高</v>
      </c>
      <c r="BK187" s="4" t="str">
        <f t="shared" si="23"/>
        <v>BO</v>
      </c>
      <c r="BL187" s="4" t="str">
        <f>IFERROR(VLOOKUP('HomeAttackPlay-by-Play'!E187,Roster!$L$2:$M$27,2,FALSE),"")</f>
        <v/>
      </c>
      <c r="BP187" s="48" t="str">
        <f>IF(BO187&lt;&gt;"",HYPERLINK(video!$F$29&amp;"\"&amp;"cam_1_"&amp;$BO187&amp;".avi","Play"),"")</f>
        <v/>
      </c>
      <c r="BQ187" s="48" t="str">
        <f>IF(BO187&lt;&gt;"",HYPERLINK(video!$F$29&amp;"\"&amp;"cam_2_"&amp;$BO187&amp;".avi","Play"),"")</f>
        <v/>
      </c>
      <c r="BR187" s="48" t="str">
        <f>IF(BO187&lt;&gt;"",HYPERLINK(video!$F$29&amp;"\"&amp;"cam_3_"&amp;$BO187&amp;".avi","Play"),"")</f>
        <v/>
      </c>
      <c r="BS187" s="48" t="str">
        <f>IF(BV187&lt;&gt;"",HYPERLINK(video!$F$25&amp;"\"&amp;"cam_4_"&amp;$BV187&amp;".avi","Play"),"")</f>
        <v/>
      </c>
      <c r="BT187" s="48" t="str">
        <f>IF(BV187&lt;&gt;"",HYPERLINK(video!$F$25&amp;"\"&amp;"cam_5_"&amp;$BV187&amp;".avi","Play"),"")</f>
        <v/>
      </c>
      <c r="BU187" s="48" t="str">
        <f>IF(BV187&lt;&gt;"",HYPERLINK(video!$F$25&amp;"\"&amp;"cam_6_"&amp;$BV187&amp;".avi","Play"),"")</f>
        <v/>
      </c>
      <c r="BY187" s="4">
        <f t="shared" si="19"/>
        <v>186</v>
      </c>
      <c r="BZ187" s="4">
        <f t="shared" si="20"/>
        <v>246</v>
      </c>
      <c r="CD187" s="5" t="str">
        <f>Lineup!$G$1</f>
        <v>一軍例行賽</v>
      </c>
      <c r="CE187" s="4">
        <f>Lineup!$I$1</f>
        <v>148</v>
      </c>
      <c r="CF187" s="5" t="str">
        <f>Lineup!$G$5</f>
        <v>王俊宏</v>
      </c>
      <c r="CG187" s="5" t="str">
        <f>Lineup!$G$4</f>
        <v>桃園</v>
      </c>
    </row>
    <row r="188" spans="1:85" x14ac:dyDescent="0.3">
      <c r="A188" s="43"/>
      <c r="AX188" s="4" t="str">
        <f>IFERROR(VLOOKUP(M188,Roster!$D$2:$E$27,2,FALSE),"")</f>
        <v/>
      </c>
      <c r="AY188" s="4" t="str">
        <f t="shared" si="21"/>
        <v>好壞</v>
      </c>
      <c r="BI188" s="5" t="str">
        <f>Lineup!$G$2</f>
        <v>20210817</v>
      </c>
      <c r="BJ188" s="4" t="str">
        <f t="shared" si="22"/>
        <v>偏內角偏高</v>
      </c>
      <c r="BK188" s="4" t="str">
        <f t="shared" si="23"/>
        <v>BO</v>
      </c>
      <c r="BL188" s="4" t="str">
        <f>IFERROR(VLOOKUP('HomeAttackPlay-by-Play'!E188,Roster!$L$2:$M$27,2,FALSE),"")</f>
        <v/>
      </c>
      <c r="BP188" s="48" t="str">
        <f>IF(BO188&lt;&gt;"",HYPERLINK(video!$F$29&amp;"\"&amp;"cam_1_"&amp;$BO188&amp;".avi","Play"),"")</f>
        <v/>
      </c>
      <c r="BQ188" s="48" t="str">
        <f>IF(BO188&lt;&gt;"",HYPERLINK(video!$F$29&amp;"\"&amp;"cam_2_"&amp;$BO188&amp;".avi","Play"),"")</f>
        <v/>
      </c>
      <c r="BR188" s="48" t="str">
        <f>IF(BO188&lt;&gt;"",HYPERLINK(video!$F$29&amp;"\"&amp;"cam_3_"&amp;$BO188&amp;".avi","Play"),"")</f>
        <v/>
      </c>
      <c r="BS188" s="48" t="str">
        <f>IF(BV188&lt;&gt;"",HYPERLINK(video!$F$25&amp;"\"&amp;"cam_4_"&amp;$BV188&amp;".avi","Play"),"")</f>
        <v/>
      </c>
      <c r="BT188" s="48" t="str">
        <f>IF(BV188&lt;&gt;"",HYPERLINK(video!$F$25&amp;"\"&amp;"cam_5_"&amp;$BV188&amp;".avi","Play"),"")</f>
        <v/>
      </c>
      <c r="BU188" s="48" t="str">
        <f>IF(BV188&lt;&gt;"",HYPERLINK(video!$F$25&amp;"\"&amp;"cam_6_"&amp;$BV188&amp;".avi","Play"),"")</f>
        <v/>
      </c>
      <c r="BY188" s="4">
        <f t="shared" si="19"/>
        <v>186</v>
      </c>
      <c r="BZ188" s="4">
        <f t="shared" si="20"/>
        <v>246</v>
      </c>
      <c r="CD188" s="5" t="str">
        <f>Lineup!$G$1</f>
        <v>一軍例行賽</v>
      </c>
      <c r="CE188" s="4">
        <f>Lineup!$I$1</f>
        <v>148</v>
      </c>
      <c r="CF188" s="5" t="str">
        <f>Lineup!$G$5</f>
        <v>王俊宏</v>
      </c>
      <c r="CG188" s="5" t="str">
        <f>Lineup!$G$4</f>
        <v>桃園</v>
      </c>
    </row>
    <row r="189" spans="1:85" x14ac:dyDescent="0.3">
      <c r="A189" s="43"/>
      <c r="AX189" s="4" t="str">
        <f>IFERROR(VLOOKUP(M189,Roster!$D$2:$E$27,2,FALSE),"")</f>
        <v/>
      </c>
      <c r="AY189" s="4" t="str">
        <f t="shared" si="21"/>
        <v>好壞</v>
      </c>
      <c r="BI189" s="5" t="str">
        <f>Lineup!$G$2</f>
        <v>20210817</v>
      </c>
      <c r="BJ189" s="4" t="str">
        <f t="shared" si="22"/>
        <v>偏內角偏高</v>
      </c>
      <c r="BK189" s="4" t="str">
        <f t="shared" si="23"/>
        <v>BO</v>
      </c>
      <c r="BL189" s="4" t="str">
        <f>IFERROR(VLOOKUP('HomeAttackPlay-by-Play'!E189,Roster!$L$2:$M$27,2,FALSE),"")</f>
        <v/>
      </c>
      <c r="BP189" s="48" t="str">
        <f>IF(BO189&lt;&gt;"",HYPERLINK(video!$F$29&amp;"\"&amp;"cam_1_"&amp;$BO189&amp;".avi","Play"),"")</f>
        <v/>
      </c>
      <c r="BQ189" s="48" t="str">
        <f>IF(BO189&lt;&gt;"",HYPERLINK(video!$F$29&amp;"\"&amp;"cam_2_"&amp;$BO189&amp;".avi","Play"),"")</f>
        <v/>
      </c>
      <c r="BR189" s="48" t="str">
        <f>IF(BO189&lt;&gt;"",HYPERLINK(video!$F$29&amp;"\"&amp;"cam_3_"&amp;$BO189&amp;".avi","Play"),"")</f>
        <v/>
      </c>
      <c r="BS189" s="48" t="str">
        <f>IF(BV189&lt;&gt;"",HYPERLINK(video!$F$25&amp;"\"&amp;"cam_4_"&amp;$BV189&amp;".avi","Play"),"")</f>
        <v/>
      </c>
      <c r="BT189" s="48" t="str">
        <f>IF(BV189&lt;&gt;"",HYPERLINK(video!$F$25&amp;"\"&amp;"cam_5_"&amp;$BV189&amp;".avi","Play"),"")</f>
        <v/>
      </c>
      <c r="BU189" s="48" t="str">
        <f>IF(BV189&lt;&gt;"",HYPERLINK(video!$F$25&amp;"\"&amp;"cam_6_"&amp;$BV189&amp;".avi","Play"),"")</f>
        <v/>
      </c>
      <c r="BY189" s="4">
        <f t="shared" si="19"/>
        <v>186</v>
      </c>
      <c r="BZ189" s="4">
        <f t="shared" si="20"/>
        <v>246</v>
      </c>
      <c r="CD189" s="5" t="str">
        <f>Lineup!$G$1</f>
        <v>一軍例行賽</v>
      </c>
      <c r="CE189" s="4">
        <f>Lineup!$I$1</f>
        <v>148</v>
      </c>
      <c r="CF189" s="5" t="str">
        <f>Lineup!$G$5</f>
        <v>王俊宏</v>
      </c>
      <c r="CG189" s="5" t="str">
        <f>Lineup!$G$4</f>
        <v>桃園</v>
      </c>
    </row>
    <row r="190" spans="1:85" x14ac:dyDescent="0.3">
      <c r="A190" s="43"/>
      <c r="AX190" s="4" t="str">
        <f>IFERROR(VLOOKUP(M190,Roster!$D$2:$E$27,2,FALSE),"")</f>
        <v/>
      </c>
      <c r="AY190" s="4" t="str">
        <f t="shared" si="21"/>
        <v>好壞</v>
      </c>
      <c r="BI190" s="5" t="str">
        <f>Lineup!$G$2</f>
        <v>20210817</v>
      </c>
      <c r="BJ190" s="4" t="str">
        <f t="shared" si="22"/>
        <v>偏內角偏高</v>
      </c>
      <c r="BK190" s="4" t="str">
        <f t="shared" si="23"/>
        <v>BO</v>
      </c>
      <c r="BL190" s="4" t="str">
        <f>IFERROR(VLOOKUP('HomeAttackPlay-by-Play'!E190,Roster!$L$2:$M$27,2,FALSE),"")</f>
        <v/>
      </c>
      <c r="BP190" s="48" t="str">
        <f>IF(BO190&lt;&gt;"",HYPERLINK(video!$F$29&amp;"\"&amp;"cam_1_"&amp;$BO190&amp;".avi","Play"),"")</f>
        <v/>
      </c>
      <c r="BQ190" s="48" t="str">
        <f>IF(BO190&lt;&gt;"",HYPERLINK(video!$F$29&amp;"\"&amp;"cam_2_"&amp;$BO190&amp;".avi","Play"),"")</f>
        <v/>
      </c>
      <c r="BR190" s="48" t="str">
        <f>IF(BO190&lt;&gt;"",HYPERLINK(video!$F$29&amp;"\"&amp;"cam_3_"&amp;$BO190&amp;".avi","Play"),"")</f>
        <v/>
      </c>
      <c r="BS190" s="48" t="str">
        <f>IF(BV190&lt;&gt;"",HYPERLINK(video!$F$25&amp;"\"&amp;"cam_4_"&amp;$BV190&amp;".avi","Play"),"")</f>
        <v/>
      </c>
      <c r="BT190" s="48" t="str">
        <f>IF(BV190&lt;&gt;"",HYPERLINK(video!$F$25&amp;"\"&amp;"cam_5_"&amp;$BV190&amp;".avi","Play"),"")</f>
        <v/>
      </c>
      <c r="BU190" s="48" t="str">
        <f>IF(BV190&lt;&gt;"",HYPERLINK(video!$F$25&amp;"\"&amp;"cam_6_"&amp;$BV190&amp;".avi","Play"),"")</f>
        <v/>
      </c>
      <c r="BY190" s="4">
        <f t="shared" si="19"/>
        <v>186</v>
      </c>
      <c r="BZ190" s="4">
        <f t="shared" si="20"/>
        <v>246</v>
      </c>
      <c r="CD190" s="5" t="str">
        <f>Lineup!$G$1</f>
        <v>一軍例行賽</v>
      </c>
      <c r="CE190" s="4">
        <f>Lineup!$I$1</f>
        <v>148</v>
      </c>
      <c r="CF190" s="5" t="str">
        <f>Lineup!$G$5</f>
        <v>王俊宏</v>
      </c>
      <c r="CG190" s="5" t="str">
        <f>Lineup!$G$4</f>
        <v>桃園</v>
      </c>
    </row>
    <row r="191" spans="1:85" x14ac:dyDescent="0.3">
      <c r="A191" s="43"/>
      <c r="AX191" s="4" t="str">
        <f>IFERROR(VLOOKUP(M191,Roster!$D$2:$E$27,2,FALSE),"")</f>
        <v/>
      </c>
      <c r="AY191" s="4" t="str">
        <f t="shared" si="21"/>
        <v>好壞</v>
      </c>
      <c r="BI191" s="5" t="str">
        <f>Lineup!$G$2</f>
        <v>20210817</v>
      </c>
      <c r="BJ191" s="4" t="str">
        <f t="shared" si="22"/>
        <v>偏內角偏高</v>
      </c>
      <c r="BK191" s="4" t="str">
        <f t="shared" si="23"/>
        <v>BO</v>
      </c>
      <c r="BL191" s="4" t="str">
        <f>IFERROR(VLOOKUP('HomeAttackPlay-by-Play'!E191,Roster!$L$2:$M$27,2,FALSE),"")</f>
        <v/>
      </c>
      <c r="BP191" s="48" t="str">
        <f>IF(BO191&lt;&gt;"",HYPERLINK(video!$F$29&amp;"\"&amp;"cam_1_"&amp;$BO191&amp;".avi","Play"),"")</f>
        <v/>
      </c>
      <c r="BQ191" s="48" t="str">
        <f>IF(BO191&lt;&gt;"",HYPERLINK(video!$F$29&amp;"\"&amp;"cam_2_"&amp;$BO191&amp;".avi","Play"),"")</f>
        <v/>
      </c>
      <c r="BR191" s="48" t="str">
        <f>IF(BO191&lt;&gt;"",HYPERLINK(video!$F$29&amp;"\"&amp;"cam_3_"&amp;$BO191&amp;".avi","Play"),"")</f>
        <v/>
      </c>
      <c r="BS191" s="48" t="str">
        <f>IF(BV191&lt;&gt;"",HYPERLINK(video!$F$25&amp;"\"&amp;"cam_4_"&amp;$BV191&amp;".avi","Play"),"")</f>
        <v/>
      </c>
      <c r="BT191" s="48" t="str">
        <f>IF(BV191&lt;&gt;"",HYPERLINK(video!$F$25&amp;"\"&amp;"cam_5_"&amp;$BV191&amp;".avi","Play"),"")</f>
        <v/>
      </c>
      <c r="BU191" s="48" t="str">
        <f>IF(BV191&lt;&gt;"",HYPERLINK(video!$F$25&amp;"\"&amp;"cam_6_"&amp;$BV191&amp;".avi","Play"),"")</f>
        <v/>
      </c>
      <c r="BY191" s="4">
        <f t="shared" si="19"/>
        <v>186</v>
      </c>
      <c r="BZ191" s="4">
        <f t="shared" si="20"/>
        <v>246</v>
      </c>
      <c r="CD191" s="5" t="str">
        <f>Lineup!$G$1</f>
        <v>一軍例行賽</v>
      </c>
      <c r="CE191" s="4">
        <f>Lineup!$I$1</f>
        <v>148</v>
      </c>
      <c r="CF191" s="5" t="str">
        <f>Lineup!$G$5</f>
        <v>王俊宏</v>
      </c>
      <c r="CG191" s="5" t="str">
        <f>Lineup!$G$4</f>
        <v>桃園</v>
      </c>
    </row>
    <row r="192" spans="1:85" x14ac:dyDescent="0.3">
      <c r="A192" s="43"/>
      <c r="AX192" s="4" t="str">
        <f>IFERROR(VLOOKUP(M192,Roster!$D$2:$E$27,2,FALSE),"")</f>
        <v/>
      </c>
      <c r="AY192" s="4" t="str">
        <f t="shared" si="21"/>
        <v>好壞</v>
      </c>
      <c r="BI192" s="5" t="str">
        <f>Lineup!$G$2</f>
        <v>20210817</v>
      </c>
      <c r="BJ192" s="4" t="str">
        <f t="shared" si="22"/>
        <v>偏內角偏高</v>
      </c>
      <c r="BK192" s="4" t="str">
        <f t="shared" si="23"/>
        <v>BO</v>
      </c>
      <c r="BL192" s="4" t="str">
        <f>IFERROR(VLOOKUP('HomeAttackPlay-by-Play'!E192,Roster!$L$2:$M$27,2,FALSE),"")</f>
        <v/>
      </c>
      <c r="BP192" s="48" t="str">
        <f>IF(BO192&lt;&gt;"",HYPERLINK(video!$F$29&amp;"\"&amp;"cam_1_"&amp;$BO192&amp;".avi","Play"),"")</f>
        <v/>
      </c>
      <c r="BQ192" s="48" t="str">
        <f>IF(BO192&lt;&gt;"",HYPERLINK(video!$F$29&amp;"\"&amp;"cam_2_"&amp;$BO192&amp;".avi","Play"),"")</f>
        <v/>
      </c>
      <c r="BR192" s="48" t="str">
        <f>IF(BO192&lt;&gt;"",HYPERLINK(video!$F$29&amp;"\"&amp;"cam_3_"&amp;$BO192&amp;".avi","Play"),"")</f>
        <v/>
      </c>
      <c r="BS192" s="48" t="str">
        <f>IF(BV192&lt;&gt;"",HYPERLINK(video!$F$25&amp;"\"&amp;"cam_4_"&amp;$BV192&amp;".avi","Play"),"")</f>
        <v/>
      </c>
      <c r="BT192" s="48" t="str">
        <f>IF(BV192&lt;&gt;"",HYPERLINK(video!$F$25&amp;"\"&amp;"cam_5_"&amp;$BV192&amp;".avi","Play"),"")</f>
        <v/>
      </c>
      <c r="BU192" s="48" t="str">
        <f>IF(BV192&lt;&gt;"",HYPERLINK(video!$F$25&amp;"\"&amp;"cam_6_"&amp;$BV192&amp;".avi","Play"),"")</f>
        <v/>
      </c>
      <c r="BY192" s="4">
        <f t="shared" si="19"/>
        <v>186</v>
      </c>
      <c r="BZ192" s="4">
        <f t="shared" si="20"/>
        <v>246</v>
      </c>
      <c r="CD192" s="5" t="str">
        <f>Lineup!$G$1</f>
        <v>一軍例行賽</v>
      </c>
      <c r="CE192" s="4">
        <f>Lineup!$I$1</f>
        <v>148</v>
      </c>
      <c r="CF192" s="5" t="str">
        <f>Lineup!$G$5</f>
        <v>王俊宏</v>
      </c>
      <c r="CG192" s="5" t="str">
        <f>Lineup!$G$4</f>
        <v>桃園</v>
      </c>
    </row>
    <row r="193" spans="1:85" x14ac:dyDescent="0.3">
      <c r="A193" s="43"/>
      <c r="AX193" s="4" t="str">
        <f>IFERROR(VLOOKUP(M193,Roster!$D$2:$E$27,2,FALSE),"")</f>
        <v/>
      </c>
      <c r="AY193" s="4" t="str">
        <f t="shared" si="21"/>
        <v>好壞</v>
      </c>
      <c r="BI193" s="5" t="str">
        <f>Lineup!$G$2</f>
        <v>20210817</v>
      </c>
      <c r="BJ193" s="4" t="str">
        <f t="shared" si="22"/>
        <v>偏內角偏高</v>
      </c>
      <c r="BK193" s="4" t="str">
        <f t="shared" si="23"/>
        <v>BO</v>
      </c>
      <c r="BL193" s="4" t="str">
        <f>IFERROR(VLOOKUP('HomeAttackPlay-by-Play'!E193,Roster!$L$2:$M$27,2,FALSE),"")</f>
        <v/>
      </c>
      <c r="BP193" s="48" t="str">
        <f>IF(BO193&lt;&gt;"",HYPERLINK(video!$F$29&amp;"\"&amp;"cam_1_"&amp;$BO193&amp;".avi","Play"),"")</f>
        <v/>
      </c>
      <c r="BQ193" s="48" t="str">
        <f>IF(BO193&lt;&gt;"",HYPERLINK(video!$F$29&amp;"\"&amp;"cam_2_"&amp;$BO193&amp;".avi","Play"),"")</f>
        <v/>
      </c>
      <c r="BR193" s="48" t="str">
        <f>IF(BO193&lt;&gt;"",HYPERLINK(video!$F$29&amp;"\"&amp;"cam_3_"&amp;$BO193&amp;".avi","Play"),"")</f>
        <v/>
      </c>
      <c r="BS193" s="48" t="str">
        <f>IF(BV193&lt;&gt;"",HYPERLINK(video!$F$25&amp;"\"&amp;"cam_4_"&amp;$BV193&amp;".avi","Play"),"")</f>
        <v/>
      </c>
      <c r="BT193" s="48" t="str">
        <f>IF(BV193&lt;&gt;"",HYPERLINK(video!$F$25&amp;"\"&amp;"cam_5_"&amp;$BV193&amp;".avi","Play"),"")</f>
        <v/>
      </c>
      <c r="BU193" s="48" t="str">
        <f>IF(BV193&lt;&gt;"",HYPERLINK(video!$F$25&amp;"\"&amp;"cam_6_"&amp;$BV193&amp;".avi","Play"),"")</f>
        <v/>
      </c>
      <c r="BY193" s="4">
        <f t="shared" si="19"/>
        <v>186</v>
      </c>
      <c r="BZ193" s="4">
        <f t="shared" si="20"/>
        <v>246</v>
      </c>
      <c r="CD193" s="5" t="str">
        <f>Lineup!$G$1</f>
        <v>一軍例行賽</v>
      </c>
      <c r="CE193" s="4">
        <f>Lineup!$I$1</f>
        <v>148</v>
      </c>
      <c r="CF193" s="5" t="str">
        <f>Lineup!$G$5</f>
        <v>王俊宏</v>
      </c>
      <c r="CG193" s="5" t="str">
        <f>Lineup!$G$4</f>
        <v>桃園</v>
      </c>
    </row>
    <row r="194" spans="1:85" x14ac:dyDescent="0.3">
      <c r="A194" s="43"/>
      <c r="AX194" s="4" t="str">
        <f>IFERROR(VLOOKUP(M194,Roster!$D$2:$E$27,2,FALSE),"")</f>
        <v/>
      </c>
      <c r="AY194" s="4" t="str">
        <f t="shared" si="21"/>
        <v>好壞</v>
      </c>
      <c r="BI194" s="5" t="str">
        <f>Lineup!$G$2</f>
        <v>20210817</v>
      </c>
      <c r="BJ194" s="4" t="str">
        <f t="shared" si="22"/>
        <v>偏內角偏高</v>
      </c>
      <c r="BK194" s="4" t="str">
        <f t="shared" si="23"/>
        <v>BO</v>
      </c>
      <c r="BL194" s="4" t="str">
        <f>IFERROR(VLOOKUP('HomeAttackPlay-by-Play'!E194,Roster!$L$2:$M$27,2,FALSE),"")</f>
        <v/>
      </c>
      <c r="BP194" s="48" t="str">
        <f>IF(BO194&lt;&gt;"",HYPERLINK(video!$F$29&amp;"\"&amp;"cam_1_"&amp;$BO194&amp;".avi","Play"),"")</f>
        <v/>
      </c>
      <c r="BQ194" s="48" t="str">
        <f>IF(BO194&lt;&gt;"",HYPERLINK(video!$F$29&amp;"\"&amp;"cam_2_"&amp;$BO194&amp;".avi","Play"),"")</f>
        <v/>
      </c>
      <c r="BR194" s="48" t="str">
        <f>IF(BO194&lt;&gt;"",HYPERLINK(video!$F$29&amp;"\"&amp;"cam_3_"&amp;$BO194&amp;".avi","Play"),"")</f>
        <v/>
      </c>
      <c r="BS194" s="48" t="str">
        <f>IF(BV194&lt;&gt;"",HYPERLINK(video!$F$25&amp;"\"&amp;"cam_4_"&amp;$BV194&amp;".avi","Play"),"")</f>
        <v/>
      </c>
      <c r="BT194" s="48" t="str">
        <f>IF(BV194&lt;&gt;"",HYPERLINK(video!$F$25&amp;"\"&amp;"cam_5_"&amp;$BV194&amp;".avi","Play"),"")</f>
        <v/>
      </c>
      <c r="BU194" s="48" t="str">
        <f>IF(BV194&lt;&gt;"",HYPERLINK(video!$F$25&amp;"\"&amp;"cam_6_"&amp;$BV194&amp;".avi","Play"),"")</f>
        <v/>
      </c>
      <c r="BY194" s="4">
        <f t="shared" si="19"/>
        <v>186</v>
      </c>
      <c r="BZ194" s="4">
        <f t="shared" si="20"/>
        <v>246</v>
      </c>
      <c r="CD194" s="5" t="str">
        <f>Lineup!$G$1</f>
        <v>一軍例行賽</v>
      </c>
      <c r="CE194" s="4">
        <f>Lineup!$I$1</f>
        <v>148</v>
      </c>
      <c r="CF194" s="5" t="str">
        <f>Lineup!$G$5</f>
        <v>王俊宏</v>
      </c>
      <c r="CG194" s="5" t="str">
        <f>Lineup!$G$4</f>
        <v>桃園</v>
      </c>
    </row>
    <row r="195" spans="1:85" x14ac:dyDescent="0.3">
      <c r="A195" s="43"/>
      <c r="AX195" s="4" t="str">
        <f>IFERROR(VLOOKUP(M195,Roster!$D$2:$E$27,2,FALSE),"")</f>
        <v/>
      </c>
      <c r="AY195" s="4" t="str">
        <f t="shared" si="21"/>
        <v>好壞</v>
      </c>
      <c r="BI195" s="5" t="str">
        <f>Lineup!$G$2</f>
        <v>20210817</v>
      </c>
      <c r="BJ195" s="4" t="str">
        <f t="shared" si="22"/>
        <v>偏內角偏高</v>
      </c>
      <c r="BK195" s="4" t="str">
        <f t="shared" si="23"/>
        <v>BO</v>
      </c>
      <c r="BL195" s="4" t="str">
        <f>IFERROR(VLOOKUP('HomeAttackPlay-by-Play'!E195,Roster!$L$2:$M$27,2,FALSE),"")</f>
        <v/>
      </c>
      <c r="BP195" s="48" t="str">
        <f>IF(BO195&lt;&gt;"",HYPERLINK(video!$F$29&amp;"\"&amp;"cam_1_"&amp;$BO195&amp;".avi","Play"),"")</f>
        <v/>
      </c>
      <c r="BQ195" s="48" t="str">
        <f>IF(BO195&lt;&gt;"",HYPERLINK(video!$F$29&amp;"\"&amp;"cam_2_"&amp;$BO195&amp;".avi","Play"),"")</f>
        <v/>
      </c>
      <c r="BR195" s="48" t="str">
        <f>IF(BO195&lt;&gt;"",HYPERLINK(video!$F$29&amp;"\"&amp;"cam_3_"&amp;$BO195&amp;".avi","Play"),"")</f>
        <v/>
      </c>
      <c r="BS195" s="48" t="str">
        <f>IF(BV195&lt;&gt;"",HYPERLINK(video!$F$25&amp;"\"&amp;"cam_4_"&amp;$BV195&amp;".avi","Play"),"")</f>
        <v/>
      </c>
      <c r="BT195" s="48" t="str">
        <f>IF(BV195&lt;&gt;"",HYPERLINK(video!$F$25&amp;"\"&amp;"cam_5_"&amp;$BV195&amp;".avi","Play"),"")</f>
        <v/>
      </c>
      <c r="BU195" s="48" t="str">
        <f>IF(BV195&lt;&gt;"",HYPERLINK(video!$F$25&amp;"\"&amp;"cam_6_"&amp;$BV195&amp;".avi","Play"),"")</f>
        <v/>
      </c>
      <c r="BY195" s="4">
        <f t="shared" si="19"/>
        <v>186</v>
      </c>
      <c r="BZ195" s="4">
        <f t="shared" si="20"/>
        <v>246</v>
      </c>
      <c r="CD195" s="5" t="str">
        <f>Lineup!$G$1</f>
        <v>一軍例行賽</v>
      </c>
      <c r="CE195" s="4">
        <f>Lineup!$I$1</f>
        <v>148</v>
      </c>
      <c r="CF195" s="5" t="str">
        <f>Lineup!$G$5</f>
        <v>王俊宏</v>
      </c>
      <c r="CG195" s="5" t="str">
        <f>Lineup!$G$4</f>
        <v>桃園</v>
      </c>
    </row>
    <row r="196" spans="1:85" x14ac:dyDescent="0.3">
      <c r="A196" s="43"/>
      <c r="AX196" s="4" t="str">
        <f>IFERROR(VLOOKUP(M196,Roster!$D$2:$E$27,2,FALSE),"")</f>
        <v/>
      </c>
      <c r="AY196" s="4" t="str">
        <f t="shared" si="21"/>
        <v>好壞</v>
      </c>
      <c r="BI196" s="5" t="str">
        <f>Lineup!$G$2</f>
        <v>20210817</v>
      </c>
      <c r="BJ196" s="4" t="str">
        <f t="shared" si="22"/>
        <v>偏內角偏高</v>
      </c>
      <c r="BK196" s="4" t="str">
        <f t="shared" si="23"/>
        <v>BO</v>
      </c>
      <c r="BL196" s="4" t="str">
        <f>IFERROR(VLOOKUP('HomeAttackPlay-by-Play'!E196,Roster!$L$2:$M$27,2,FALSE),"")</f>
        <v/>
      </c>
      <c r="BP196" s="48" t="str">
        <f>IF(BO196&lt;&gt;"",HYPERLINK(video!$F$29&amp;"\"&amp;"cam_1_"&amp;$BO196&amp;".avi","Play"),"")</f>
        <v/>
      </c>
      <c r="BQ196" s="48" t="str">
        <f>IF(BO196&lt;&gt;"",HYPERLINK(video!$F$29&amp;"\"&amp;"cam_2_"&amp;$BO196&amp;".avi","Play"),"")</f>
        <v/>
      </c>
      <c r="BR196" s="48" t="str">
        <f>IF(BO196&lt;&gt;"",HYPERLINK(video!$F$29&amp;"\"&amp;"cam_3_"&amp;$BO196&amp;".avi","Play"),"")</f>
        <v/>
      </c>
      <c r="BS196" s="48" t="str">
        <f>IF(BV196&lt;&gt;"",HYPERLINK(video!$F$25&amp;"\"&amp;"cam_4_"&amp;$BV196&amp;".avi","Play"),"")</f>
        <v/>
      </c>
      <c r="BT196" s="48" t="str">
        <f>IF(BV196&lt;&gt;"",HYPERLINK(video!$F$25&amp;"\"&amp;"cam_5_"&amp;$BV196&amp;".avi","Play"),"")</f>
        <v/>
      </c>
      <c r="BU196" s="48" t="str">
        <f>IF(BV196&lt;&gt;"",HYPERLINK(video!$F$25&amp;"\"&amp;"cam_6_"&amp;$BV196&amp;".avi","Play"),"")</f>
        <v/>
      </c>
      <c r="BY196" s="4">
        <f t="shared" si="19"/>
        <v>186</v>
      </c>
      <c r="BZ196" s="4">
        <f t="shared" si="20"/>
        <v>246</v>
      </c>
      <c r="CD196" s="5" t="str">
        <f>Lineup!$G$1</f>
        <v>一軍例行賽</v>
      </c>
      <c r="CE196" s="4">
        <f>Lineup!$I$1</f>
        <v>148</v>
      </c>
      <c r="CF196" s="5" t="str">
        <f>Lineup!$G$5</f>
        <v>王俊宏</v>
      </c>
      <c r="CG196" s="5" t="str">
        <f>Lineup!$G$4</f>
        <v>桃園</v>
      </c>
    </row>
    <row r="197" spans="1:85" x14ac:dyDescent="0.3">
      <c r="A197" s="43"/>
      <c r="AX197" s="4" t="str">
        <f>IFERROR(VLOOKUP(M197,Roster!$D$2:$E$27,2,FALSE),"")</f>
        <v/>
      </c>
      <c r="AY197" s="4" t="str">
        <f t="shared" si="21"/>
        <v>好壞</v>
      </c>
      <c r="BI197" s="5" t="str">
        <f>Lineup!$G$2</f>
        <v>20210817</v>
      </c>
      <c r="BJ197" s="4" t="str">
        <f t="shared" si="22"/>
        <v>偏內角偏高</v>
      </c>
      <c r="BK197" s="4" t="str">
        <f t="shared" si="23"/>
        <v>BO</v>
      </c>
      <c r="BL197" s="4" t="str">
        <f>IFERROR(VLOOKUP('HomeAttackPlay-by-Play'!E197,Roster!$L$2:$M$27,2,FALSE),"")</f>
        <v/>
      </c>
      <c r="BP197" s="48" t="str">
        <f>IF(BO197&lt;&gt;"",HYPERLINK(video!$F$29&amp;"\"&amp;"cam_1_"&amp;$BO197&amp;".avi","Play"),"")</f>
        <v/>
      </c>
      <c r="BQ197" s="48" t="str">
        <f>IF(BO197&lt;&gt;"",HYPERLINK(video!$F$29&amp;"\"&amp;"cam_2_"&amp;$BO197&amp;".avi","Play"),"")</f>
        <v/>
      </c>
      <c r="BR197" s="48" t="str">
        <f>IF(BO197&lt;&gt;"",HYPERLINK(video!$F$29&amp;"\"&amp;"cam_3_"&amp;$BO197&amp;".avi","Play"),"")</f>
        <v/>
      </c>
      <c r="BS197" s="48" t="str">
        <f>IF(BV197&lt;&gt;"",HYPERLINK(video!$F$25&amp;"\"&amp;"cam_4_"&amp;$BV197&amp;".avi","Play"),"")</f>
        <v/>
      </c>
      <c r="BT197" s="48" t="str">
        <f>IF(BV197&lt;&gt;"",HYPERLINK(video!$F$25&amp;"\"&amp;"cam_5_"&amp;$BV197&amp;".avi","Play"),"")</f>
        <v/>
      </c>
      <c r="BU197" s="48" t="str">
        <f>IF(BV197&lt;&gt;"",HYPERLINK(video!$F$25&amp;"\"&amp;"cam_6_"&amp;$BV197&amp;".avi","Play"),"")</f>
        <v/>
      </c>
      <c r="BY197" s="4">
        <f t="shared" si="19"/>
        <v>186</v>
      </c>
      <c r="BZ197" s="4">
        <f t="shared" si="20"/>
        <v>246</v>
      </c>
      <c r="CD197" s="5" t="str">
        <f>Lineup!$G$1</f>
        <v>一軍例行賽</v>
      </c>
      <c r="CE197" s="4">
        <f>Lineup!$I$1</f>
        <v>148</v>
      </c>
      <c r="CF197" s="5" t="str">
        <f>Lineup!$G$5</f>
        <v>王俊宏</v>
      </c>
      <c r="CG197" s="5" t="str">
        <f>Lineup!$G$4</f>
        <v>桃園</v>
      </c>
    </row>
    <row r="198" spans="1:85" x14ac:dyDescent="0.3">
      <c r="A198" s="43"/>
      <c r="AX198" s="4" t="str">
        <f>IFERROR(VLOOKUP(M198,Roster!$D$2:$E$27,2,FALSE),"")</f>
        <v/>
      </c>
      <c r="AY198" s="4" t="str">
        <f t="shared" si="21"/>
        <v>好壞</v>
      </c>
      <c r="BI198" s="5" t="str">
        <f>Lineup!$G$2</f>
        <v>20210817</v>
      </c>
      <c r="BJ198" s="4" t="str">
        <f t="shared" si="22"/>
        <v>偏內角偏高</v>
      </c>
      <c r="BK198" s="4" t="str">
        <f t="shared" si="23"/>
        <v>BO</v>
      </c>
      <c r="BL198" s="4" t="str">
        <f>IFERROR(VLOOKUP('HomeAttackPlay-by-Play'!E198,Roster!$L$2:$M$27,2,FALSE),"")</f>
        <v/>
      </c>
      <c r="BP198" s="48" t="str">
        <f>IF(BO198&lt;&gt;"",HYPERLINK(video!$F$29&amp;"\"&amp;"cam_1_"&amp;$BO198&amp;".avi","Play"),"")</f>
        <v/>
      </c>
      <c r="BQ198" s="48" t="str">
        <f>IF(BO198&lt;&gt;"",HYPERLINK(video!$F$29&amp;"\"&amp;"cam_2_"&amp;$BO198&amp;".avi","Play"),"")</f>
        <v/>
      </c>
      <c r="BR198" s="48" t="str">
        <f>IF(BO198&lt;&gt;"",HYPERLINK(video!$F$29&amp;"\"&amp;"cam_3_"&amp;$BO198&amp;".avi","Play"),"")</f>
        <v/>
      </c>
      <c r="BS198" s="48" t="str">
        <f>IF(BV198&lt;&gt;"",HYPERLINK(video!$F$25&amp;"\"&amp;"cam_4_"&amp;$BV198&amp;".avi","Play"),"")</f>
        <v/>
      </c>
      <c r="BT198" s="48" t="str">
        <f>IF(BV198&lt;&gt;"",HYPERLINK(video!$F$25&amp;"\"&amp;"cam_5_"&amp;$BV198&amp;".avi","Play"),"")</f>
        <v/>
      </c>
      <c r="BU198" s="48" t="str">
        <f>IF(BV198&lt;&gt;"",HYPERLINK(video!$F$25&amp;"\"&amp;"cam_6_"&amp;$BV198&amp;".avi","Play"),"")</f>
        <v/>
      </c>
      <c r="BY198" s="4">
        <f t="shared" si="19"/>
        <v>186</v>
      </c>
      <c r="BZ198" s="4">
        <f t="shared" si="20"/>
        <v>246</v>
      </c>
      <c r="CD198" s="5" t="str">
        <f>Lineup!$G$1</f>
        <v>一軍例行賽</v>
      </c>
      <c r="CE198" s="4">
        <f>Lineup!$I$1</f>
        <v>148</v>
      </c>
      <c r="CF198" s="5" t="str">
        <f>Lineup!$G$5</f>
        <v>王俊宏</v>
      </c>
      <c r="CG198" s="5" t="str">
        <f>Lineup!$G$4</f>
        <v>桃園</v>
      </c>
    </row>
    <row r="199" spans="1:85" x14ac:dyDescent="0.3">
      <c r="A199" s="43"/>
      <c r="AX199" s="4" t="str">
        <f>IFERROR(VLOOKUP(M199,Roster!$D$2:$E$27,2,FALSE),"")</f>
        <v/>
      </c>
      <c r="AY199" s="4" t="str">
        <f t="shared" si="21"/>
        <v>好壞</v>
      </c>
      <c r="BI199" s="5" t="str">
        <f>Lineup!$G$2</f>
        <v>20210817</v>
      </c>
      <c r="BJ199" s="4" t="str">
        <f t="shared" si="22"/>
        <v>偏內角偏高</v>
      </c>
      <c r="BK199" s="4" t="str">
        <f t="shared" si="23"/>
        <v>BO</v>
      </c>
      <c r="BL199" s="4" t="str">
        <f>IFERROR(VLOOKUP('HomeAttackPlay-by-Play'!E199,Roster!$L$2:$M$27,2,FALSE),"")</f>
        <v/>
      </c>
      <c r="BP199" s="48" t="str">
        <f>IF(BO199&lt;&gt;"",HYPERLINK(video!$F$29&amp;"\"&amp;"cam_1_"&amp;$BO199&amp;".avi","Play"),"")</f>
        <v/>
      </c>
      <c r="BQ199" s="48" t="str">
        <f>IF(BO199&lt;&gt;"",HYPERLINK(video!$F$29&amp;"\"&amp;"cam_2_"&amp;$BO199&amp;".avi","Play"),"")</f>
        <v/>
      </c>
      <c r="BR199" s="48" t="str">
        <f>IF(BO199&lt;&gt;"",HYPERLINK(video!$F$29&amp;"\"&amp;"cam_3_"&amp;$BO199&amp;".avi","Play"),"")</f>
        <v/>
      </c>
      <c r="BS199" s="48" t="str">
        <f>IF(BV199&lt;&gt;"",HYPERLINK(video!$F$25&amp;"\"&amp;"cam_4_"&amp;$BV199&amp;".avi","Play"),"")</f>
        <v/>
      </c>
      <c r="BT199" s="48" t="str">
        <f>IF(BV199&lt;&gt;"",HYPERLINK(video!$F$25&amp;"\"&amp;"cam_5_"&amp;$BV199&amp;".avi","Play"),"")</f>
        <v/>
      </c>
      <c r="BU199" s="48" t="str">
        <f>IF(BV199&lt;&gt;"",HYPERLINK(video!$F$25&amp;"\"&amp;"cam_6_"&amp;$BV199&amp;".avi","Play"),"")</f>
        <v/>
      </c>
      <c r="BY199" s="4">
        <f t="shared" si="19"/>
        <v>186</v>
      </c>
      <c r="BZ199" s="4">
        <f t="shared" si="20"/>
        <v>246</v>
      </c>
      <c r="CD199" s="5" t="str">
        <f>Lineup!$G$1</f>
        <v>一軍例行賽</v>
      </c>
      <c r="CE199" s="4">
        <f>Lineup!$I$1</f>
        <v>148</v>
      </c>
      <c r="CF199" s="5" t="str">
        <f>Lineup!$G$5</f>
        <v>王俊宏</v>
      </c>
      <c r="CG199" s="5" t="str">
        <f>Lineup!$G$4</f>
        <v>桃園</v>
      </c>
    </row>
    <row r="200" spans="1:85" x14ac:dyDescent="0.3">
      <c r="A200" s="43"/>
      <c r="AX200" s="4" t="str">
        <f>IFERROR(VLOOKUP(M200,Roster!$D$2:$E$27,2,FALSE),"")</f>
        <v/>
      </c>
      <c r="AY200" s="4" t="str">
        <f t="shared" si="21"/>
        <v>好壞</v>
      </c>
      <c r="BI200" s="5" t="str">
        <f>Lineup!$G$2</f>
        <v>20210817</v>
      </c>
      <c r="BJ200" s="4" t="str">
        <f t="shared" si="22"/>
        <v>偏內角偏高</v>
      </c>
      <c r="BK200" s="4" t="str">
        <f t="shared" si="23"/>
        <v>BO</v>
      </c>
      <c r="BL200" s="4" t="str">
        <f>IFERROR(VLOOKUP('HomeAttackPlay-by-Play'!E200,Roster!$L$2:$M$27,2,FALSE),"")</f>
        <v/>
      </c>
      <c r="BP200" s="48" t="str">
        <f>IF(BO200&lt;&gt;"",HYPERLINK(video!$F$29&amp;"\"&amp;"cam_1_"&amp;$BO200&amp;".avi","Play"),"")</f>
        <v/>
      </c>
      <c r="BQ200" s="48" t="str">
        <f>IF(BO200&lt;&gt;"",HYPERLINK(video!$F$29&amp;"\"&amp;"cam_2_"&amp;$BO200&amp;".avi","Play"),"")</f>
        <v/>
      </c>
      <c r="BR200" s="48" t="str">
        <f>IF(BO200&lt;&gt;"",HYPERLINK(video!$F$29&amp;"\"&amp;"cam_3_"&amp;$BO200&amp;".avi","Play"),"")</f>
        <v/>
      </c>
      <c r="BS200" s="48" t="str">
        <f>IF(BV200&lt;&gt;"",HYPERLINK(video!$F$25&amp;"\"&amp;"cam_4_"&amp;$BV200&amp;".avi","Play"),"")</f>
        <v/>
      </c>
      <c r="BT200" s="48" t="str">
        <f>IF(BV200&lt;&gt;"",HYPERLINK(video!$F$25&amp;"\"&amp;"cam_5_"&amp;$BV200&amp;".avi","Play"),"")</f>
        <v/>
      </c>
      <c r="BU200" s="48" t="str">
        <f>IF(BV200&lt;&gt;"",HYPERLINK(video!$F$25&amp;"\"&amp;"cam_6_"&amp;$BV200&amp;".avi","Play"),"")</f>
        <v/>
      </c>
      <c r="BY200" s="4">
        <f t="shared" si="19"/>
        <v>186</v>
      </c>
      <c r="BZ200" s="4">
        <f t="shared" si="20"/>
        <v>246</v>
      </c>
      <c r="CD200" s="5" t="str">
        <f>Lineup!$G$1</f>
        <v>一軍例行賽</v>
      </c>
      <c r="CE200" s="4">
        <f>Lineup!$I$1</f>
        <v>148</v>
      </c>
      <c r="CF200" s="5" t="str">
        <f>Lineup!$G$5</f>
        <v>王俊宏</v>
      </c>
      <c r="CG200" s="5" t="str">
        <f>Lineup!$G$4</f>
        <v>桃園</v>
      </c>
    </row>
    <row r="201" spans="1:85" x14ac:dyDescent="0.3">
      <c r="A201" s="43"/>
      <c r="AX201" s="4" t="str">
        <f>IFERROR(VLOOKUP(M201,Roster!$D$2:$E$27,2,FALSE),"")</f>
        <v/>
      </c>
      <c r="AY201" s="4" t="str">
        <f t="shared" si="21"/>
        <v>好壞</v>
      </c>
      <c r="BI201" s="5" t="str">
        <f>Lineup!$G$2</f>
        <v>20210817</v>
      </c>
      <c r="BJ201" s="4" t="str">
        <f t="shared" si="22"/>
        <v>偏內角偏高</v>
      </c>
      <c r="BK201" s="4" t="str">
        <f t="shared" si="23"/>
        <v>BO</v>
      </c>
      <c r="BL201" s="4" t="str">
        <f>IFERROR(VLOOKUP('HomeAttackPlay-by-Play'!E201,Roster!$L$2:$M$27,2,FALSE),"")</f>
        <v/>
      </c>
      <c r="BP201" s="48" t="str">
        <f>IF(BO201&lt;&gt;"",HYPERLINK(video!$F$29&amp;"\"&amp;"cam_1_"&amp;$BO201&amp;".avi","Play"),"")</f>
        <v/>
      </c>
      <c r="BQ201" s="48" t="str">
        <f>IF(BO201&lt;&gt;"",HYPERLINK(video!$F$29&amp;"\"&amp;"cam_2_"&amp;$BO201&amp;".avi","Play"),"")</f>
        <v/>
      </c>
      <c r="BR201" s="48" t="str">
        <f>IF(BO201&lt;&gt;"",HYPERLINK(video!$F$29&amp;"\"&amp;"cam_3_"&amp;$BO201&amp;".avi","Play"),"")</f>
        <v/>
      </c>
      <c r="BS201" s="48" t="str">
        <f>IF(BV201&lt;&gt;"",HYPERLINK(video!$F$25&amp;"\"&amp;"cam_4_"&amp;$BV201&amp;".avi","Play"),"")</f>
        <v/>
      </c>
      <c r="BT201" s="48" t="str">
        <f>IF(BV201&lt;&gt;"",HYPERLINK(video!$F$25&amp;"\"&amp;"cam_5_"&amp;$BV201&amp;".avi","Play"),"")</f>
        <v/>
      </c>
      <c r="BU201" s="48" t="str">
        <f>IF(BV201&lt;&gt;"",HYPERLINK(video!$F$25&amp;"\"&amp;"cam_6_"&amp;$BV201&amp;".avi","Play"),"")</f>
        <v/>
      </c>
      <c r="BY201" s="4">
        <f t="shared" si="19"/>
        <v>186</v>
      </c>
      <c r="BZ201" s="4">
        <f t="shared" si="20"/>
        <v>246</v>
      </c>
      <c r="CD201" s="5" t="str">
        <f>Lineup!$G$1</f>
        <v>一軍例行賽</v>
      </c>
      <c r="CE201" s="4">
        <f>Lineup!$I$1</f>
        <v>148</v>
      </c>
      <c r="CF201" s="5" t="str">
        <f>Lineup!$G$5</f>
        <v>王俊宏</v>
      </c>
      <c r="CG201" s="5" t="str">
        <f>Lineup!$G$4</f>
        <v>桃園</v>
      </c>
    </row>
    <row r="202" spans="1:85" x14ac:dyDescent="0.3">
      <c r="A202" s="43"/>
      <c r="AX202" s="4" t="str">
        <f>IFERROR(VLOOKUP(M202,Roster!$D$2:$E$27,2,FALSE),"")</f>
        <v/>
      </c>
      <c r="AY202" s="4" t="str">
        <f t="shared" si="21"/>
        <v>好壞</v>
      </c>
      <c r="BI202" s="5" t="str">
        <f>Lineup!$G$2</f>
        <v>20210817</v>
      </c>
      <c r="BJ202" s="4" t="str">
        <f t="shared" si="22"/>
        <v>偏內角偏高</v>
      </c>
      <c r="BK202" s="4" t="str">
        <f t="shared" si="23"/>
        <v>BO</v>
      </c>
      <c r="BL202" s="4" t="str">
        <f>IFERROR(VLOOKUP('HomeAttackPlay-by-Play'!E202,Roster!$L$2:$M$27,2,FALSE),"")</f>
        <v/>
      </c>
      <c r="BP202" s="48" t="str">
        <f>IF(BO202&lt;&gt;"",HYPERLINK(video!$F$29&amp;"\"&amp;"cam_1_"&amp;$BO202&amp;".avi","Play"),"")</f>
        <v/>
      </c>
      <c r="BQ202" s="48" t="str">
        <f>IF(BO202&lt;&gt;"",HYPERLINK(video!$F$29&amp;"\"&amp;"cam_2_"&amp;$BO202&amp;".avi","Play"),"")</f>
        <v/>
      </c>
      <c r="BR202" s="48" t="str">
        <f>IF(BO202&lt;&gt;"",HYPERLINK(video!$F$29&amp;"\"&amp;"cam_3_"&amp;$BO202&amp;".avi","Play"),"")</f>
        <v/>
      </c>
      <c r="BS202" s="48" t="str">
        <f>IF(BV202&lt;&gt;"",HYPERLINK(video!$F$25&amp;"\"&amp;"cam_4_"&amp;$BV202&amp;".avi","Play"),"")</f>
        <v/>
      </c>
      <c r="BT202" s="48" t="str">
        <f>IF(BV202&lt;&gt;"",HYPERLINK(video!$F$25&amp;"\"&amp;"cam_5_"&amp;$BV202&amp;".avi","Play"),"")</f>
        <v/>
      </c>
      <c r="BU202" s="48" t="str">
        <f>IF(BV202&lt;&gt;"",HYPERLINK(video!$F$25&amp;"\"&amp;"cam_6_"&amp;$BV202&amp;".avi","Play"),"")</f>
        <v/>
      </c>
      <c r="BY202" s="4">
        <f t="shared" si="19"/>
        <v>186</v>
      </c>
      <c r="BZ202" s="4">
        <f t="shared" si="20"/>
        <v>246</v>
      </c>
      <c r="CD202" s="5" t="str">
        <f>Lineup!$G$1</f>
        <v>一軍例行賽</v>
      </c>
      <c r="CE202" s="4">
        <f>Lineup!$I$1</f>
        <v>148</v>
      </c>
      <c r="CF202" s="5" t="str">
        <f>Lineup!$G$5</f>
        <v>王俊宏</v>
      </c>
      <c r="CG202" s="5" t="str">
        <f>Lineup!$G$4</f>
        <v>桃園</v>
      </c>
    </row>
    <row r="203" spans="1:85" x14ac:dyDescent="0.3">
      <c r="A203" s="43"/>
      <c r="AX203" s="4" t="str">
        <f>IFERROR(VLOOKUP(M203,Roster!$D$2:$E$27,2,FALSE),"")</f>
        <v/>
      </c>
      <c r="AY203" s="4" t="str">
        <f t="shared" si="21"/>
        <v>好壞</v>
      </c>
      <c r="BI203" s="5" t="str">
        <f>Lineup!$G$2</f>
        <v>20210817</v>
      </c>
      <c r="BJ203" s="4" t="str">
        <f t="shared" si="22"/>
        <v>偏內角偏高</v>
      </c>
      <c r="BK203" s="4" t="str">
        <f t="shared" si="23"/>
        <v>BO</v>
      </c>
      <c r="BL203" s="4" t="str">
        <f>IFERROR(VLOOKUP('HomeAttackPlay-by-Play'!E203,Roster!$L$2:$M$27,2,FALSE),"")</f>
        <v/>
      </c>
      <c r="BP203" s="48" t="str">
        <f>IF(BO203&lt;&gt;"",HYPERLINK(video!$F$29&amp;"\"&amp;"cam_1_"&amp;$BO203&amp;".avi","Play"),"")</f>
        <v/>
      </c>
      <c r="BQ203" s="48" t="str">
        <f>IF(BO203&lt;&gt;"",HYPERLINK(video!$F$29&amp;"\"&amp;"cam_2_"&amp;$BO203&amp;".avi","Play"),"")</f>
        <v/>
      </c>
      <c r="BR203" s="48" t="str">
        <f>IF(BO203&lt;&gt;"",HYPERLINK(video!$F$29&amp;"\"&amp;"cam_3_"&amp;$BO203&amp;".avi","Play"),"")</f>
        <v/>
      </c>
      <c r="BS203" s="48" t="str">
        <f>IF(BV203&lt;&gt;"",HYPERLINK(video!$F$25&amp;"\"&amp;"cam_4_"&amp;$BV203&amp;".avi","Play"),"")</f>
        <v/>
      </c>
      <c r="BT203" s="48" t="str">
        <f>IF(BV203&lt;&gt;"",HYPERLINK(video!$F$25&amp;"\"&amp;"cam_5_"&amp;$BV203&amp;".avi","Play"),"")</f>
        <v/>
      </c>
      <c r="BU203" s="48" t="str">
        <f>IF(BV203&lt;&gt;"",HYPERLINK(video!$F$25&amp;"\"&amp;"cam_6_"&amp;$BV203&amp;".avi","Play"),"")</f>
        <v/>
      </c>
      <c r="BY203" s="4">
        <f t="shared" si="19"/>
        <v>186</v>
      </c>
      <c r="BZ203" s="4">
        <f t="shared" si="20"/>
        <v>246</v>
      </c>
      <c r="CD203" s="5" t="str">
        <f>Lineup!$G$1</f>
        <v>一軍例行賽</v>
      </c>
      <c r="CE203" s="4">
        <f>Lineup!$I$1</f>
        <v>148</v>
      </c>
      <c r="CF203" s="5" t="str">
        <f>Lineup!$G$5</f>
        <v>王俊宏</v>
      </c>
      <c r="CG203" s="5" t="str">
        <f>Lineup!$G$4</f>
        <v>桃園</v>
      </c>
    </row>
    <row r="204" spans="1:85" x14ac:dyDescent="0.3">
      <c r="A204" s="43"/>
      <c r="AX204" s="4" t="str">
        <f>IFERROR(VLOOKUP(M204,Roster!$D$2:$E$27,2,FALSE),"")</f>
        <v/>
      </c>
      <c r="AY204" s="4" t="str">
        <f t="shared" si="21"/>
        <v>好壞</v>
      </c>
      <c r="BI204" s="5" t="str">
        <f>Lineup!$G$2</f>
        <v>20210817</v>
      </c>
      <c r="BJ204" s="4" t="str">
        <f t="shared" si="22"/>
        <v>偏內角偏高</v>
      </c>
      <c r="BK204" s="4" t="str">
        <f t="shared" si="23"/>
        <v>BO</v>
      </c>
      <c r="BL204" s="4" t="str">
        <f>IFERROR(VLOOKUP('HomeAttackPlay-by-Play'!E204,Roster!$L$2:$M$27,2,FALSE),"")</f>
        <v/>
      </c>
      <c r="BP204" s="48" t="str">
        <f>IF(BO204&lt;&gt;"",HYPERLINK(video!$F$29&amp;"\"&amp;"cam_1_"&amp;$BO204&amp;".avi","Play"),"")</f>
        <v/>
      </c>
      <c r="BQ204" s="48" t="str">
        <f>IF(BO204&lt;&gt;"",HYPERLINK(video!$F$29&amp;"\"&amp;"cam_2_"&amp;$BO204&amp;".avi","Play"),"")</f>
        <v/>
      </c>
      <c r="BR204" s="48" t="str">
        <f>IF(BO204&lt;&gt;"",HYPERLINK(video!$F$29&amp;"\"&amp;"cam_3_"&amp;$BO204&amp;".avi","Play"),"")</f>
        <v/>
      </c>
      <c r="BS204" s="48" t="str">
        <f>IF(BV204&lt;&gt;"",HYPERLINK(video!$F$25&amp;"\"&amp;"cam_4_"&amp;$BV204&amp;".avi","Play"),"")</f>
        <v/>
      </c>
      <c r="BT204" s="48" t="str">
        <f>IF(BV204&lt;&gt;"",HYPERLINK(video!$F$25&amp;"\"&amp;"cam_5_"&amp;$BV204&amp;".avi","Play"),"")</f>
        <v/>
      </c>
      <c r="BU204" s="48" t="str">
        <f>IF(BV204&lt;&gt;"",HYPERLINK(video!$F$25&amp;"\"&amp;"cam_6_"&amp;$BV204&amp;".avi","Play"),"")</f>
        <v/>
      </c>
      <c r="BY204" s="4">
        <f t="shared" si="19"/>
        <v>186</v>
      </c>
      <c r="BZ204" s="4">
        <f t="shared" si="20"/>
        <v>246</v>
      </c>
      <c r="CD204" s="5" t="str">
        <f>Lineup!$G$1</f>
        <v>一軍例行賽</v>
      </c>
      <c r="CE204" s="4">
        <f>Lineup!$I$1</f>
        <v>148</v>
      </c>
      <c r="CF204" s="5" t="str">
        <f>Lineup!$G$5</f>
        <v>王俊宏</v>
      </c>
      <c r="CG204" s="5" t="str">
        <f>Lineup!$G$4</f>
        <v>桃園</v>
      </c>
    </row>
    <row r="205" spans="1:85" x14ac:dyDescent="0.3">
      <c r="A205" s="43"/>
      <c r="AX205" s="4" t="str">
        <f>IFERROR(VLOOKUP(M205,Roster!$D$2:$E$27,2,FALSE),"")</f>
        <v/>
      </c>
      <c r="AY205" s="4" t="str">
        <f t="shared" si="21"/>
        <v>好壞</v>
      </c>
      <c r="BI205" s="5" t="str">
        <f>Lineup!$G$2</f>
        <v>20210817</v>
      </c>
      <c r="BJ205" s="4" t="str">
        <f t="shared" si="22"/>
        <v>偏內角偏高</v>
      </c>
      <c r="BK205" s="4" t="str">
        <f t="shared" si="23"/>
        <v>BO</v>
      </c>
      <c r="BL205" s="4" t="str">
        <f>IFERROR(VLOOKUP('HomeAttackPlay-by-Play'!E205,Roster!$L$2:$M$27,2,FALSE),"")</f>
        <v/>
      </c>
      <c r="BP205" s="48" t="str">
        <f>IF(BO205&lt;&gt;"",HYPERLINK(video!$F$29&amp;"\"&amp;"cam_1_"&amp;$BO205&amp;".avi","Play"),"")</f>
        <v/>
      </c>
      <c r="BQ205" s="48" t="str">
        <f>IF(BO205&lt;&gt;"",HYPERLINK(video!$F$29&amp;"\"&amp;"cam_2_"&amp;$BO205&amp;".avi","Play"),"")</f>
        <v/>
      </c>
      <c r="BR205" s="48" t="str">
        <f>IF(BO205&lt;&gt;"",HYPERLINK(video!$F$29&amp;"\"&amp;"cam_3_"&amp;$BO205&amp;".avi","Play"),"")</f>
        <v/>
      </c>
      <c r="BS205" s="48" t="str">
        <f>IF(BV205&lt;&gt;"",HYPERLINK(video!$F$25&amp;"\"&amp;"cam_4_"&amp;$BV205&amp;".avi","Play"),"")</f>
        <v/>
      </c>
      <c r="BT205" s="48" t="str">
        <f>IF(BV205&lt;&gt;"",HYPERLINK(video!$F$25&amp;"\"&amp;"cam_5_"&amp;$BV205&amp;".avi","Play"),"")</f>
        <v/>
      </c>
      <c r="BU205" s="48" t="str">
        <f>IF(BV205&lt;&gt;"",HYPERLINK(video!$F$25&amp;"\"&amp;"cam_6_"&amp;$BV205&amp;".avi","Play"),"")</f>
        <v/>
      </c>
      <c r="BY205" s="4">
        <f t="shared" si="19"/>
        <v>186</v>
      </c>
      <c r="BZ205" s="4">
        <f t="shared" si="20"/>
        <v>246</v>
      </c>
      <c r="CD205" s="5" t="str">
        <f>Lineup!$G$1</f>
        <v>一軍例行賽</v>
      </c>
      <c r="CE205" s="4">
        <f>Lineup!$I$1</f>
        <v>148</v>
      </c>
      <c r="CF205" s="5" t="str">
        <f>Lineup!$G$5</f>
        <v>王俊宏</v>
      </c>
      <c r="CG205" s="5" t="str">
        <f>Lineup!$G$4</f>
        <v>桃園</v>
      </c>
    </row>
    <row r="206" spans="1:85" x14ac:dyDescent="0.3">
      <c r="A206" s="43"/>
      <c r="AX206" s="4" t="str">
        <f>IFERROR(VLOOKUP(M206,Roster!$D$2:$E$27,2,FALSE),"")</f>
        <v/>
      </c>
      <c r="AY206" s="4" t="str">
        <f t="shared" si="21"/>
        <v>好壞</v>
      </c>
      <c r="BI206" s="5" t="str">
        <f>Lineup!$G$2</f>
        <v>20210817</v>
      </c>
      <c r="BJ206" s="4" t="str">
        <f t="shared" si="22"/>
        <v>偏內角偏高</v>
      </c>
      <c r="BK206" s="4" t="str">
        <f t="shared" si="23"/>
        <v>BO</v>
      </c>
      <c r="BL206" s="4" t="str">
        <f>IFERROR(VLOOKUP('HomeAttackPlay-by-Play'!E206,Roster!$L$2:$M$27,2,FALSE),"")</f>
        <v/>
      </c>
      <c r="BP206" s="48" t="str">
        <f>IF(BO206&lt;&gt;"",HYPERLINK(video!$F$29&amp;"\"&amp;"cam_1_"&amp;$BO206&amp;".avi","Play"),"")</f>
        <v/>
      </c>
      <c r="BQ206" s="48" t="str">
        <f>IF(BO206&lt;&gt;"",HYPERLINK(video!$F$29&amp;"\"&amp;"cam_2_"&amp;$BO206&amp;".avi","Play"),"")</f>
        <v/>
      </c>
      <c r="BR206" s="48" t="str">
        <f>IF(BO206&lt;&gt;"",HYPERLINK(video!$F$29&amp;"\"&amp;"cam_3_"&amp;$BO206&amp;".avi","Play"),"")</f>
        <v/>
      </c>
      <c r="BS206" s="48" t="str">
        <f>IF(BV206&lt;&gt;"",HYPERLINK(video!$F$25&amp;"\"&amp;"cam_4_"&amp;$BV206&amp;".avi","Play"),"")</f>
        <v/>
      </c>
      <c r="BT206" s="48" t="str">
        <f>IF(BV206&lt;&gt;"",HYPERLINK(video!$F$25&amp;"\"&amp;"cam_5_"&amp;$BV206&amp;".avi","Play"),"")</f>
        <v/>
      </c>
      <c r="BU206" s="48" t="str">
        <f>IF(BV206&lt;&gt;"",HYPERLINK(video!$F$25&amp;"\"&amp;"cam_6_"&amp;$BV206&amp;".avi","Play"),"")</f>
        <v/>
      </c>
      <c r="BY206" s="4">
        <f t="shared" si="19"/>
        <v>186</v>
      </c>
      <c r="BZ206" s="4">
        <f t="shared" si="20"/>
        <v>246</v>
      </c>
      <c r="CD206" s="5" t="str">
        <f>Lineup!$G$1</f>
        <v>一軍例行賽</v>
      </c>
      <c r="CE206" s="4">
        <f>Lineup!$I$1</f>
        <v>148</v>
      </c>
      <c r="CF206" s="5" t="str">
        <f>Lineup!$G$5</f>
        <v>王俊宏</v>
      </c>
      <c r="CG206" s="5" t="str">
        <f>Lineup!$G$4</f>
        <v>桃園</v>
      </c>
    </row>
    <row r="207" spans="1:85" x14ac:dyDescent="0.3">
      <c r="A207" s="43"/>
      <c r="AX207" s="4" t="str">
        <f>IFERROR(VLOOKUP(M207,Roster!$D$2:$E$27,2,FALSE),"")</f>
        <v/>
      </c>
      <c r="AY207" s="4" t="str">
        <f t="shared" si="21"/>
        <v>好壞</v>
      </c>
      <c r="BI207" s="5" t="str">
        <f>Lineup!$G$2</f>
        <v>20210817</v>
      </c>
      <c r="BJ207" s="4" t="str">
        <f t="shared" si="22"/>
        <v>偏內角偏高</v>
      </c>
      <c r="BK207" s="4" t="str">
        <f t="shared" si="23"/>
        <v>BO</v>
      </c>
      <c r="BL207" s="4" t="str">
        <f>IFERROR(VLOOKUP('HomeAttackPlay-by-Play'!E207,Roster!$L$2:$M$27,2,FALSE),"")</f>
        <v/>
      </c>
      <c r="BP207" s="48" t="str">
        <f>IF(BO207&lt;&gt;"",HYPERLINK(video!$F$29&amp;"\"&amp;"cam_1_"&amp;$BO207&amp;".avi","Play"),"")</f>
        <v/>
      </c>
      <c r="BQ207" s="48" t="str">
        <f>IF(BO207&lt;&gt;"",HYPERLINK(video!$F$29&amp;"\"&amp;"cam_2_"&amp;$BO207&amp;".avi","Play"),"")</f>
        <v/>
      </c>
      <c r="BR207" s="48" t="str">
        <f>IF(BO207&lt;&gt;"",HYPERLINK(video!$F$29&amp;"\"&amp;"cam_3_"&amp;$BO207&amp;".avi","Play"),"")</f>
        <v/>
      </c>
      <c r="BS207" s="48" t="str">
        <f>IF(BV207&lt;&gt;"",HYPERLINK(video!$F$25&amp;"\"&amp;"cam_4_"&amp;$BV207&amp;".avi","Play"),"")</f>
        <v/>
      </c>
      <c r="BT207" s="48" t="str">
        <f>IF(BV207&lt;&gt;"",HYPERLINK(video!$F$25&amp;"\"&amp;"cam_5_"&amp;$BV207&amp;".avi","Play"),"")</f>
        <v/>
      </c>
      <c r="BU207" s="48" t="str">
        <f>IF(BV207&lt;&gt;"",HYPERLINK(video!$F$25&amp;"\"&amp;"cam_6_"&amp;$BV207&amp;".avi","Play"),"")</f>
        <v/>
      </c>
      <c r="BY207" s="4">
        <f t="shared" si="19"/>
        <v>186</v>
      </c>
      <c r="BZ207" s="4">
        <f t="shared" si="20"/>
        <v>246</v>
      </c>
      <c r="CD207" s="5" t="str">
        <f>Lineup!$G$1</f>
        <v>一軍例行賽</v>
      </c>
      <c r="CE207" s="4">
        <f>Lineup!$I$1</f>
        <v>148</v>
      </c>
      <c r="CF207" s="5" t="str">
        <f>Lineup!$G$5</f>
        <v>王俊宏</v>
      </c>
      <c r="CG207" s="5" t="str">
        <f>Lineup!$G$4</f>
        <v>桃園</v>
      </c>
    </row>
    <row r="208" spans="1:85" x14ac:dyDescent="0.3">
      <c r="A208" s="43"/>
      <c r="AX208" s="4" t="str">
        <f>IFERROR(VLOOKUP(M208,Roster!$D$2:$E$27,2,FALSE),"")</f>
        <v/>
      </c>
      <c r="AY208" s="4" t="str">
        <f t="shared" si="21"/>
        <v>好壞</v>
      </c>
      <c r="BI208" s="5" t="str">
        <f>Lineup!$G$2</f>
        <v>20210817</v>
      </c>
      <c r="BJ208" s="4" t="str">
        <f t="shared" si="22"/>
        <v>偏內角偏高</v>
      </c>
      <c r="BK208" s="4" t="str">
        <f t="shared" si="23"/>
        <v>BO</v>
      </c>
      <c r="BL208" s="4" t="str">
        <f>IFERROR(VLOOKUP('HomeAttackPlay-by-Play'!E208,Roster!$L$2:$M$27,2,FALSE),"")</f>
        <v/>
      </c>
      <c r="BP208" s="48" t="str">
        <f>IF(BO208&lt;&gt;"",HYPERLINK(video!$F$29&amp;"\"&amp;"cam_1_"&amp;$BO208&amp;".avi","Play"),"")</f>
        <v/>
      </c>
      <c r="BQ208" s="48" t="str">
        <f>IF(BO208&lt;&gt;"",HYPERLINK(video!$F$29&amp;"\"&amp;"cam_2_"&amp;$BO208&amp;".avi","Play"),"")</f>
        <v/>
      </c>
      <c r="BR208" s="48" t="str">
        <f>IF(BO208&lt;&gt;"",HYPERLINK(video!$F$29&amp;"\"&amp;"cam_3_"&amp;$BO208&amp;".avi","Play"),"")</f>
        <v/>
      </c>
      <c r="BS208" s="48" t="str">
        <f>IF(BV208&lt;&gt;"",HYPERLINK(video!$F$25&amp;"\"&amp;"cam_4_"&amp;$BV208&amp;".avi","Play"),"")</f>
        <v/>
      </c>
      <c r="BT208" s="48" t="str">
        <f>IF(BV208&lt;&gt;"",HYPERLINK(video!$F$25&amp;"\"&amp;"cam_5_"&amp;$BV208&amp;".avi","Play"),"")</f>
        <v/>
      </c>
      <c r="BU208" s="48" t="str">
        <f>IF(BV208&lt;&gt;"",HYPERLINK(video!$F$25&amp;"\"&amp;"cam_6_"&amp;$BV208&amp;".avi","Play"),"")</f>
        <v/>
      </c>
      <c r="BY208" s="4">
        <f t="shared" si="19"/>
        <v>186</v>
      </c>
      <c r="BZ208" s="4">
        <f t="shared" si="20"/>
        <v>246</v>
      </c>
      <c r="CD208" s="5" t="str">
        <f>Lineup!$G$1</f>
        <v>一軍例行賽</v>
      </c>
      <c r="CE208" s="4">
        <f>Lineup!$I$1</f>
        <v>148</v>
      </c>
      <c r="CF208" s="5" t="str">
        <f>Lineup!$G$5</f>
        <v>王俊宏</v>
      </c>
      <c r="CG208" s="5" t="str">
        <f>Lineup!$G$4</f>
        <v>桃園</v>
      </c>
    </row>
    <row r="209" spans="1:85" x14ac:dyDescent="0.3">
      <c r="A209" s="43"/>
      <c r="AX209" s="4" t="str">
        <f>IFERROR(VLOOKUP(M209,Roster!$D$2:$E$27,2,FALSE),"")</f>
        <v/>
      </c>
      <c r="AY209" s="4" t="str">
        <f t="shared" si="21"/>
        <v>好壞</v>
      </c>
      <c r="BI209" s="5" t="str">
        <f>Lineup!$G$2</f>
        <v>20210817</v>
      </c>
      <c r="BJ209" s="4" t="str">
        <f t="shared" si="22"/>
        <v>偏內角偏高</v>
      </c>
      <c r="BK209" s="4" t="str">
        <f t="shared" si="23"/>
        <v>BO</v>
      </c>
      <c r="BL209" s="4" t="str">
        <f>IFERROR(VLOOKUP('HomeAttackPlay-by-Play'!E209,Roster!$L$2:$M$27,2,FALSE),"")</f>
        <v/>
      </c>
      <c r="BP209" s="48" t="str">
        <f>IF(BO209&lt;&gt;"",HYPERLINK(video!$F$29&amp;"\"&amp;"cam_1_"&amp;$BO209&amp;".avi","Play"),"")</f>
        <v/>
      </c>
      <c r="BQ209" s="48" t="str">
        <f>IF(BO209&lt;&gt;"",HYPERLINK(video!$F$29&amp;"\"&amp;"cam_2_"&amp;$BO209&amp;".avi","Play"),"")</f>
        <v/>
      </c>
      <c r="BR209" s="48" t="str">
        <f>IF(BO209&lt;&gt;"",HYPERLINK(video!$F$29&amp;"\"&amp;"cam_3_"&amp;$BO209&amp;".avi","Play"),"")</f>
        <v/>
      </c>
      <c r="BS209" s="48" t="str">
        <f>IF(BV209&lt;&gt;"",HYPERLINK(video!$F$25&amp;"\"&amp;"cam_4_"&amp;$BV209&amp;".avi","Play"),"")</f>
        <v/>
      </c>
      <c r="BT209" s="48" t="str">
        <f>IF(BV209&lt;&gt;"",HYPERLINK(video!$F$25&amp;"\"&amp;"cam_5_"&amp;$BV209&amp;".avi","Play"),"")</f>
        <v/>
      </c>
      <c r="BU209" s="48" t="str">
        <f>IF(BV209&lt;&gt;"",HYPERLINK(video!$F$25&amp;"\"&amp;"cam_6_"&amp;$BV209&amp;".avi","Play"),"")</f>
        <v/>
      </c>
      <c r="BY209" s="4">
        <f t="shared" si="19"/>
        <v>186</v>
      </c>
      <c r="BZ209" s="4">
        <f t="shared" si="20"/>
        <v>246</v>
      </c>
      <c r="CD209" s="5" t="str">
        <f>Lineup!$G$1</f>
        <v>一軍例行賽</v>
      </c>
      <c r="CE209" s="4">
        <f>Lineup!$I$1</f>
        <v>148</v>
      </c>
      <c r="CF209" s="5" t="str">
        <f>Lineup!$G$5</f>
        <v>王俊宏</v>
      </c>
      <c r="CG209" s="5" t="str">
        <f>Lineup!$G$4</f>
        <v>桃園</v>
      </c>
    </row>
    <row r="210" spans="1:85" x14ac:dyDescent="0.3">
      <c r="A210" s="43"/>
      <c r="AX210" s="4" t="str">
        <f>IFERROR(VLOOKUP(M210,Roster!$D$2:$E$27,2,FALSE),"")</f>
        <v/>
      </c>
      <c r="AY210" s="4" t="str">
        <f t="shared" si="21"/>
        <v>好壞</v>
      </c>
      <c r="BI210" s="5" t="str">
        <f>Lineup!$G$2</f>
        <v>20210817</v>
      </c>
      <c r="BJ210" s="4" t="str">
        <f t="shared" si="22"/>
        <v>偏內角偏高</v>
      </c>
      <c r="BK210" s="4" t="str">
        <f t="shared" si="23"/>
        <v>BO</v>
      </c>
      <c r="BL210" s="4" t="str">
        <f>IFERROR(VLOOKUP('HomeAttackPlay-by-Play'!E210,Roster!$L$2:$M$27,2,FALSE),"")</f>
        <v/>
      </c>
      <c r="BP210" s="48" t="str">
        <f>IF(BO210&lt;&gt;"",HYPERLINK(video!$F$29&amp;"\"&amp;"cam_1_"&amp;$BO210&amp;".avi","Play"),"")</f>
        <v/>
      </c>
      <c r="BQ210" s="48" t="str">
        <f>IF(BO210&lt;&gt;"",HYPERLINK(video!$F$29&amp;"\"&amp;"cam_2_"&amp;$BO210&amp;".avi","Play"),"")</f>
        <v/>
      </c>
      <c r="BR210" s="48" t="str">
        <f>IF(BO210&lt;&gt;"",HYPERLINK(video!$F$29&amp;"\"&amp;"cam_3_"&amp;$BO210&amp;".avi","Play"),"")</f>
        <v/>
      </c>
      <c r="BS210" s="48" t="str">
        <f>IF(BV210&lt;&gt;"",HYPERLINK(video!$F$25&amp;"\"&amp;"cam_4_"&amp;$BV210&amp;".avi","Play"),"")</f>
        <v/>
      </c>
      <c r="BT210" s="48" t="str">
        <f>IF(BV210&lt;&gt;"",HYPERLINK(video!$F$25&amp;"\"&amp;"cam_5_"&amp;$BV210&amp;".avi","Play"),"")</f>
        <v/>
      </c>
      <c r="BU210" s="48" t="str">
        <f>IF(BV210&lt;&gt;"",HYPERLINK(video!$F$25&amp;"\"&amp;"cam_6_"&amp;$BV210&amp;".avi","Play"),"")</f>
        <v/>
      </c>
      <c r="BY210" s="4">
        <f t="shared" si="19"/>
        <v>186</v>
      </c>
      <c r="BZ210" s="4">
        <f t="shared" si="20"/>
        <v>246</v>
      </c>
      <c r="CD210" s="5" t="str">
        <f>Lineup!$G$1</f>
        <v>一軍例行賽</v>
      </c>
      <c r="CE210" s="4">
        <f>Lineup!$I$1</f>
        <v>148</v>
      </c>
      <c r="CF210" s="5" t="str">
        <f>Lineup!$G$5</f>
        <v>王俊宏</v>
      </c>
      <c r="CG210" s="5" t="str">
        <f>Lineup!$G$4</f>
        <v>桃園</v>
      </c>
    </row>
    <row r="211" spans="1:85" x14ac:dyDescent="0.3">
      <c r="A211" s="43"/>
      <c r="AX211" s="4" t="str">
        <f>IFERROR(VLOOKUP(M211,Roster!$D$2:$E$27,2,FALSE),"")</f>
        <v/>
      </c>
      <c r="AY211" s="4" t="str">
        <f t="shared" si="21"/>
        <v>好壞</v>
      </c>
      <c r="BI211" s="5" t="str">
        <f>Lineup!$G$2</f>
        <v>20210817</v>
      </c>
      <c r="BJ211" s="4" t="str">
        <f t="shared" si="22"/>
        <v>偏內角偏高</v>
      </c>
      <c r="BK211" s="4" t="str">
        <f t="shared" si="23"/>
        <v>BO</v>
      </c>
      <c r="BL211" s="4" t="str">
        <f>IFERROR(VLOOKUP('HomeAttackPlay-by-Play'!E211,Roster!$L$2:$M$27,2,FALSE),"")</f>
        <v/>
      </c>
      <c r="BP211" s="48" t="str">
        <f>IF(BO211&lt;&gt;"",HYPERLINK(video!$F$29&amp;"\"&amp;"cam_1_"&amp;$BO211&amp;".avi","Play"),"")</f>
        <v/>
      </c>
      <c r="BQ211" s="48" t="str">
        <f>IF(BO211&lt;&gt;"",HYPERLINK(video!$F$29&amp;"\"&amp;"cam_2_"&amp;$BO211&amp;".avi","Play"),"")</f>
        <v/>
      </c>
      <c r="BR211" s="48" t="str">
        <f>IF(BO211&lt;&gt;"",HYPERLINK(video!$F$29&amp;"\"&amp;"cam_3_"&amp;$BO211&amp;".avi","Play"),"")</f>
        <v/>
      </c>
      <c r="BS211" s="48" t="str">
        <f>IF(BV211&lt;&gt;"",HYPERLINK(video!$F$25&amp;"\"&amp;"cam_4_"&amp;$BV211&amp;".avi","Play"),"")</f>
        <v/>
      </c>
      <c r="BT211" s="48" t="str">
        <f>IF(BV211&lt;&gt;"",HYPERLINK(video!$F$25&amp;"\"&amp;"cam_5_"&amp;$BV211&amp;".avi","Play"),"")</f>
        <v/>
      </c>
      <c r="BU211" s="48" t="str">
        <f>IF(BV211&lt;&gt;"",HYPERLINK(video!$F$25&amp;"\"&amp;"cam_6_"&amp;$BV211&amp;".avi","Play"),"")</f>
        <v/>
      </c>
      <c r="BY211" s="4">
        <f t="shared" si="19"/>
        <v>186</v>
      </c>
      <c r="BZ211" s="4">
        <f t="shared" si="20"/>
        <v>246</v>
      </c>
      <c r="CD211" s="5" t="str">
        <f>Lineup!$G$1</f>
        <v>一軍例行賽</v>
      </c>
      <c r="CE211" s="4">
        <f>Lineup!$I$1</f>
        <v>148</v>
      </c>
      <c r="CF211" s="5" t="str">
        <f>Lineup!$G$5</f>
        <v>王俊宏</v>
      </c>
      <c r="CG211" s="5" t="str">
        <f>Lineup!$G$4</f>
        <v>桃園</v>
      </c>
    </row>
    <row r="212" spans="1:85" x14ac:dyDescent="0.3">
      <c r="A212" s="43"/>
      <c r="AX212" s="4" t="str">
        <f>IFERROR(VLOOKUP(M212,Roster!$D$2:$E$27,2,FALSE),"")</f>
        <v/>
      </c>
      <c r="AY212" s="4" t="str">
        <f t="shared" si="21"/>
        <v>好壞</v>
      </c>
      <c r="BI212" s="5" t="str">
        <f>Lineup!$G$2</f>
        <v>20210817</v>
      </c>
      <c r="BJ212" s="4" t="str">
        <f t="shared" si="22"/>
        <v>偏內角偏高</v>
      </c>
      <c r="BK212" s="4" t="str">
        <f t="shared" si="23"/>
        <v>BO</v>
      </c>
      <c r="BL212" s="4" t="str">
        <f>IFERROR(VLOOKUP('HomeAttackPlay-by-Play'!E212,Roster!$L$2:$M$27,2,FALSE),"")</f>
        <v/>
      </c>
      <c r="BP212" s="48" t="str">
        <f>IF(BO212&lt;&gt;"",HYPERLINK(video!$F$29&amp;"\"&amp;"cam_1_"&amp;$BO212&amp;".avi","Play"),"")</f>
        <v/>
      </c>
      <c r="BQ212" s="48" t="str">
        <f>IF(BO212&lt;&gt;"",HYPERLINK(video!$F$29&amp;"\"&amp;"cam_2_"&amp;$BO212&amp;".avi","Play"),"")</f>
        <v/>
      </c>
      <c r="BR212" s="48" t="str">
        <f>IF(BO212&lt;&gt;"",HYPERLINK(video!$F$29&amp;"\"&amp;"cam_3_"&amp;$BO212&amp;".avi","Play"),"")</f>
        <v/>
      </c>
      <c r="BS212" s="48" t="str">
        <f>IF(BV212&lt;&gt;"",HYPERLINK(video!$F$25&amp;"\"&amp;"cam_4_"&amp;$BV212&amp;".avi","Play"),"")</f>
        <v/>
      </c>
      <c r="BT212" s="48" t="str">
        <f>IF(BV212&lt;&gt;"",HYPERLINK(video!$F$25&amp;"\"&amp;"cam_5_"&amp;$BV212&amp;".avi","Play"),"")</f>
        <v/>
      </c>
      <c r="BU212" s="48" t="str">
        <f>IF(BV212&lt;&gt;"",HYPERLINK(video!$F$25&amp;"\"&amp;"cam_6_"&amp;$BV212&amp;".avi","Play"),"")</f>
        <v/>
      </c>
      <c r="BY212" s="4">
        <f t="shared" si="19"/>
        <v>186</v>
      </c>
      <c r="BZ212" s="4">
        <f t="shared" si="20"/>
        <v>246</v>
      </c>
      <c r="CD212" s="5" t="str">
        <f>Lineup!$G$1</f>
        <v>一軍例行賽</v>
      </c>
      <c r="CE212" s="4">
        <f>Lineup!$I$1</f>
        <v>148</v>
      </c>
      <c r="CF212" s="5" t="str">
        <f>Lineup!$G$5</f>
        <v>王俊宏</v>
      </c>
      <c r="CG212" s="5" t="str">
        <f>Lineup!$G$4</f>
        <v>桃園</v>
      </c>
    </row>
    <row r="213" spans="1:85" x14ac:dyDescent="0.3">
      <c r="A213" s="43"/>
      <c r="AX213" s="4" t="str">
        <f>IFERROR(VLOOKUP(M213,Roster!$D$2:$E$27,2,FALSE),"")</f>
        <v/>
      </c>
      <c r="AY213" s="4" t="str">
        <f t="shared" si="21"/>
        <v>好壞</v>
      </c>
      <c r="BI213" s="5" t="str">
        <f>Lineup!$G$2</f>
        <v>20210817</v>
      </c>
      <c r="BJ213" s="4" t="str">
        <f t="shared" si="22"/>
        <v>偏內角偏高</v>
      </c>
      <c r="BK213" s="4" t="str">
        <f t="shared" si="23"/>
        <v>BO</v>
      </c>
      <c r="BL213" s="4" t="str">
        <f>IFERROR(VLOOKUP('HomeAttackPlay-by-Play'!E213,Roster!$L$2:$M$27,2,FALSE),"")</f>
        <v/>
      </c>
      <c r="BP213" s="48" t="str">
        <f>IF(BO213&lt;&gt;"",HYPERLINK(video!$F$29&amp;"\"&amp;"cam_1_"&amp;$BO213&amp;".avi","Play"),"")</f>
        <v/>
      </c>
      <c r="BQ213" s="48" t="str">
        <f>IF(BO213&lt;&gt;"",HYPERLINK(video!$F$29&amp;"\"&amp;"cam_2_"&amp;$BO213&amp;".avi","Play"),"")</f>
        <v/>
      </c>
      <c r="BR213" s="48" t="str">
        <f>IF(BO213&lt;&gt;"",HYPERLINK(video!$F$29&amp;"\"&amp;"cam_3_"&amp;$BO213&amp;".avi","Play"),"")</f>
        <v/>
      </c>
      <c r="BS213" s="48" t="str">
        <f>IF(BV213&lt;&gt;"",HYPERLINK(video!$F$25&amp;"\"&amp;"cam_4_"&amp;$BV213&amp;".avi","Play"),"")</f>
        <v/>
      </c>
      <c r="BT213" s="48" t="str">
        <f>IF(BV213&lt;&gt;"",HYPERLINK(video!$F$25&amp;"\"&amp;"cam_5_"&amp;$BV213&amp;".avi","Play"),"")</f>
        <v/>
      </c>
      <c r="BU213" s="48" t="str">
        <f>IF(BV213&lt;&gt;"",HYPERLINK(video!$F$25&amp;"\"&amp;"cam_6_"&amp;$BV213&amp;".avi","Play"),"")</f>
        <v/>
      </c>
      <c r="BY213" s="4">
        <f t="shared" si="19"/>
        <v>186</v>
      </c>
      <c r="BZ213" s="4">
        <f t="shared" si="20"/>
        <v>246</v>
      </c>
      <c r="CD213" s="5" t="str">
        <f>Lineup!$G$1</f>
        <v>一軍例行賽</v>
      </c>
      <c r="CE213" s="4">
        <f>Lineup!$I$1</f>
        <v>148</v>
      </c>
      <c r="CF213" s="5" t="str">
        <f>Lineup!$G$5</f>
        <v>王俊宏</v>
      </c>
      <c r="CG213" s="5" t="str">
        <f>Lineup!$G$4</f>
        <v>桃園</v>
      </c>
    </row>
    <row r="214" spans="1:85" x14ac:dyDescent="0.3">
      <c r="A214" s="43"/>
      <c r="AX214" s="4" t="str">
        <f>IFERROR(VLOOKUP(M214,Roster!$D$2:$E$27,2,FALSE),"")</f>
        <v/>
      </c>
      <c r="AY214" s="4" t="str">
        <f t="shared" si="21"/>
        <v>好壞</v>
      </c>
      <c r="BI214" s="5" t="str">
        <f>Lineup!$G$2</f>
        <v>20210817</v>
      </c>
      <c r="BJ214" s="4" t="str">
        <f t="shared" si="22"/>
        <v>偏內角偏高</v>
      </c>
      <c r="BK214" s="4" t="str">
        <f t="shared" si="23"/>
        <v>BO</v>
      </c>
      <c r="BL214" s="4" t="str">
        <f>IFERROR(VLOOKUP('HomeAttackPlay-by-Play'!E214,Roster!$L$2:$M$27,2,FALSE),"")</f>
        <v/>
      </c>
      <c r="BP214" s="48" t="str">
        <f>IF(BO214&lt;&gt;"",HYPERLINK(video!$F$29&amp;"\"&amp;"cam_1_"&amp;$BO214&amp;".avi","Play"),"")</f>
        <v/>
      </c>
      <c r="BQ214" s="48" t="str">
        <f>IF(BO214&lt;&gt;"",HYPERLINK(video!$F$29&amp;"\"&amp;"cam_2_"&amp;$BO214&amp;".avi","Play"),"")</f>
        <v/>
      </c>
      <c r="BR214" s="48" t="str">
        <f>IF(BO214&lt;&gt;"",HYPERLINK(video!$F$29&amp;"\"&amp;"cam_3_"&amp;$BO214&amp;".avi","Play"),"")</f>
        <v/>
      </c>
      <c r="BS214" s="48" t="str">
        <f>IF(BV214&lt;&gt;"",HYPERLINK(video!$F$25&amp;"\"&amp;"cam_4_"&amp;$BV214&amp;".avi","Play"),"")</f>
        <v/>
      </c>
      <c r="BT214" s="48" t="str">
        <f>IF(BV214&lt;&gt;"",HYPERLINK(video!$F$25&amp;"\"&amp;"cam_5_"&amp;$BV214&amp;".avi","Play"),"")</f>
        <v/>
      </c>
      <c r="BU214" s="48" t="str">
        <f>IF(BV214&lt;&gt;"",HYPERLINK(video!$F$25&amp;"\"&amp;"cam_6_"&amp;$BV214&amp;".avi","Play"),"")</f>
        <v/>
      </c>
      <c r="BY214" s="4">
        <f t="shared" si="19"/>
        <v>186</v>
      </c>
      <c r="BZ214" s="4">
        <f t="shared" si="20"/>
        <v>246</v>
      </c>
      <c r="CD214" s="5" t="str">
        <f>Lineup!$G$1</f>
        <v>一軍例行賽</v>
      </c>
      <c r="CE214" s="4">
        <f>Lineup!$I$1</f>
        <v>148</v>
      </c>
      <c r="CF214" s="5" t="str">
        <f>Lineup!$G$5</f>
        <v>王俊宏</v>
      </c>
      <c r="CG214" s="5" t="str">
        <f>Lineup!$G$4</f>
        <v>桃園</v>
      </c>
    </row>
    <row r="215" spans="1:85" x14ac:dyDescent="0.3">
      <c r="A215" s="43"/>
      <c r="AX215" s="4" t="str">
        <f>IFERROR(VLOOKUP(M215,Roster!$D$2:$E$27,2,FALSE),"")</f>
        <v/>
      </c>
      <c r="AY215" s="4" t="str">
        <f t="shared" si="21"/>
        <v>好壞</v>
      </c>
      <c r="BI215" s="5" t="str">
        <f>Lineup!$G$2</f>
        <v>20210817</v>
      </c>
      <c r="BJ215" s="4" t="str">
        <f t="shared" si="22"/>
        <v>偏內角偏高</v>
      </c>
      <c r="BK215" s="4" t="str">
        <f t="shared" si="23"/>
        <v>BO</v>
      </c>
      <c r="BL215" s="4" t="str">
        <f>IFERROR(VLOOKUP('HomeAttackPlay-by-Play'!E215,Roster!$L$2:$M$27,2,FALSE),"")</f>
        <v/>
      </c>
      <c r="BP215" s="48" t="str">
        <f>IF(BO215&lt;&gt;"",HYPERLINK(video!$F$29&amp;"\"&amp;"cam_1_"&amp;$BO215&amp;".avi","Play"),"")</f>
        <v/>
      </c>
      <c r="BQ215" s="48" t="str">
        <f>IF(BO215&lt;&gt;"",HYPERLINK(video!$F$29&amp;"\"&amp;"cam_2_"&amp;$BO215&amp;".avi","Play"),"")</f>
        <v/>
      </c>
      <c r="BR215" s="48" t="str">
        <f>IF(BO215&lt;&gt;"",HYPERLINK(video!$F$29&amp;"\"&amp;"cam_3_"&amp;$BO215&amp;".avi","Play"),"")</f>
        <v/>
      </c>
      <c r="BS215" s="48" t="str">
        <f>IF(BV215&lt;&gt;"",HYPERLINK(video!$F$25&amp;"\"&amp;"cam_4_"&amp;$BV215&amp;".avi","Play"),"")</f>
        <v/>
      </c>
      <c r="BT215" s="48" t="str">
        <f>IF(BV215&lt;&gt;"",HYPERLINK(video!$F$25&amp;"\"&amp;"cam_5_"&amp;$BV215&amp;".avi","Play"),"")</f>
        <v/>
      </c>
      <c r="BU215" s="48" t="str">
        <f>IF(BV215&lt;&gt;"",HYPERLINK(video!$F$25&amp;"\"&amp;"cam_6_"&amp;$BV215&amp;".avi","Play"),"")</f>
        <v/>
      </c>
      <c r="BY215" s="4">
        <f t="shared" si="19"/>
        <v>186</v>
      </c>
      <c r="BZ215" s="4">
        <f t="shared" si="20"/>
        <v>246</v>
      </c>
      <c r="CD215" s="5" t="str">
        <f>Lineup!$G$1</f>
        <v>一軍例行賽</v>
      </c>
      <c r="CE215" s="4">
        <f>Lineup!$I$1</f>
        <v>148</v>
      </c>
      <c r="CF215" s="5" t="str">
        <f>Lineup!$G$5</f>
        <v>王俊宏</v>
      </c>
      <c r="CG215" s="5" t="str">
        <f>Lineup!$G$4</f>
        <v>桃園</v>
      </c>
    </row>
    <row r="216" spans="1:85" x14ac:dyDescent="0.3">
      <c r="A216" s="43"/>
      <c r="AX216" s="4" t="str">
        <f>IFERROR(VLOOKUP(M216,Roster!$D$2:$E$27,2,FALSE),"")</f>
        <v/>
      </c>
      <c r="AY216" s="4" t="str">
        <f t="shared" si="21"/>
        <v>好壞</v>
      </c>
      <c r="BI216" s="5" t="str">
        <f>Lineup!$G$2</f>
        <v>20210817</v>
      </c>
      <c r="BJ216" s="4" t="str">
        <f t="shared" si="22"/>
        <v>偏內角偏高</v>
      </c>
      <c r="BK216" s="4" t="str">
        <f t="shared" si="23"/>
        <v>BO</v>
      </c>
      <c r="BL216" s="4" t="str">
        <f>IFERROR(VLOOKUP('HomeAttackPlay-by-Play'!E216,Roster!$L$2:$M$27,2,FALSE),"")</f>
        <v/>
      </c>
      <c r="BP216" s="48" t="str">
        <f>IF(BO216&lt;&gt;"",HYPERLINK(video!$F$29&amp;"\"&amp;"cam_1_"&amp;$BO216&amp;".avi","Play"),"")</f>
        <v/>
      </c>
      <c r="BQ216" s="48" t="str">
        <f>IF(BO216&lt;&gt;"",HYPERLINK(video!$F$29&amp;"\"&amp;"cam_2_"&amp;$BO216&amp;".avi","Play"),"")</f>
        <v/>
      </c>
      <c r="BR216" s="48" t="str">
        <f>IF(BO216&lt;&gt;"",HYPERLINK(video!$F$29&amp;"\"&amp;"cam_3_"&amp;$BO216&amp;".avi","Play"),"")</f>
        <v/>
      </c>
      <c r="BS216" s="48" t="str">
        <f>IF(BV216&lt;&gt;"",HYPERLINK(video!$F$25&amp;"\"&amp;"cam_4_"&amp;$BV216&amp;".avi","Play"),"")</f>
        <v/>
      </c>
      <c r="BT216" s="48" t="str">
        <f>IF(BV216&lt;&gt;"",HYPERLINK(video!$F$25&amp;"\"&amp;"cam_5_"&amp;$BV216&amp;".avi","Play"),"")</f>
        <v/>
      </c>
      <c r="BU216" s="48" t="str">
        <f>IF(BV216&lt;&gt;"",HYPERLINK(video!$F$25&amp;"\"&amp;"cam_6_"&amp;$BV216&amp;".avi","Play"),"")</f>
        <v/>
      </c>
      <c r="BY216" s="4">
        <f t="shared" si="19"/>
        <v>186</v>
      </c>
      <c r="BZ216" s="4">
        <f t="shared" si="20"/>
        <v>246</v>
      </c>
      <c r="CD216" s="5" t="str">
        <f>Lineup!$G$1</f>
        <v>一軍例行賽</v>
      </c>
      <c r="CE216" s="4">
        <f>Lineup!$I$1</f>
        <v>148</v>
      </c>
      <c r="CF216" s="5" t="str">
        <f>Lineup!$G$5</f>
        <v>王俊宏</v>
      </c>
      <c r="CG216" s="5" t="str">
        <f>Lineup!$G$4</f>
        <v>桃園</v>
      </c>
    </row>
    <row r="217" spans="1:85" x14ac:dyDescent="0.3">
      <c r="A217" s="43"/>
      <c r="AX217" s="4" t="str">
        <f>IFERROR(VLOOKUP(M217,Roster!$D$2:$E$27,2,FALSE),"")</f>
        <v/>
      </c>
      <c r="AY217" s="4" t="str">
        <f t="shared" si="21"/>
        <v>好壞</v>
      </c>
      <c r="BI217" s="5" t="str">
        <f>Lineup!$G$2</f>
        <v>20210817</v>
      </c>
      <c r="BJ217" s="4" t="str">
        <f t="shared" si="22"/>
        <v>偏內角偏高</v>
      </c>
      <c r="BK217" s="4" t="str">
        <f t="shared" si="23"/>
        <v>BO</v>
      </c>
      <c r="BL217" s="4" t="str">
        <f>IFERROR(VLOOKUP('HomeAttackPlay-by-Play'!E217,Roster!$L$2:$M$27,2,FALSE),"")</f>
        <v/>
      </c>
      <c r="BP217" s="48" t="str">
        <f>IF(BO217&lt;&gt;"",HYPERLINK(video!$F$29&amp;"\"&amp;"cam_1_"&amp;$BO217&amp;".avi","Play"),"")</f>
        <v/>
      </c>
      <c r="BQ217" s="48" t="str">
        <f>IF(BO217&lt;&gt;"",HYPERLINK(video!$F$29&amp;"\"&amp;"cam_2_"&amp;$BO217&amp;".avi","Play"),"")</f>
        <v/>
      </c>
      <c r="BR217" s="48" t="str">
        <f>IF(BO217&lt;&gt;"",HYPERLINK(video!$F$29&amp;"\"&amp;"cam_3_"&amp;$BO217&amp;".avi","Play"),"")</f>
        <v/>
      </c>
      <c r="BS217" s="48" t="str">
        <f>IF(BV217&lt;&gt;"",HYPERLINK(video!$F$25&amp;"\"&amp;"cam_4_"&amp;$BV217&amp;".avi","Play"),"")</f>
        <v/>
      </c>
      <c r="BT217" s="48" t="str">
        <f>IF(BV217&lt;&gt;"",HYPERLINK(video!$F$25&amp;"\"&amp;"cam_5_"&amp;$BV217&amp;".avi","Play"),"")</f>
        <v/>
      </c>
      <c r="BU217" s="48" t="str">
        <f>IF(BV217&lt;&gt;"",HYPERLINK(video!$F$25&amp;"\"&amp;"cam_6_"&amp;$BV217&amp;".avi","Play"),"")</f>
        <v/>
      </c>
      <c r="BY217" s="4">
        <f t="shared" si="19"/>
        <v>186</v>
      </c>
      <c r="BZ217" s="4">
        <f t="shared" si="20"/>
        <v>246</v>
      </c>
      <c r="CD217" s="5" t="str">
        <f>Lineup!$G$1</f>
        <v>一軍例行賽</v>
      </c>
      <c r="CE217" s="4">
        <f>Lineup!$I$1</f>
        <v>148</v>
      </c>
      <c r="CF217" s="5" t="str">
        <f>Lineup!$G$5</f>
        <v>王俊宏</v>
      </c>
      <c r="CG217" s="5" t="str">
        <f>Lineup!$G$4</f>
        <v>桃園</v>
      </c>
    </row>
    <row r="218" spans="1:85" x14ac:dyDescent="0.3">
      <c r="A218" s="43"/>
      <c r="AX218" s="4" t="str">
        <f>IFERROR(VLOOKUP(M218,Roster!$D$2:$E$27,2,FALSE),"")</f>
        <v/>
      </c>
      <c r="AY218" s="4" t="str">
        <f t="shared" si="21"/>
        <v>好壞</v>
      </c>
      <c r="BI218" s="5" t="str">
        <f>Lineup!$G$2</f>
        <v>20210817</v>
      </c>
      <c r="BJ218" s="4" t="str">
        <f t="shared" si="22"/>
        <v>偏內角偏高</v>
      </c>
      <c r="BK218" s="4" t="str">
        <f t="shared" si="23"/>
        <v>BO</v>
      </c>
      <c r="BL218" s="4" t="str">
        <f>IFERROR(VLOOKUP('HomeAttackPlay-by-Play'!E218,Roster!$L$2:$M$27,2,FALSE),"")</f>
        <v/>
      </c>
      <c r="BP218" s="48" t="str">
        <f>IF(BO218&lt;&gt;"",HYPERLINK(video!$F$29&amp;"\"&amp;"cam_1_"&amp;$BO218&amp;".avi","Play"),"")</f>
        <v/>
      </c>
      <c r="BQ218" s="48" t="str">
        <f>IF(BO218&lt;&gt;"",HYPERLINK(video!$F$29&amp;"\"&amp;"cam_2_"&amp;$BO218&amp;".avi","Play"),"")</f>
        <v/>
      </c>
      <c r="BR218" s="48" t="str">
        <f>IF(BO218&lt;&gt;"",HYPERLINK(video!$F$29&amp;"\"&amp;"cam_3_"&amp;$BO218&amp;".avi","Play"),"")</f>
        <v/>
      </c>
      <c r="BS218" s="48" t="str">
        <f>IF(BV218&lt;&gt;"",HYPERLINK(video!$F$25&amp;"\"&amp;"cam_4_"&amp;$BV218&amp;".avi","Play"),"")</f>
        <v/>
      </c>
      <c r="BT218" s="48" t="str">
        <f>IF(BV218&lt;&gt;"",HYPERLINK(video!$F$25&amp;"\"&amp;"cam_5_"&amp;$BV218&amp;".avi","Play"),"")</f>
        <v/>
      </c>
      <c r="BU218" s="48" t="str">
        <f>IF(BV218&lt;&gt;"",HYPERLINK(video!$F$25&amp;"\"&amp;"cam_6_"&amp;$BV218&amp;".avi","Play"),"")</f>
        <v/>
      </c>
      <c r="BY218" s="4">
        <f t="shared" si="19"/>
        <v>186</v>
      </c>
      <c r="BZ218" s="4">
        <f t="shared" si="20"/>
        <v>246</v>
      </c>
      <c r="CD218" s="5" t="str">
        <f>Lineup!$G$1</f>
        <v>一軍例行賽</v>
      </c>
      <c r="CE218" s="4">
        <f>Lineup!$I$1</f>
        <v>148</v>
      </c>
      <c r="CF218" s="5" t="str">
        <f>Lineup!$G$5</f>
        <v>王俊宏</v>
      </c>
      <c r="CG218" s="5" t="str">
        <f>Lineup!$G$4</f>
        <v>桃園</v>
      </c>
    </row>
    <row r="219" spans="1:85" x14ac:dyDescent="0.3">
      <c r="A219" s="43"/>
      <c r="AX219" s="4" t="str">
        <f>IFERROR(VLOOKUP(M219,Roster!$D$2:$E$27,2,FALSE),"")</f>
        <v/>
      </c>
      <c r="AY219" s="4" t="str">
        <f t="shared" si="21"/>
        <v>好壞</v>
      </c>
      <c r="BI219" s="5" t="str">
        <f>Lineup!$G$2</f>
        <v>20210817</v>
      </c>
      <c r="BJ219" s="4" t="str">
        <f t="shared" si="22"/>
        <v>偏內角偏高</v>
      </c>
      <c r="BK219" s="4" t="str">
        <f t="shared" si="23"/>
        <v>BO</v>
      </c>
      <c r="BL219" s="4" t="str">
        <f>IFERROR(VLOOKUP('HomeAttackPlay-by-Play'!E219,Roster!$L$2:$M$27,2,FALSE),"")</f>
        <v/>
      </c>
      <c r="BP219" s="48" t="str">
        <f>IF(BO219&lt;&gt;"",HYPERLINK(video!$F$29&amp;"\"&amp;"cam_1_"&amp;$BO219&amp;".avi","Play"),"")</f>
        <v/>
      </c>
      <c r="BQ219" s="48" t="str">
        <f>IF(BO219&lt;&gt;"",HYPERLINK(video!$F$29&amp;"\"&amp;"cam_2_"&amp;$BO219&amp;".avi","Play"),"")</f>
        <v/>
      </c>
      <c r="BR219" s="48" t="str">
        <f>IF(BO219&lt;&gt;"",HYPERLINK(video!$F$29&amp;"\"&amp;"cam_3_"&amp;$BO219&amp;".avi","Play"),"")</f>
        <v/>
      </c>
      <c r="BS219" s="48" t="str">
        <f>IF(BV219&lt;&gt;"",HYPERLINK(video!$F$25&amp;"\"&amp;"cam_4_"&amp;$BV219&amp;".avi","Play"),"")</f>
        <v/>
      </c>
      <c r="BT219" s="48" t="str">
        <f>IF(BV219&lt;&gt;"",HYPERLINK(video!$F$25&amp;"\"&amp;"cam_5_"&amp;$BV219&amp;".avi","Play"),"")</f>
        <v/>
      </c>
      <c r="BU219" s="48" t="str">
        <f>IF(BV219&lt;&gt;"",HYPERLINK(video!$F$25&amp;"\"&amp;"cam_6_"&amp;$BV219&amp;".avi","Play"),"")</f>
        <v/>
      </c>
      <c r="BY219" s="4">
        <f t="shared" si="19"/>
        <v>186</v>
      </c>
      <c r="BZ219" s="4">
        <f t="shared" si="20"/>
        <v>246</v>
      </c>
      <c r="CD219" s="5" t="str">
        <f>Lineup!$G$1</f>
        <v>一軍例行賽</v>
      </c>
      <c r="CE219" s="4">
        <f>Lineup!$I$1</f>
        <v>148</v>
      </c>
      <c r="CF219" s="5" t="str">
        <f>Lineup!$G$5</f>
        <v>王俊宏</v>
      </c>
      <c r="CG219" s="5" t="str">
        <f>Lineup!$G$4</f>
        <v>桃園</v>
      </c>
    </row>
    <row r="220" spans="1:85" x14ac:dyDescent="0.3">
      <c r="A220" s="43"/>
      <c r="AX220" s="4" t="str">
        <f>IFERROR(VLOOKUP(M220,Roster!$D$2:$E$27,2,FALSE),"")</f>
        <v/>
      </c>
      <c r="AY220" s="4" t="str">
        <f t="shared" si="21"/>
        <v>好壞</v>
      </c>
      <c r="BI220" s="5" t="str">
        <f>Lineup!$G$2</f>
        <v>20210817</v>
      </c>
      <c r="BJ220" s="4" t="str">
        <f t="shared" si="22"/>
        <v>偏內角偏高</v>
      </c>
      <c r="BK220" s="4" t="str">
        <f t="shared" si="23"/>
        <v>BO</v>
      </c>
      <c r="BL220" s="4" t="str">
        <f>IFERROR(VLOOKUP('HomeAttackPlay-by-Play'!E220,Roster!$L$2:$M$27,2,FALSE),"")</f>
        <v/>
      </c>
      <c r="BP220" s="48" t="str">
        <f>IF(BO220&lt;&gt;"",HYPERLINK(video!$F$29&amp;"\"&amp;"cam_1_"&amp;$BO220&amp;".avi","Play"),"")</f>
        <v/>
      </c>
      <c r="BQ220" s="48" t="str">
        <f>IF(BO220&lt;&gt;"",HYPERLINK(video!$F$29&amp;"\"&amp;"cam_2_"&amp;$BO220&amp;".avi","Play"),"")</f>
        <v/>
      </c>
      <c r="BR220" s="48" t="str">
        <f>IF(BO220&lt;&gt;"",HYPERLINK(video!$F$29&amp;"\"&amp;"cam_3_"&amp;$BO220&amp;".avi","Play"),"")</f>
        <v/>
      </c>
      <c r="BS220" s="48" t="str">
        <f>IF(BV220&lt;&gt;"",HYPERLINK(video!$F$25&amp;"\"&amp;"cam_4_"&amp;$BV220&amp;".avi","Play"),"")</f>
        <v/>
      </c>
      <c r="BT220" s="48" t="str">
        <f>IF(BV220&lt;&gt;"",HYPERLINK(video!$F$25&amp;"\"&amp;"cam_5_"&amp;$BV220&amp;".avi","Play"),"")</f>
        <v/>
      </c>
      <c r="BU220" s="48" t="str">
        <f>IF(BV220&lt;&gt;"",HYPERLINK(video!$F$25&amp;"\"&amp;"cam_6_"&amp;$BV220&amp;".avi","Play"),"")</f>
        <v/>
      </c>
      <c r="BY220" s="4">
        <f t="shared" si="19"/>
        <v>186</v>
      </c>
      <c r="BZ220" s="4">
        <f t="shared" si="20"/>
        <v>246</v>
      </c>
      <c r="CD220" s="5" t="str">
        <f>Lineup!$G$1</f>
        <v>一軍例行賽</v>
      </c>
      <c r="CE220" s="4">
        <f>Lineup!$I$1</f>
        <v>148</v>
      </c>
      <c r="CF220" s="5" t="str">
        <f>Lineup!$G$5</f>
        <v>王俊宏</v>
      </c>
      <c r="CG220" s="5" t="str">
        <f>Lineup!$G$4</f>
        <v>桃園</v>
      </c>
    </row>
    <row r="221" spans="1:85" x14ac:dyDescent="0.3">
      <c r="A221" s="43"/>
      <c r="AX221" s="4" t="str">
        <f>IFERROR(VLOOKUP(M221,Roster!$D$2:$E$27,2,FALSE),"")</f>
        <v/>
      </c>
      <c r="AY221" s="4" t="str">
        <f t="shared" si="21"/>
        <v>好壞</v>
      </c>
      <c r="BI221" s="5" t="str">
        <f>Lineup!$G$2</f>
        <v>20210817</v>
      </c>
      <c r="BJ221" s="4" t="str">
        <f t="shared" si="22"/>
        <v>偏內角偏高</v>
      </c>
      <c r="BK221" s="4" t="str">
        <f t="shared" si="23"/>
        <v>BO</v>
      </c>
      <c r="BL221" s="4" t="str">
        <f>IFERROR(VLOOKUP('HomeAttackPlay-by-Play'!E221,Roster!$L$2:$M$27,2,FALSE),"")</f>
        <v/>
      </c>
      <c r="BP221" s="48" t="str">
        <f>IF(BO221&lt;&gt;"",HYPERLINK(video!$F$29&amp;"\"&amp;"cam_1_"&amp;$BO221&amp;".avi","Play"),"")</f>
        <v/>
      </c>
      <c r="BQ221" s="48" t="str">
        <f>IF(BO221&lt;&gt;"",HYPERLINK(video!$F$29&amp;"\"&amp;"cam_2_"&amp;$BO221&amp;".avi","Play"),"")</f>
        <v/>
      </c>
      <c r="BR221" s="48" t="str">
        <f>IF(BO221&lt;&gt;"",HYPERLINK(video!$F$29&amp;"\"&amp;"cam_3_"&amp;$BO221&amp;".avi","Play"),"")</f>
        <v/>
      </c>
      <c r="BS221" s="48" t="str">
        <f>IF(BV221&lt;&gt;"",HYPERLINK(video!$F$25&amp;"\"&amp;"cam_4_"&amp;$BV221&amp;".avi","Play"),"")</f>
        <v/>
      </c>
      <c r="BT221" s="48" t="str">
        <f>IF(BV221&lt;&gt;"",HYPERLINK(video!$F$25&amp;"\"&amp;"cam_5_"&amp;$BV221&amp;".avi","Play"),"")</f>
        <v/>
      </c>
      <c r="BU221" s="48" t="str">
        <f>IF(BV221&lt;&gt;"",HYPERLINK(video!$F$25&amp;"\"&amp;"cam_6_"&amp;$BV221&amp;".avi","Play"),"")</f>
        <v/>
      </c>
      <c r="BY221" s="4">
        <f t="shared" si="19"/>
        <v>186</v>
      </c>
      <c r="BZ221" s="4">
        <f t="shared" si="20"/>
        <v>246</v>
      </c>
      <c r="CD221" s="5" t="str">
        <f>Lineup!$G$1</f>
        <v>一軍例行賽</v>
      </c>
      <c r="CE221" s="4">
        <f>Lineup!$I$1</f>
        <v>148</v>
      </c>
      <c r="CF221" s="5" t="str">
        <f>Lineup!$G$5</f>
        <v>王俊宏</v>
      </c>
      <c r="CG221" s="5" t="str">
        <f>Lineup!$G$4</f>
        <v>桃園</v>
      </c>
    </row>
    <row r="222" spans="1:85" x14ac:dyDescent="0.3">
      <c r="A222" s="43"/>
      <c r="AX222" s="4" t="str">
        <f>IFERROR(VLOOKUP(M222,Roster!$D$2:$E$27,2,FALSE),"")</f>
        <v/>
      </c>
      <c r="AY222" s="4" t="str">
        <f t="shared" si="21"/>
        <v>好壞</v>
      </c>
      <c r="BI222" s="5" t="str">
        <f>Lineup!$G$2</f>
        <v>20210817</v>
      </c>
      <c r="BJ222" s="4" t="str">
        <f t="shared" si="22"/>
        <v>偏內角偏高</v>
      </c>
      <c r="BK222" s="4" t="str">
        <f t="shared" si="23"/>
        <v>BO</v>
      </c>
      <c r="BL222" s="4" t="str">
        <f>IFERROR(VLOOKUP('HomeAttackPlay-by-Play'!E222,Roster!$L$2:$M$27,2,FALSE),"")</f>
        <v/>
      </c>
      <c r="BP222" s="48" t="str">
        <f>IF(BO222&lt;&gt;"",HYPERLINK(video!$F$29&amp;"\"&amp;"cam_1_"&amp;$BO222&amp;".avi","Play"),"")</f>
        <v/>
      </c>
      <c r="BQ222" s="48" t="str">
        <f>IF(BO222&lt;&gt;"",HYPERLINK(video!$F$29&amp;"\"&amp;"cam_2_"&amp;$BO222&amp;".avi","Play"),"")</f>
        <v/>
      </c>
      <c r="BR222" s="48" t="str">
        <f>IF(BO222&lt;&gt;"",HYPERLINK(video!$F$29&amp;"\"&amp;"cam_3_"&amp;$BO222&amp;".avi","Play"),"")</f>
        <v/>
      </c>
      <c r="BS222" s="48" t="str">
        <f>IF(BV222&lt;&gt;"",HYPERLINK(video!$F$25&amp;"\"&amp;"cam_4_"&amp;$BV222&amp;".avi","Play"),"")</f>
        <v/>
      </c>
      <c r="BT222" s="48" t="str">
        <f>IF(BV222&lt;&gt;"",HYPERLINK(video!$F$25&amp;"\"&amp;"cam_5_"&amp;$BV222&amp;".avi","Play"),"")</f>
        <v/>
      </c>
      <c r="BU222" s="48" t="str">
        <f>IF(BV222&lt;&gt;"",HYPERLINK(video!$F$25&amp;"\"&amp;"cam_6_"&amp;$BV222&amp;".avi","Play"),"")</f>
        <v/>
      </c>
      <c r="BY222" s="4">
        <f t="shared" si="19"/>
        <v>186</v>
      </c>
      <c r="BZ222" s="4">
        <f t="shared" si="20"/>
        <v>246</v>
      </c>
      <c r="CD222" s="5" t="str">
        <f>Lineup!$G$1</f>
        <v>一軍例行賽</v>
      </c>
      <c r="CE222" s="4">
        <f>Lineup!$I$1</f>
        <v>148</v>
      </c>
      <c r="CF222" s="5" t="str">
        <f>Lineup!$G$5</f>
        <v>王俊宏</v>
      </c>
      <c r="CG222" s="5" t="str">
        <f>Lineup!$G$4</f>
        <v>桃園</v>
      </c>
    </row>
    <row r="223" spans="1:85" x14ac:dyDescent="0.3">
      <c r="A223" s="43"/>
      <c r="AX223" s="4" t="str">
        <f>IFERROR(VLOOKUP(M223,Roster!$D$2:$E$27,2,FALSE),"")</f>
        <v/>
      </c>
      <c r="AY223" s="4" t="str">
        <f t="shared" si="21"/>
        <v>好壞</v>
      </c>
      <c r="BI223" s="5" t="str">
        <f>Lineup!$G$2</f>
        <v>20210817</v>
      </c>
      <c r="BJ223" s="4" t="str">
        <f t="shared" si="22"/>
        <v>偏內角偏高</v>
      </c>
      <c r="BK223" s="4" t="str">
        <f t="shared" si="23"/>
        <v>BO</v>
      </c>
      <c r="BL223" s="4" t="str">
        <f>IFERROR(VLOOKUP('HomeAttackPlay-by-Play'!E223,Roster!$L$2:$M$27,2,FALSE),"")</f>
        <v/>
      </c>
      <c r="BP223" s="48" t="str">
        <f>IF(BO223&lt;&gt;"",HYPERLINK(video!$F$29&amp;"\"&amp;"cam_1_"&amp;$BO223&amp;".avi","Play"),"")</f>
        <v/>
      </c>
      <c r="BQ223" s="48" t="str">
        <f>IF(BO223&lt;&gt;"",HYPERLINK(video!$F$29&amp;"\"&amp;"cam_2_"&amp;$BO223&amp;".avi","Play"),"")</f>
        <v/>
      </c>
      <c r="BR223" s="48" t="str">
        <f>IF(BO223&lt;&gt;"",HYPERLINK(video!$F$29&amp;"\"&amp;"cam_3_"&amp;$BO223&amp;".avi","Play"),"")</f>
        <v/>
      </c>
      <c r="BS223" s="48" t="str">
        <f>IF(BV223&lt;&gt;"",HYPERLINK(video!$F$25&amp;"\"&amp;"cam_4_"&amp;$BV223&amp;".avi","Play"),"")</f>
        <v/>
      </c>
      <c r="BT223" s="48" t="str">
        <f>IF(BV223&lt;&gt;"",HYPERLINK(video!$F$25&amp;"\"&amp;"cam_5_"&amp;$BV223&amp;".avi","Play"),"")</f>
        <v/>
      </c>
      <c r="BU223" s="48" t="str">
        <f>IF(BV223&lt;&gt;"",HYPERLINK(video!$F$25&amp;"\"&amp;"cam_6_"&amp;$BV223&amp;".avi","Play"),"")</f>
        <v/>
      </c>
      <c r="BY223" s="4">
        <f t="shared" si="19"/>
        <v>186</v>
      </c>
      <c r="BZ223" s="4">
        <f t="shared" si="20"/>
        <v>246</v>
      </c>
      <c r="CD223" s="5" t="str">
        <f>Lineup!$G$1</f>
        <v>一軍例行賽</v>
      </c>
      <c r="CE223" s="4">
        <f>Lineup!$I$1</f>
        <v>148</v>
      </c>
      <c r="CF223" s="5" t="str">
        <f>Lineup!$G$5</f>
        <v>王俊宏</v>
      </c>
      <c r="CG223" s="5" t="str">
        <f>Lineup!$G$4</f>
        <v>桃園</v>
      </c>
    </row>
    <row r="224" spans="1:85" x14ac:dyDescent="0.3">
      <c r="A224" s="43"/>
      <c r="AX224" s="4" t="str">
        <f>IFERROR(VLOOKUP(M224,Roster!$D$2:$E$27,2,FALSE),"")</f>
        <v/>
      </c>
      <c r="AY224" s="4" t="str">
        <f t="shared" si="21"/>
        <v>好壞</v>
      </c>
      <c r="BI224" s="5" t="str">
        <f>Lineup!$G$2</f>
        <v>20210817</v>
      </c>
      <c r="BJ224" s="4" t="str">
        <f t="shared" si="22"/>
        <v>偏內角偏高</v>
      </c>
      <c r="BK224" s="4" t="str">
        <f t="shared" si="23"/>
        <v>BO</v>
      </c>
      <c r="BL224" s="4" t="str">
        <f>IFERROR(VLOOKUP('HomeAttackPlay-by-Play'!E224,Roster!$L$2:$M$27,2,FALSE),"")</f>
        <v/>
      </c>
      <c r="BP224" s="48" t="str">
        <f>IF(BO224&lt;&gt;"",HYPERLINK(video!$F$29&amp;"\"&amp;"cam_1_"&amp;$BO224&amp;".avi","Play"),"")</f>
        <v/>
      </c>
      <c r="BQ224" s="48" t="str">
        <f>IF(BO224&lt;&gt;"",HYPERLINK(video!$F$29&amp;"\"&amp;"cam_2_"&amp;$BO224&amp;".avi","Play"),"")</f>
        <v/>
      </c>
      <c r="BR224" s="48" t="str">
        <f>IF(BO224&lt;&gt;"",HYPERLINK(video!$F$29&amp;"\"&amp;"cam_3_"&amp;$BO224&amp;".avi","Play"),"")</f>
        <v/>
      </c>
      <c r="BS224" s="48" t="str">
        <f>IF(BV224&lt;&gt;"",HYPERLINK(video!$F$25&amp;"\"&amp;"cam_4_"&amp;$BV224&amp;".avi","Play"),"")</f>
        <v/>
      </c>
      <c r="BT224" s="48" t="str">
        <f>IF(BV224&lt;&gt;"",HYPERLINK(video!$F$25&amp;"\"&amp;"cam_5_"&amp;$BV224&amp;".avi","Play"),"")</f>
        <v/>
      </c>
      <c r="BU224" s="48" t="str">
        <f>IF(BV224&lt;&gt;"",HYPERLINK(video!$F$25&amp;"\"&amp;"cam_6_"&amp;$BV224&amp;".avi","Play"),"")</f>
        <v/>
      </c>
      <c r="BY224" s="4">
        <f t="shared" si="19"/>
        <v>186</v>
      </c>
      <c r="BZ224" s="4">
        <f t="shared" si="20"/>
        <v>246</v>
      </c>
      <c r="CD224" s="5" t="str">
        <f>Lineup!$G$1</f>
        <v>一軍例行賽</v>
      </c>
      <c r="CE224" s="4">
        <f>Lineup!$I$1</f>
        <v>148</v>
      </c>
      <c r="CF224" s="5" t="str">
        <f>Lineup!$G$5</f>
        <v>王俊宏</v>
      </c>
      <c r="CG224" s="5" t="str">
        <f>Lineup!$G$4</f>
        <v>桃園</v>
      </c>
    </row>
    <row r="225" spans="1:85" x14ac:dyDescent="0.3">
      <c r="A225" s="43"/>
      <c r="AX225" s="4" t="str">
        <f>IFERROR(VLOOKUP(M225,Roster!$D$2:$E$27,2,FALSE),"")</f>
        <v/>
      </c>
      <c r="AY225" s="4" t="str">
        <f t="shared" si="21"/>
        <v>好壞</v>
      </c>
      <c r="BI225" s="5" t="str">
        <f>Lineup!$G$2</f>
        <v>20210817</v>
      </c>
      <c r="BJ225" s="4" t="str">
        <f t="shared" si="22"/>
        <v>偏內角偏高</v>
      </c>
      <c r="BK225" s="4" t="str">
        <f t="shared" si="23"/>
        <v>BO</v>
      </c>
      <c r="BL225" s="4" t="str">
        <f>IFERROR(VLOOKUP('HomeAttackPlay-by-Play'!E225,Roster!$L$2:$M$27,2,FALSE),"")</f>
        <v/>
      </c>
      <c r="BP225" s="48" t="str">
        <f>IF(BO225&lt;&gt;"",HYPERLINK(video!$F$29&amp;"\"&amp;"cam_1_"&amp;$BO225&amp;".avi","Play"),"")</f>
        <v/>
      </c>
      <c r="BQ225" s="48" t="str">
        <f>IF(BO225&lt;&gt;"",HYPERLINK(video!$F$29&amp;"\"&amp;"cam_2_"&amp;$BO225&amp;".avi","Play"),"")</f>
        <v/>
      </c>
      <c r="BR225" s="48" t="str">
        <f>IF(BO225&lt;&gt;"",HYPERLINK(video!$F$29&amp;"\"&amp;"cam_3_"&amp;$BO225&amp;".avi","Play"),"")</f>
        <v/>
      </c>
      <c r="BS225" s="48" t="str">
        <f>IF(BV225&lt;&gt;"",HYPERLINK(video!$F$25&amp;"\"&amp;"cam_4_"&amp;$BV225&amp;".avi","Play"),"")</f>
        <v/>
      </c>
      <c r="BT225" s="48" t="str">
        <f>IF(BV225&lt;&gt;"",HYPERLINK(video!$F$25&amp;"\"&amp;"cam_5_"&amp;$BV225&amp;".avi","Play"),"")</f>
        <v/>
      </c>
      <c r="BU225" s="48" t="str">
        <f>IF(BV225&lt;&gt;"",HYPERLINK(video!$F$25&amp;"\"&amp;"cam_6_"&amp;$BV225&amp;".avi","Play"),"")</f>
        <v/>
      </c>
      <c r="BY225" s="4">
        <f t="shared" si="19"/>
        <v>186</v>
      </c>
      <c r="BZ225" s="4">
        <f t="shared" si="20"/>
        <v>246</v>
      </c>
      <c r="CD225" s="5" t="str">
        <f>Lineup!$G$1</f>
        <v>一軍例行賽</v>
      </c>
      <c r="CE225" s="4">
        <f>Lineup!$I$1</f>
        <v>148</v>
      </c>
      <c r="CF225" s="5" t="str">
        <f>Lineup!$G$5</f>
        <v>王俊宏</v>
      </c>
      <c r="CG225" s="5" t="str">
        <f>Lineup!$G$4</f>
        <v>桃園</v>
      </c>
    </row>
    <row r="226" spans="1:85" x14ac:dyDescent="0.3">
      <c r="A226" s="43"/>
      <c r="AX226" s="4" t="str">
        <f>IFERROR(VLOOKUP(M226,Roster!$D$2:$E$27,2,FALSE),"")</f>
        <v/>
      </c>
      <c r="AY226" s="4" t="str">
        <f t="shared" si="21"/>
        <v>好壞</v>
      </c>
      <c r="BI226" s="5" t="str">
        <f>Lineup!$G$2</f>
        <v>20210817</v>
      </c>
      <c r="BJ226" s="4" t="str">
        <f t="shared" si="22"/>
        <v>偏內角偏高</v>
      </c>
      <c r="BK226" s="4" t="str">
        <f t="shared" si="23"/>
        <v>BO</v>
      </c>
      <c r="BL226" s="4" t="str">
        <f>IFERROR(VLOOKUP('HomeAttackPlay-by-Play'!E226,Roster!$L$2:$M$27,2,FALSE),"")</f>
        <v/>
      </c>
      <c r="BP226" s="48" t="str">
        <f>IF(BO226&lt;&gt;"",HYPERLINK(video!$F$29&amp;"\"&amp;"cam_1_"&amp;$BO226&amp;".avi","Play"),"")</f>
        <v/>
      </c>
      <c r="BQ226" s="48" t="str">
        <f>IF(BO226&lt;&gt;"",HYPERLINK(video!$F$29&amp;"\"&amp;"cam_2_"&amp;$BO226&amp;".avi","Play"),"")</f>
        <v/>
      </c>
      <c r="BR226" s="48" t="str">
        <f>IF(BO226&lt;&gt;"",HYPERLINK(video!$F$29&amp;"\"&amp;"cam_3_"&amp;$BO226&amp;".avi","Play"),"")</f>
        <v/>
      </c>
      <c r="BS226" s="48" t="str">
        <f>IF(BV226&lt;&gt;"",HYPERLINK(video!$F$25&amp;"\"&amp;"cam_4_"&amp;$BV226&amp;".avi","Play"),"")</f>
        <v/>
      </c>
      <c r="BT226" s="48" t="str">
        <f>IF(BV226&lt;&gt;"",HYPERLINK(video!$F$25&amp;"\"&amp;"cam_5_"&amp;$BV226&amp;".avi","Play"),"")</f>
        <v/>
      </c>
      <c r="BU226" s="48" t="str">
        <f>IF(BV226&lt;&gt;"",HYPERLINK(video!$F$25&amp;"\"&amp;"cam_6_"&amp;$BV226&amp;".avi","Play"),"")</f>
        <v/>
      </c>
      <c r="BY226" s="4">
        <f t="shared" si="19"/>
        <v>186</v>
      </c>
      <c r="BZ226" s="4">
        <f t="shared" si="20"/>
        <v>246</v>
      </c>
      <c r="CD226" s="5" t="str">
        <f>Lineup!$G$1</f>
        <v>一軍例行賽</v>
      </c>
      <c r="CE226" s="4">
        <f>Lineup!$I$1</f>
        <v>148</v>
      </c>
      <c r="CF226" s="5" t="str">
        <f>Lineup!$G$5</f>
        <v>王俊宏</v>
      </c>
      <c r="CG226" s="5" t="str">
        <f>Lineup!$G$4</f>
        <v>桃園</v>
      </c>
    </row>
    <row r="227" spans="1:85" x14ac:dyDescent="0.3">
      <c r="A227" s="43"/>
      <c r="AX227" s="4" t="str">
        <f>IFERROR(VLOOKUP(M227,Roster!$D$2:$E$27,2,FALSE),"")</f>
        <v/>
      </c>
      <c r="AY227" s="4" t="str">
        <f t="shared" si="21"/>
        <v>好壞</v>
      </c>
      <c r="BI227" s="5" t="str">
        <f>Lineup!$G$2</f>
        <v>20210817</v>
      </c>
      <c r="BJ227" s="4" t="str">
        <f t="shared" si="22"/>
        <v>偏內角偏高</v>
      </c>
      <c r="BK227" s="4" t="str">
        <f t="shared" si="23"/>
        <v>BO</v>
      </c>
      <c r="BL227" s="4" t="str">
        <f>IFERROR(VLOOKUP('HomeAttackPlay-by-Play'!E227,Roster!$L$2:$M$27,2,FALSE),"")</f>
        <v/>
      </c>
      <c r="BP227" s="48" t="str">
        <f>IF(BO227&lt;&gt;"",HYPERLINK(video!$F$29&amp;"\"&amp;"cam_1_"&amp;$BO227&amp;".avi","Play"),"")</f>
        <v/>
      </c>
      <c r="BQ227" s="48" t="str">
        <f>IF(BO227&lt;&gt;"",HYPERLINK(video!$F$29&amp;"\"&amp;"cam_2_"&amp;$BO227&amp;".avi","Play"),"")</f>
        <v/>
      </c>
      <c r="BR227" s="48" t="str">
        <f>IF(BO227&lt;&gt;"",HYPERLINK(video!$F$29&amp;"\"&amp;"cam_3_"&amp;$BO227&amp;".avi","Play"),"")</f>
        <v/>
      </c>
      <c r="BS227" s="48" t="str">
        <f>IF(BV227&lt;&gt;"",HYPERLINK(video!$F$25&amp;"\"&amp;"cam_4_"&amp;$BV227&amp;".avi","Play"),"")</f>
        <v/>
      </c>
      <c r="BT227" s="48" t="str">
        <f>IF(BV227&lt;&gt;"",HYPERLINK(video!$F$25&amp;"\"&amp;"cam_5_"&amp;$BV227&amp;".avi","Play"),"")</f>
        <v/>
      </c>
      <c r="BU227" s="48" t="str">
        <f>IF(BV227&lt;&gt;"",HYPERLINK(video!$F$25&amp;"\"&amp;"cam_6_"&amp;$BV227&amp;".avi","Play"),"")</f>
        <v/>
      </c>
      <c r="BY227" s="4">
        <f t="shared" si="19"/>
        <v>186</v>
      </c>
      <c r="BZ227" s="4">
        <f t="shared" si="20"/>
        <v>246</v>
      </c>
      <c r="CD227" s="5" t="str">
        <f>Lineup!$G$1</f>
        <v>一軍例行賽</v>
      </c>
      <c r="CE227" s="4">
        <f>Lineup!$I$1</f>
        <v>148</v>
      </c>
      <c r="CF227" s="5" t="str">
        <f>Lineup!$G$5</f>
        <v>王俊宏</v>
      </c>
      <c r="CG227" s="5" t="str">
        <f>Lineup!$G$4</f>
        <v>桃園</v>
      </c>
    </row>
    <row r="228" spans="1:85" x14ac:dyDescent="0.3">
      <c r="A228" s="43"/>
      <c r="AX228" s="4" t="str">
        <f>IFERROR(VLOOKUP(M228,Roster!$D$2:$E$27,2,FALSE),"")</f>
        <v/>
      </c>
      <c r="AY228" s="4" t="str">
        <f t="shared" si="21"/>
        <v>好壞</v>
      </c>
      <c r="BI228" s="5" t="str">
        <f>Lineup!$G$2</f>
        <v>20210817</v>
      </c>
      <c r="BJ228" s="4" t="str">
        <f t="shared" si="22"/>
        <v>偏內角偏高</v>
      </c>
      <c r="BK228" s="4" t="str">
        <f t="shared" si="23"/>
        <v>BO</v>
      </c>
      <c r="BL228" s="4" t="str">
        <f>IFERROR(VLOOKUP('HomeAttackPlay-by-Play'!E228,Roster!$L$2:$M$27,2,FALSE),"")</f>
        <v/>
      </c>
      <c r="BP228" s="48" t="str">
        <f>IF(BO228&lt;&gt;"",HYPERLINK(video!$F$29&amp;"\"&amp;"cam_1_"&amp;$BO228&amp;".avi","Play"),"")</f>
        <v/>
      </c>
      <c r="BQ228" s="48" t="str">
        <f>IF(BO228&lt;&gt;"",HYPERLINK(video!$F$29&amp;"\"&amp;"cam_2_"&amp;$BO228&amp;".avi","Play"),"")</f>
        <v/>
      </c>
      <c r="BR228" s="48" t="str">
        <f>IF(BO228&lt;&gt;"",HYPERLINK(video!$F$29&amp;"\"&amp;"cam_3_"&amp;$BO228&amp;".avi","Play"),"")</f>
        <v/>
      </c>
      <c r="BS228" s="48" t="str">
        <f>IF(BV228&lt;&gt;"",HYPERLINK(video!$F$25&amp;"\"&amp;"cam_4_"&amp;$BV228&amp;".avi","Play"),"")</f>
        <v/>
      </c>
      <c r="BT228" s="48" t="str">
        <f>IF(BV228&lt;&gt;"",HYPERLINK(video!$F$25&amp;"\"&amp;"cam_5_"&amp;$BV228&amp;".avi","Play"),"")</f>
        <v/>
      </c>
      <c r="BU228" s="48" t="str">
        <f>IF(BV228&lt;&gt;"",HYPERLINK(video!$F$25&amp;"\"&amp;"cam_6_"&amp;$BV228&amp;".avi","Play"),"")</f>
        <v/>
      </c>
      <c r="BY228" s="4">
        <f t="shared" si="19"/>
        <v>186</v>
      </c>
      <c r="BZ228" s="4">
        <f t="shared" si="20"/>
        <v>246</v>
      </c>
      <c r="CD228" s="5" t="str">
        <f>Lineup!$G$1</f>
        <v>一軍例行賽</v>
      </c>
      <c r="CE228" s="4">
        <f>Lineup!$I$1</f>
        <v>148</v>
      </c>
      <c r="CF228" s="5" t="str">
        <f>Lineup!$G$5</f>
        <v>王俊宏</v>
      </c>
      <c r="CG228" s="5" t="str">
        <f>Lineup!$G$4</f>
        <v>桃園</v>
      </c>
    </row>
    <row r="229" spans="1:85" x14ac:dyDescent="0.3">
      <c r="A229" s="43"/>
      <c r="AX229" s="4" t="str">
        <f>IFERROR(VLOOKUP(M229,Roster!$D$2:$E$27,2,FALSE),"")</f>
        <v/>
      </c>
      <c r="AY229" s="4" t="str">
        <f t="shared" si="21"/>
        <v>好壞</v>
      </c>
      <c r="BI229" s="5" t="str">
        <f>Lineup!$G$2</f>
        <v>20210817</v>
      </c>
      <c r="BJ229" s="4" t="str">
        <f t="shared" si="22"/>
        <v>偏內角偏高</v>
      </c>
      <c r="BK229" s="4" t="str">
        <f t="shared" si="23"/>
        <v>BO</v>
      </c>
      <c r="BL229" s="4" t="str">
        <f>IFERROR(VLOOKUP('HomeAttackPlay-by-Play'!E229,Roster!$L$2:$M$27,2,FALSE),"")</f>
        <v/>
      </c>
      <c r="BP229" s="48" t="str">
        <f>IF(BO229&lt;&gt;"",HYPERLINK(video!$F$29&amp;"\"&amp;"cam_1_"&amp;$BO229&amp;".avi","Play"),"")</f>
        <v/>
      </c>
      <c r="BQ229" s="48" t="str">
        <f>IF(BO229&lt;&gt;"",HYPERLINK(video!$F$29&amp;"\"&amp;"cam_2_"&amp;$BO229&amp;".avi","Play"),"")</f>
        <v/>
      </c>
      <c r="BR229" s="48" t="str">
        <f>IF(BO229&lt;&gt;"",HYPERLINK(video!$F$29&amp;"\"&amp;"cam_3_"&amp;$BO229&amp;".avi","Play"),"")</f>
        <v/>
      </c>
      <c r="BS229" s="48" t="str">
        <f>IF(BV229&lt;&gt;"",HYPERLINK(video!$F$25&amp;"\"&amp;"cam_4_"&amp;$BV229&amp;".avi","Play"),"")</f>
        <v/>
      </c>
      <c r="BT229" s="48" t="str">
        <f>IF(BV229&lt;&gt;"",HYPERLINK(video!$F$25&amp;"\"&amp;"cam_5_"&amp;$BV229&amp;".avi","Play"),"")</f>
        <v/>
      </c>
      <c r="BU229" s="48" t="str">
        <f>IF(BV229&lt;&gt;"",HYPERLINK(video!$F$25&amp;"\"&amp;"cam_6_"&amp;$BV229&amp;".avi","Play"),"")</f>
        <v/>
      </c>
      <c r="BY229" s="4">
        <f t="shared" si="19"/>
        <v>186</v>
      </c>
      <c r="BZ229" s="4">
        <f t="shared" si="20"/>
        <v>246</v>
      </c>
      <c r="CD229" s="5" t="str">
        <f>Lineup!$G$1</f>
        <v>一軍例行賽</v>
      </c>
      <c r="CE229" s="4">
        <f>Lineup!$I$1</f>
        <v>148</v>
      </c>
      <c r="CF229" s="5" t="str">
        <f>Lineup!$G$5</f>
        <v>王俊宏</v>
      </c>
      <c r="CG229" s="5" t="str">
        <f>Lineup!$G$4</f>
        <v>桃園</v>
      </c>
    </row>
    <row r="230" spans="1:85" x14ac:dyDescent="0.3">
      <c r="A230" s="43"/>
      <c r="AX230" s="4" t="str">
        <f>IFERROR(VLOOKUP(M230,Roster!$D$2:$E$27,2,FALSE),"")</f>
        <v/>
      </c>
      <c r="AY230" s="4" t="str">
        <f t="shared" si="21"/>
        <v>好壞</v>
      </c>
      <c r="BI230" s="5" t="str">
        <f>Lineup!$G$2</f>
        <v>20210817</v>
      </c>
      <c r="BJ230" s="4" t="str">
        <f t="shared" si="22"/>
        <v>偏內角偏高</v>
      </c>
      <c r="BK230" s="4" t="str">
        <f t="shared" si="23"/>
        <v>BO</v>
      </c>
      <c r="BL230" s="4" t="str">
        <f>IFERROR(VLOOKUP('HomeAttackPlay-by-Play'!E230,Roster!$L$2:$M$27,2,FALSE),"")</f>
        <v/>
      </c>
      <c r="BP230" s="48" t="str">
        <f>IF(BO230&lt;&gt;"",HYPERLINK(video!$F$29&amp;"\"&amp;"cam_1_"&amp;$BO230&amp;".avi","Play"),"")</f>
        <v/>
      </c>
      <c r="BQ230" s="48" t="str">
        <f>IF(BO230&lt;&gt;"",HYPERLINK(video!$F$29&amp;"\"&amp;"cam_2_"&amp;$BO230&amp;".avi","Play"),"")</f>
        <v/>
      </c>
      <c r="BR230" s="48" t="str">
        <f>IF(BO230&lt;&gt;"",HYPERLINK(video!$F$29&amp;"\"&amp;"cam_3_"&amp;$BO230&amp;".avi","Play"),"")</f>
        <v/>
      </c>
      <c r="BS230" s="48" t="str">
        <f>IF(BV230&lt;&gt;"",HYPERLINK(video!$F$25&amp;"\"&amp;"cam_4_"&amp;$BV230&amp;".avi","Play"),"")</f>
        <v/>
      </c>
      <c r="BT230" s="48" t="str">
        <f>IF(BV230&lt;&gt;"",HYPERLINK(video!$F$25&amp;"\"&amp;"cam_5_"&amp;$BV230&amp;".avi","Play"),"")</f>
        <v/>
      </c>
      <c r="BU230" s="48" t="str">
        <f>IF(BV230&lt;&gt;"",HYPERLINK(video!$F$25&amp;"\"&amp;"cam_6_"&amp;$BV230&amp;".avi","Play"),"")</f>
        <v/>
      </c>
      <c r="BY230" s="4">
        <f t="shared" si="19"/>
        <v>186</v>
      </c>
      <c r="BZ230" s="4">
        <f t="shared" si="20"/>
        <v>246</v>
      </c>
      <c r="CD230" s="5" t="str">
        <f>Lineup!$G$1</f>
        <v>一軍例行賽</v>
      </c>
      <c r="CE230" s="4">
        <f>Lineup!$I$1</f>
        <v>148</v>
      </c>
      <c r="CF230" s="5" t="str">
        <f>Lineup!$G$5</f>
        <v>王俊宏</v>
      </c>
      <c r="CG230" s="5" t="str">
        <f>Lineup!$G$4</f>
        <v>桃園</v>
      </c>
    </row>
    <row r="231" spans="1:85" x14ac:dyDescent="0.3">
      <c r="A231" s="43"/>
      <c r="AX231" s="4" t="str">
        <f>IFERROR(VLOOKUP(M231,Roster!$D$2:$E$27,2,FALSE),"")</f>
        <v/>
      </c>
      <c r="AY231" s="4" t="str">
        <f t="shared" si="21"/>
        <v>好壞</v>
      </c>
      <c r="BI231" s="5" t="str">
        <f>Lineup!$G$2</f>
        <v>20210817</v>
      </c>
      <c r="BJ231" s="4" t="str">
        <f t="shared" si="22"/>
        <v>偏內角偏高</v>
      </c>
      <c r="BK231" s="4" t="str">
        <f t="shared" si="23"/>
        <v>BO</v>
      </c>
      <c r="BL231" s="4" t="str">
        <f>IFERROR(VLOOKUP('HomeAttackPlay-by-Play'!E231,Roster!$L$2:$M$27,2,FALSE),"")</f>
        <v/>
      </c>
      <c r="BP231" s="48" t="str">
        <f>IF(BO231&lt;&gt;"",HYPERLINK(video!$F$29&amp;"\"&amp;"cam_1_"&amp;$BO231&amp;".avi","Play"),"")</f>
        <v/>
      </c>
      <c r="BQ231" s="48" t="str">
        <f>IF(BO231&lt;&gt;"",HYPERLINK(video!$F$29&amp;"\"&amp;"cam_2_"&amp;$BO231&amp;".avi","Play"),"")</f>
        <v/>
      </c>
      <c r="BR231" s="48" t="str">
        <f>IF(BO231&lt;&gt;"",HYPERLINK(video!$F$29&amp;"\"&amp;"cam_3_"&amp;$BO231&amp;".avi","Play"),"")</f>
        <v/>
      </c>
      <c r="BS231" s="48" t="str">
        <f>IF(BV231&lt;&gt;"",HYPERLINK(video!$F$25&amp;"\"&amp;"cam_4_"&amp;$BV231&amp;".avi","Play"),"")</f>
        <v/>
      </c>
      <c r="BT231" s="48" t="str">
        <f>IF(BV231&lt;&gt;"",HYPERLINK(video!$F$25&amp;"\"&amp;"cam_5_"&amp;$BV231&amp;".avi","Play"),"")</f>
        <v/>
      </c>
      <c r="BU231" s="48" t="str">
        <f>IF(BV231&lt;&gt;"",HYPERLINK(video!$F$25&amp;"\"&amp;"cam_6_"&amp;$BV231&amp;".avi","Play"),"")</f>
        <v/>
      </c>
      <c r="BY231" s="4">
        <f t="shared" si="19"/>
        <v>186</v>
      </c>
      <c r="BZ231" s="4">
        <f t="shared" si="20"/>
        <v>246</v>
      </c>
      <c r="CD231" s="5" t="str">
        <f>Lineup!$G$1</f>
        <v>一軍例行賽</v>
      </c>
      <c r="CE231" s="4">
        <f>Lineup!$I$1</f>
        <v>148</v>
      </c>
      <c r="CF231" s="5" t="str">
        <f>Lineup!$G$5</f>
        <v>王俊宏</v>
      </c>
      <c r="CG231" s="5" t="str">
        <f>Lineup!$G$4</f>
        <v>桃園</v>
      </c>
    </row>
    <row r="232" spans="1:85" x14ac:dyDescent="0.3">
      <c r="A232" s="43"/>
      <c r="AX232" s="4" t="str">
        <f>IFERROR(VLOOKUP(M232,Roster!$D$2:$E$27,2,FALSE),"")</f>
        <v/>
      </c>
      <c r="AY232" s="4" t="str">
        <f t="shared" si="21"/>
        <v>好壞</v>
      </c>
      <c r="BI232" s="5" t="str">
        <f>Lineup!$G$2</f>
        <v>20210817</v>
      </c>
      <c r="BJ232" s="4" t="str">
        <f t="shared" si="22"/>
        <v>偏內角偏高</v>
      </c>
      <c r="BK232" s="4" t="str">
        <f t="shared" si="23"/>
        <v>BO</v>
      </c>
      <c r="BL232" s="4" t="str">
        <f>IFERROR(VLOOKUP('HomeAttackPlay-by-Play'!E232,Roster!$L$2:$M$27,2,FALSE),"")</f>
        <v/>
      </c>
      <c r="BP232" s="48" t="str">
        <f>IF(BO232&lt;&gt;"",HYPERLINK(video!$F$29&amp;"\"&amp;"cam_1_"&amp;$BO232&amp;".avi","Play"),"")</f>
        <v/>
      </c>
      <c r="BQ232" s="48" t="str">
        <f>IF(BO232&lt;&gt;"",HYPERLINK(video!$F$29&amp;"\"&amp;"cam_2_"&amp;$BO232&amp;".avi","Play"),"")</f>
        <v/>
      </c>
      <c r="BR232" s="48" t="str">
        <f>IF(BO232&lt;&gt;"",HYPERLINK(video!$F$29&amp;"\"&amp;"cam_3_"&amp;$BO232&amp;".avi","Play"),"")</f>
        <v/>
      </c>
      <c r="BS232" s="48" t="str">
        <f>IF(BV232&lt;&gt;"",HYPERLINK(video!$F$25&amp;"\"&amp;"cam_4_"&amp;$BV232&amp;".avi","Play"),"")</f>
        <v/>
      </c>
      <c r="BT232" s="48" t="str">
        <f>IF(BV232&lt;&gt;"",HYPERLINK(video!$F$25&amp;"\"&amp;"cam_5_"&amp;$BV232&amp;".avi","Play"),"")</f>
        <v/>
      </c>
      <c r="BU232" s="48" t="str">
        <f>IF(BV232&lt;&gt;"",HYPERLINK(video!$F$25&amp;"\"&amp;"cam_6_"&amp;$BV232&amp;".avi","Play"),"")</f>
        <v/>
      </c>
      <c r="BY232" s="4">
        <f t="shared" si="19"/>
        <v>186</v>
      </c>
      <c r="BZ232" s="4">
        <f t="shared" si="20"/>
        <v>246</v>
      </c>
      <c r="CD232" s="5" t="str">
        <f>Lineup!$G$1</f>
        <v>一軍例行賽</v>
      </c>
      <c r="CE232" s="4">
        <f>Lineup!$I$1</f>
        <v>148</v>
      </c>
      <c r="CF232" s="5" t="str">
        <f>Lineup!$G$5</f>
        <v>王俊宏</v>
      </c>
      <c r="CG232" s="5" t="str">
        <f>Lineup!$G$4</f>
        <v>桃園</v>
      </c>
    </row>
    <row r="233" spans="1:85" x14ac:dyDescent="0.3">
      <c r="A233" s="43"/>
      <c r="AX233" s="4" t="str">
        <f>IFERROR(VLOOKUP(M233,Roster!$D$2:$E$27,2,FALSE),"")</f>
        <v/>
      </c>
      <c r="AY233" s="4" t="str">
        <f t="shared" si="21"/>
        <v>好壞</v>
      </c>
      <c r="BI233" s="5" t="str">
        <f>Lineup!$G$2</f>
        <v>20210817</v>
      </c>
      <c r="BJ233" s="4" t="str">
        <f t="shared" si="22"/>
        <v>偏內角偏高</v>
      </c>
      <c r="BK233" s="4" t="str">
        <f t="shared" si="23"/>
        <v>BO</v>
      </c>
      <c r="BL233" s="4" t="str">
        <f>IFERROR(VLOOKUP('HomeAttackPlay-by-Play'!E233,Roster!$L$2:$M$27,2,FALSE),"")</f>
        <v/>
      </c>
      <c r="BP233" s="48" t="str">
        <f>IF(BO233&lt;&gt;"",HYPERLINK(video!$F$29&amp;"\"&amp;"cam_1_"&amp;$BO233&amp;".avi","Play"),"")</f>
        <v/>
      </c>
      <c r="BQ233" s="48" t="str">
        <f>IF(BO233&lt;&gt;"",HYPERLINK(video!$F$29&amp;"\"&amp;"cam_2_"&amp;$BO233&amp;".avi","Play"),"")</f>
        <v/>
      </c>
      <c r="BR233" s="48" t="str">
        <f>IF(BO233&lt;&gt;"",HYPERLINK(video!$F$29&amp;"\"&amp;"cam_3_"&amp;$BO233&amp;".avi","Play"),"")</f>
        <v/>
      </c>
      <c r="BS233" s="48" t="str">
        <f>IF(BV233&lt;&gt;"",HYPERLINK(video!$F$25&amp;"\"&amp;"cam_4_"&amp;$BV233&amp;".avi","Play"),"")</f>
        <v/>
      </c>
      <c r="BT233" s="48" t="str">
        <f>IF(BV233&lt;&gt;"",HYPERLINK(video!$F$25&amp;"\"&amp;"cam_5_"&amp;$BV233&amp;".avi","Play"),"")</f>
        <v/>
      </c>
      <c r="BU233" s="48" t="str">
        <f>IF(BV233&lt;&gt;"",HYPERLINK(video!$F$25&amp;"\"&amp;"cam_6_"&amp;$BV233&amp;".avi","Play"),"")</f>
        <v/>
      </c>
      <c r="BY233" s="4">
        <f t="shared" si="19"/>
        <v>186</v>
      </c>
      <c r="BZ233" s="4">
        <f t="shared" si="20"/>
        <v>246</v>
      </c>
      <c r="CD233" s="5" t="str">
        <f>Lineup!$G$1</f>
        <v>一軍例行賽</v>
      </c>
      <c r="CE233" s="4">
        <f>Lineup!$I$1</f>
        <v>148</v>
      </c>
      <c r="CF233" s="5" t="str">
        <f>Lineup!$G$5</f>
        <v>王俊宏</v>
      </c>
      <c r="CG233" s="5" t="str">
        <f>Lineup!$G$4</f>
        <v>桃園</v>
      </c>
    </row>
    <row r="234" spans="1:85" x14ac:dyDescent="0.3">
      <c r="A234" s="43"/>
      <c r="AX234" s="4" t="str">
        <f>IFERROR(VLOOKUP(M234,Roster!$D$2:$E$27,2,FALSE),"")</f>
        <v/>
      </c>
      <c r="AY234" s="4" t="str">
        <f t="shared" si="21"/>
        <v>好壞</v>
      </c>
      <c r="BI234" s="5" t="str">
        <f>Lineup!$G$2</f>
        <v>20210817</v>
      </c>
      <c r="BJ234" s="4" t="str">
        <f t="shared" si="22"/>
        <v>偏內角偏高</v>
      </c>
      <c r="BK234" s="4" t="str">
        <f t="shared" si="23"/>
        <v>BO</v>
      </c>
      <c r="BL234" s="4" t="str">
        <f>IFERROR(VLOOKUP('HomeAttackPlay-by-Play'!E234,Roster!$L$2:$M$27,2,FALSE),"")</f>
        <v/>
      </c>
      <c r="BP234" s="48" t="str">
        <f>IF(BO234&lt;&gt;"",HYPERLINK(video!$F$29&amp;"\"&amp;"cam_1_"&amp;$BO234&amp;".avi","Play"),"")</f>
        <v/>
      </c>
      <c r="BQ234" s="48" t="str">
        <f>IF(BO234&lt;&gt;"",HYPERLINK(video!$F$29&amp;"\"&amp;"cam_2_"&amp;$BO234&amp;".avi","Play"),"")</f>
        <v/>
      </c>
      <c r="BR234" s="48" t="str">
        <f>IF(BO234&lt;&gt;"",HYPERLINK(video!$F$29&amp;"\"&amp;"cam_3_"&amp;$BO234&amp;".avi","Play"),"")</f>
        <v/>
      </c>
      <c r="BS234" s="48" t="str">
        <f>IF(BV234&lt;&gt;"",HYPERLINK(video!$F$25&amp;"\"&amp;"cam_4_"&amp;$BV234&amp;".avi","Play"),"")</f>
        <v/>
      </c>
      <c r="BT234" s="48" t="str">
        <f>IF(BV234&lt;&gt;"",HYPERLINK(video!$F$25&amp;"\"&amp;"cam_5_"&amp;$BV234&amp;".avi","Play"),"")</f>
        <v/>
      </c>
      <c r="BU234" s="48" t="str">
        <f>IF(BV234&lt;&gt;"",HYPERLINK(video!$F$25&amp;"\"&amp;"cam_6_"&amp;$BV234&amp;".avi","Play"),"")</f>
        <v/>
      </c>
      <c r="BY234" s="4">
        <f t="shared" si="19"/>
        <v>186</v>
      </c>
      <c r="BZ234" s="4">
        <f t="shared" si="20"/>
        <v>246</v>
      </c>
      <c r="CD234" s="5" t="str">
        <f>Lineup!$G$1</f>
        <v>一軍例行賽</v>
      </c>
      <c r="CE234" s="4">
        <f>Lineup!$I$1</f>
        <v>148</v>
      </c>
      <c r="CF234" s="5" t="str">
        <f>Lineup!$G$5</f>
        <v>王俊宏</v>
      </c>
      <c r="CG234" s="5" t="str">
        <f>Lineup!$G$4</f>
        <v>桃園</v>
      </c>
    </row>
    <row r="235" spans="1:85" x14ac:dyDescent="0.3">
      <c r="A235" s="43"/>
      <c r="AX235" s="4" t="str">
        <f>IFERROR(VLOOKUP(M235,Roster!$D$2:$E$27,2,FALSE),"")</f>
        <v/>
      </c>
      <c r="AY235" s="4" t="str">
        <f t="shared" si="21"/>
        <v>好壞</v>
      </c>
      <c r="BI235" s="5" t="str">
        <f>Lineup!$G$2</f>
        <v>20210817</v>
      </c>
      <c r="BJ235" s="4" t="str">
        <f t="shared" si="22"/>
        <v>偏內角偏高</v>
      </c>
      <c r="BK235" s="4" t="str">
        <f t="shared" si="23"/>
        <v>BO</v>
      </c>
      <c r="BL235" s="4" t="str">
        <f>IFERROR(VLOOKUP('HomeAttackPlay-by-Play'!E235,Roster!$L$2:$M$27,2,FALSE),"")</f>
        <v/>
      </c>
      <c r="BP235" s="48" t="str">
        <f>IF(BO235&lt;&gt;"",HYPERLINK(video!$F$29&amp;"\"&amp;"cam_1_"&amp;$BO235&amp;".avi","Play"),"")</f>
        <v/>
      </c>
      <c r="BQ235" s="48" t="str">
        <f>IF(BO235&lt;&gt;"",HYPERLINK(video!$F$29&amp;"\"&amp;"cam_2_"&amp;$BO235&amp;".avi","Play"),"")</f>
        <v/>
      </c>
      <c r="BR235" s="48" t="str">
        <f>IF(BO235&lt;&gt;"",HYPERLINK(video!$F$29&amp;"\"&amp;"cam_3_"&amp;$BO235&amp;".avi","Play"),"")</f>
        <v/>
      </c>
      <c r="BS235" s="48" t="str">
        <f>IF(BV235&lt;&gt;"",HYPERLINK(video!$F$25&amp;"\"&amp;"cam_4_"&amp;$BV235&amp;".avi","Play"),"")</f>
        <v/>
      </c>
      <c r="BT235" s="48" t="str">
        <f>IF(BV235&lt;&gt;"",HYPERLINK(video!$F$25&amp;"\"&amp;"cam_5_"&amp;$BV235&amp;".avi","Play"),"")</f>
        <v/>
      </c>
      <c r="BU235" s="48" t="str">
        <f>IF(BV235&lt;&gt;"",HYPERLINK(video!$F$25&amp;"\"&amp;"cam_6_"&amp;$BV235&amp;".avi","Play"),"")</f>
        <v/>
      </c>
      <c r="BY235" s="4">
        <f t="shared" si="19"/>
        <v>186</v>
      </c>
      <c r="BZ235" s="4">
        <f t="shared" si="20"/>
        <v>246</v>
      </c>
      <c r="CD235" s="5" t="str">
        <f>Lineup!$G$1</f>
        <v>一軍例行賽</v>
      </c>
      <c r="CE235" s="4">
        <f>Lineup!$I$1</f>
        <v>148</v>
      </c>
      <c r="CF235" s="5" t="str">
        <f>Lineup!$G$5</f>
        <v>王俊宏</v>
      </c>
      <c r="CG235" s="5" t="str">
        <f>Lineup!$G$4</f>
        <v>桃園</v>
      </c>
    </row>
    <row r="236" spans="1:85" x14ac:dyDescent="0.3">
      <c r="A236" s="43"/>
      <c r="AX236" s="4" t="str">
        <f>IFERROR(VLOOKUP(M236,Roster!$D$2:$E$27,2,FALSE),"")</f>
        <v/>
      </c>
      <c r="AY236" s="4" t="str">
        <f t="shared" si="21"/>
        <v>好壞</v>
      </c>
      <c r="BI236" s="5" t="str">
        <f>Lineup!$G$2</f>
        <v>20210817</v>
      </c>
      <c r="BJ236" s="4" t="str">
        <f t="shared" si="22"/>
        <v>偏內角偏高</v>
      </c>
      <c r="BK236" s="4" t="str">
        <f t="shared" si="23"/>
        <v>BO</v>
      </c>
      <c r="BL236" s="4" t="str">
        <f>IFERROR(VLOOKUP('HomeAttackPlay-by-Play'!E236,Roster!$L$2:$M$27,2,FALSE),"")</f>
        <v/>
      </c>
      <c r="BP236" s="48" t="str">
        <f>IF(BO236&lt;&gt;"",HYPERLINK(video!$F$29&amp;"\"&amp;"cam_1_"&amp;$BO236&amp;".avi","Play"),"")</f>
        <v/>
      </c>
      <c r="BQ236" s="48" t="str">
        <f>IF(BO236&lt;&gt;"",HYPERLINK(video!$F$29&amp;"\"&amp;"cam_2_"&amp;$BO236&amp;".avi","Play"),"")</f>
        <v/>
      </c>
      <c r="BR236" s="48" t="str">
        <f>IF(BO236&lt;&gt;"",HYPERLINK(video!$F$29&amp;"\"&amp;"cam_3_"&amp;$BO236&amp;".avi","Play"),"")</f>
        <v/>
      </c>
      <c r="BS236" s="48" t="str">
        <f>IF(BV236&lt;&gt;"",HYPERLINK(video!$F$25&amp;"\"&amp;"cam_4_"&amp;$BV236&amp;".avi","Play"),"")</f>
        <v/>
      </c>
      <c r="BT236" s="48" t="str">
        <f>IF(BV236&lt;&gt;"",HYPERLINK(video!$F$25&amp;"\"&amp;"cam_5_"&amp;$BV236&amp;".avi","Play"),"")</f>
        <v/>
      </c>
      <c r="BU236" s="48" t="str">
        <f>IF(BV236&lt;&gt;"",HYPERLINK(video!$F$25&amp;"\"&amp;"cam_6_"&amp;$BV236&amp;".avi","Play"),"")</f>
        <v/>
      </c>
      <c r="BY236" s="4">
        <f t="shared" si="19"/>
        <v>186</v>
      </c>
      <c r="BZ236" s="4">
        <f t="shared" si="20"/>
        <v>246</v>
      </c>
      <c r="CD236" s="5" t="str">
        <f>Lineup!$G$1</f>
        <v>一軍例行賽</v>
      </c>
      <c r="CE236" s="4">
        <f>Lineup!$I$1</f>
        <v>148</v>
      </c>
      <c r="CF236" s="5" t="str">
        <f>Lineup!$G$5</f>
        <v>王俊宏</v>
      </c>
      <c r="CG236" s="5" t="str">
        <f>Lineup!$G$4</f>
        <v>桃園</v>
      </c>
    </row>
    <row r="237" spans="1:85" x14ac:dyDescent="0.3">
      <c r="A237" s="43"/>
      <c r="AX237" s="4" t="str">
        <f>IFERROR(VLOOKUP(M237,Roster!$D$2:$E$27,2,FALSE),"")</f>
        <v/>
      </c>
      <c r="AY237" s="4" t="str">
        <f t="shared" si="21"/>
        <v>好壞</v>
      </c>
      <c r="BI237" s="5" t="str">
        <f>Lineup!$G$2</f>
        <v>20210817</v>
      </c>
      <c r="BJ237" s="4" t="str">
        <f t="shared" si="22"/>
        <v>偏內角偏高</v>
      </c>
      <c r="BK237" s="4" t="str">
        <f t="shared" si="23"/>
        <v>BO</v>
      </c>
      <c r="BL237" s="4" t="str">
        <f>IFERROR(VLOOKUP('HomeAttackPlay-by-Play'!E237,Roster!$L$2:$M$27,2,FALSE),"")</f>
        <v/>
      </c>
      <c r="BP237" s="48" t="str">
        <f>IF(BO237&lt;&gt;"",HYPERLINK(video!$F$29&amp;"\"&amp;"cam_1_"&amp;$BO237&amp;".avi","Play"),"")</f>
        <v/>
      </c>
      <c r="BQ237" s="48" t="str">
        <f>IF(BO237&lt;&gt;"",HYPERLINK(video!$F$29&amp;"\"&amp;"cam_2_"&amp;$BO237&amp;".avi","Play"),"")</f>
        <v/>
      </c>
      <c r="BR237" s="48" t="str">
        <f>IF(BO237&lt;&gt;"",HYPERLINK(video!$F$29&amp;"\"&amp;"cam_3_"&amp;$BO237&amp;".avi","Play"),"")</f>
        <v/>
      </c>
      <c r="BS237" s="48" t="str">
        <f>IF(BV237&lt;&gt;"",HYPERLINK(video!$F$25&amp;"\"&amp;"cam_4_"&amp;$BV237&amp;".avi","Play"),"")</f>
        <v/>
      </c>
      <c r="BT237" s="48" t="str">
        <f>IF(BV237&lt;&gt;"",HYPERLINK(video!$F$25&amp;"\"&amp;"cam_5_"&amp;$BV237&amp;".avi","Play"),"")</f>
        <v/>
      </c>
      <c r="BU237" s="48" t="str">
        <f>IF(BV237&lt;&gt;"",HYPERLINK(video!$F$25&amp;"\"&amp;"cam_6_"&amp;$BV237&amp;".avi","Play"),"")</f>
        <v/>
      </c>
      <c r="BY237" s="4">
        <f t="shared" si="19"/>
        <v>186</v>
      </c>
      <c r="BZ237" s="4">
        <f t="shared" si="20"/>
        <v>246</v>
      </c>
      <c r="CD237" s="5" t="str">
        <f>Lineup!$G$1</f>
        <v>一軍例行賽</v>
      </c>
      <c r="CE237" s="4">
        <f>Lineup!$I$1</f>
        <v>148</v>
      </c>
      <c r="CF237" s="5" t="str">
        <f>Lineup!$G$5</f>
        <v>王俊宏</v>
      </c>
      <c r="CG237" s="5" t="str">
        <f>Lineup!$G$4</f>
        <v>桃園</v>
      </c>
    </row>
    <row r="238" spans="1:85" x14ac:dyDescent="0.3">
      <c r="A238" s="43"/>
      <c r="AX238" s="4" t="str">
        <f>IFERROR(VLOOKUP(M238,Roster!$D$2:$E$27,2,FALSE),"")</f>
        <v/>
      </c>
      <c r="AY238" s="4" t="str">
        <f t="shared" si="21"/>
        <v>好壞</v>
      </c>
      <c r="BI238" s="5" t="str">
        <f>Lineup!$G$2</f>
        <v>20210817</v>
      </c>
      <c r="BJ238" s="4" t="str">
        <f t="shared" si="22"/>
        <v>偏內角偏高</v>
      </c>
      <c r="BK238" s="4" t="str">
        <f t="shared" si="23"/>
        <v>BO</v>
      </c>
      <c r="BL238" s="4" t="str">
        <f>IFERROR(VLOOKUP('HomeAttackPlay-by-Play'!E238,Roster!$L$2:$M$27,2,FALSE),"")</f>
        <v/>
      </c>
      <c r="BP238" s="48" t="str">
        <f>IF(BO238&lt;&gt;"",HYPERLINK(video!$F$29&amp;"\"&amp;"cam_1_"&amp;$BO238&amp;".avi","Play"),"")</f>
        <v/>
      </c>
      <c r="BQ238" s="48" t="str">
        <f>IF(BO238&lt;&gt;"",HYPERLINK(video!$F$29&amp;"\"&amp;"cam_2_"&amp;$BO238&amp;".avi","Play"),"")</f>
        <v/>
      </c>
      <c r="BR238" s="48" t="str">
        <f>IF(BO238&lt;&gt;"",HYPERLINK(video!$F$29&amp;"\"&amp;"cam_3_"&amp;$BO238&amp;".avi","Play"),"")</f>
        <v/>
      </c>
      <c r="BS238" s="48" t="str">
        <f>IF(BV238&lt;&gt;"",HYPERLINK(video!$F$25&amp;"\"&amp;"cam_4_"&amp;$BV238&amp;".avi","Play"),"")</f>
        <v/>
      </c>
      <c r="BT238" s="48" t="str">
        <f>IF(BV238&lt;&gt;"",HYPERLINK(video!$F$25&amp;"\"&amp;"cam_5_"&amp;$BV238&amp;".avi","Play"),"")</f>
        <v/>
      </c>
      <c r="BU238" s="48" t="str">
        <f>IF(BV238&lt;&gt;"",HYPERLINK(video!$F$25&amp;"\"&amp;"cam_6_"&amp;$BV238&amp;".avi","Play"),"")</f>
        <v/>
      </c>
      <c r="BY238" s="4">
        <f t="shared" si="19"/>
        <v>186</v>
      </c>
      <c r="BZ238" s="4">
        <f t="shared" si="20"/>
        <v>246</v>
      </c>
      <c r="CD238" s="5" t="str">
        <f>Lineup!$G$1</f>
        <v>一軍例行賽</v>
      </c>
      <c r="CE238" s="4">
        <f>Lineup!$I$1</f>
        <v>148</v>
      </c>
      <c r="CF238" s="5" t="str">
        <f>Lineup!$G$5</f>
        <v>王俊宏</v>
      </c>
      <c r="CG238" s="5" t="str">
        <f>Lineup!$G$4</f>
        <v>桃園</v>
      </c>
    </row>
    <row r="239" spans="1:85" x14ac:dyDescent="0.3">
      <c r="A239" s="43"/>
      <c r="AX239" s="4" t="str">
        <f>IFERROR(VLOOKUP(M239,Roster!$D$2:$E$27,2,FALSE),"")</f>
        <v/>
      </c>
      <c r="AY239" s="4" t="str">
        <f t="shared" si="21"/>
        <v>好壞</v>
      </c>
      <c r="BI239" s="5" t="str">
        <f>Lineup!$G$2</f>
        <v>20210817</v>
      </c>
      <c r="BJ239" s="4" t="str">
        <f t="shared" si="22"/>
        <v>偏內角偏高</v>
      </c>
      <c r="BK239" s="4" t="str">
        <f t="shared" si="23"/>
        <v>BO</v>
      </c>
      <c r="BL239" s="4" t="str">
        <f>IFERROR(VLOOKUP('HomeAttackPlay-by-Play'!E239,Roster!$L$2:$M$27,2,FALSE),"")</f>
        <v/>
      </c>
      <c r="BP239" s="48" t="str">
        <f>IF(BO239&lt;&gt;"",HYPERLINK(video!$F$29&amp;"\"&amp;"cam_1_"&amp;$BO239&amp;".avi","Play"),"")</f>
        <v/>
      </c>
      <c r="BQ239" s="48" t="str">
        <f>IF(BO239&lt;&gt;"",HYPERLINK(video!$F$29&amp;"\"&amp;"cam_2_"&amp;$BO239&amp;".avi","Play"),"")</f>
        <v/>
      </c>
      <c r="BR239" s="48" t="str">
        <f>IF(BO239&lt;&gt;"",HYPERLINK(video!$F$29&amp;"\"&amp;"cam_3_"&amp;$BO239&amp;".avi","Play"),"")</f>
        <v/>
      </c>
      <c r="BS239" s="48" t="str">
        <f>IF(BV239&lt;&gt;"",HYPERLINK(video!$F$25&amp;"\"&amp;"cam_4_"&amp;$BV239&amp;".avi","Play"),"")</f>
        <v/>
      </c>
      <c r="BT239" s="48" t="str">
        <f>IF(BV239&lt;&gt;"",HYPERLINK(video!$F$25&amp;"\"&amp;"cam_5_"&amp;$BV239&amp;".avi","Play"),"")</f>
        <v/>
      </c>
      <c r="BU239" s="48" t="str">
        <f>IF(BV239&lt;&gt;"",HYPERLINK(video!$F$25&amp;"\"&amp;"cam_6_"&amp;$BV239&amp;".avi","Play"),"")</f>
        <v/>
      </c>
      <c r="BY239" s="4">
        <f t="shared" si="19"/>
        <v>186</v>
      </c>
      <c r="BZ239" s="4">
        <f t="shared" si="20"/>
        <v>246</v>
      </c>
      <c r="CD239" s="5" t="str">
        <f>Lineup!$G$1</f>
        <v>一軍例行賽</v>
      </c>
      <c r="CE239" s="4">
        <f>Lineup!$I$1</f>
        <v>148</v>
      </c>
      <c r="CF239" s="5" t="str">
        <f>Lineup!$G$5</f>
        <v>王俊宏</v>
      </c>
      <c r="CG239" s="5" t="str">
        <f>Lineup!$G$4</f>
        <v>桃園</v>
      </c>
    </row>
    <row r="240" spans="1:85" x14ac:dyDescent="0.3">
      <c r="A240" s="43"/>
      <c r="AX240" s="4" t="str">
        <f>IFERROR(VLOOKUP(M240,Roster!$D$2:$E$27,2,FALSE),"")</f>
        <v/>
      </c>
      <c r="AY240" s="4" t="str">
        <f t="shared" si="21"/>
        <v>好壞</v>
      </c>
      <c r="BL240" s="4" t="str">
        <f>IFERROR(VLOOKUP('HomeAttackPlay-by-Play'!E240,Roster!$L$2:$M$27,2,FALSE),"")</f>
        <v/>
      </c>
      <c r="BY240" s="4">
        <f t="shared" si="19"/>
        <v>186</v>
      </c>
      <c r="BZ240" s="4">
        <f t="shared" si="20"/>
        <v>246</v>
      </c>
      <c r="CD240" s="5" t="str">
        <f>Lineup!$G$1</f>
        <v>一軍例行賽</v>
      </c>
      <c r="CE240" s="4">
        <f>Lineup!$I$1</f>
        <v>148</v>
      </c>
      <c r="CF240" s="5" t="str">
        <f>Lineup!$G$5</f>
        <v>王俊宏</v>
      </c>
      <c r="CG240" s="5" t="str">
        <f>Lineup!$G$4</f>
        <v>桃園</v>
      </c>
    </row>
    <row r="241" spans="1:85" x14ac:dyDescent="0.3">
      <c r="A241" s="43"/>
      <c r="AX241" s="4" t="str">
        <f>IFERROR(VLOOKUP(M241,Roster!$D$2:$E$27,2,FALSE),"")</f>
        <v/>
      </c>
      <c r="AY241" s="4" t="str">
        <f t="shared" si="21"/>
        <v>好壞</v>
      </c>
      <c r="BL241" s="4" t="str">
        <f>IFERROR(VLOOKUP('HomeAttackPlay-by-Play'!E241,Roster!$L$2:$M$27,2,FALSE),"")</f>
        <v/>
      </c>
      <c r="BY241" s="4">
        <f t="shared" si="19"/>
        <v>186</v>
      </c>
      <c r="BZ241" s="4">
        <f t="shared" si="20"/>
        <v>246</v>
      </c>
      <c r="CD241" s="5" t="str">
        <f>Lineup!$G$1</f>
        <v>一軍例行賽</v>
      </c>
      <c r="CE241" s="4">
        <f>Lineup!$I$1</f>
        <v>148</v>
      </c>
      <c r="CF241" s="5" t="str">
        <f>Lineup!$G$5</f>
        <v>王俊宏</v>
      </c>
      <c r="CG241" s="5" t="str">
        <f>Lineup!$G$4</f>
        <v>桃園</v>
      </c>
    </row>
    <row r="242" spans="1:85" x14ac:dyDescent="0.3">
      <c r="A242" s="43"/>
      <c r="AX242" s="4" t="str">
        <f>IFERROR(VLOOKUP(M242,Roster!$D$2:$E$27,2,FALSE),"")</f>
        <v/>
      </c>
      <c r="AY242" s="4" t="str">
        <f t="shared" si="21"/>
        <v>好壞</v>
      </c>
      <c r="BL242" s="4" t="str">
        <f>IFERROR(VLOOKUP('HomeAttackPlay-by-Play'!E242,Roster!$L$2:$M$27,2,FALSE),"")</f>
        <v/>
      </c>
      <c r="BY242" s="4">
        <f t="shared" si="19"/>
        <v>186</v>
      </c>
      <c r="BZ242" s="4">
        <f t="shared" si="20"/>
        <v>246</v>
      </c>
      <c r="CD242" s="5" t="str">
        <f>Lineup!$G$1</f>
        <v>一軍例行賽</v>
      </c>
      <c r="CE242" s="4">
        <f>Lineup!$I$1</f>
        <v>148</v>
      </c>
      <c r="CF242" s="5" t="str">
        <f>Lineup!$G$5</f>
        <v>王俊宏</v>
      </c>
      <c r="CG242" s="5" t="str">
        <f>Lineup!$G$4</f>
        <v>桃園</v>
      </c>
    </row>
    <row r="243" spans="1:85" x14ac:dyDescent="0.3">
      <c r="A243" s="43"/>
      <c r="AX243" s="4" t="str">
        <f>IFERROR(VLOOKUP(M243,Roster!$D$2:$E$27,2,FALSE),"")</f>
        <v/>
      </c>
      <c r="AY243" s="4" t="str">
        <f t="shared" si="21"/>
        <v>好壞</v>
      </c>
      <c r="BL243" s="4" t="str">
        <f>IFERROR(VLOOKUP('HomeAttackPlay-by-Play'!E243,Roster!$L$2:$M$27,2,FALSE),"")</f>
        <v/>
      </c>
      <c r="BY243" s="4">
        <f t="shared" si="19"/>
        <v>186</v>
      </c>
      <c r="BZ243" s="4">
        <f t="shared" si="20"/>
        <v>246</v>
      </c>
      <c r="CD243" s="5" t="str">
        <f>Lineup!$G$1</f>
        <v>一軍例行賽</v>
      </c>
      <c r="CE243" s="4">
        <f>Lineup!$I$1</f>
        <v>148</v>
      </c>
      <c r="CF243" s="5" t="str">
        <f>Lineup!$G$5</f>
        <v>王俊宏</v>
      </c>
      <c r="CG243" s="5" t="str">
        <f>Lineup!$G$4</f>
        <v>桃園</v>
      </c>
    </row>
    <row r="244" spans="1:85" x14ac:dyDescent="0.3">
      <c r="A244" s="43"/>
      <c r="AX244" s="4" t="str">
        <f>IFERROR(VLOOKUP(M244,Roster!$D$2:$E$27,2,FALSE),"")</f>
        <v/>
      </c>
      <c r="AY244" s="4" t="str">
        <f t="shared" si="21"/>
        <v>好壞</v>
      </c>
      <c r="BL244" s="4" t="str">
        <f>IFERROR(VLOOKUP('HomeAttackPlay-by-Play'!E244,Roster!$L$2:$M$27,2,FALSE),"")</f>
        <v/>
      </c>
      <c r="BY244" s="4">
        <f t="shared" si="19"/>
        <v>186</v>
      </c>
      <c r="BZ244" s="4">
        <f t="shared" si="20"/>
        <v>246</v>
      </c>
      <c r="CD244" s="5" t="str">
        <f>Lineup!$G$1</f>
        <v>一軍例行賽</v>
      </c>
      <c r="CE244" s="4">
        <f>Lineup!$I$1</f>
        <v>148</v>
      </c>
      <c r="CF244" s="5" t="str">
        <f>Lineup!$G$5</f>
        <v>王俊宏</v>
      </c>
      <c r="CG244" s="5" t="str">
        <f>Lineup!$G$4</f>
        <v>桃園</v>
      </c>
    </row>
    <row r="245" spans="1:85" x14ac:dyDescent="0.3">
      <c r="A245" s="43"/>
      <c r="AX245" s="4" t="str">
        <f>IFERROR(VLOOKUP(M245,Roster!$D$2:$E$27,2,FALSE),"")</f>
        <v/>
      </c>
      <c r="AY245" s="4" t="str">
        <f t="shared" si="21"/>
        <v>好壞</v>
      </c>
      <c r="BL245" s="4" t="str">
        <f>IFERROR(VLOOKUP('HomeAttackPlay-by-Play'!E245,Roster!$L$2:$M$27,2,FALSE),"")</f>
        <v/>
      </c>
      <c r="BY245" s="4">
        <f t="shared" si="19"/>
        <v>186</v>
      </c>
      <c r="BZ245" s="4">
        <f t="shared" si="20"/>
        <v>246</v>
      </c>
      <c r="CD245" s="5" t="str">
        <f>Lineup!$G$1</f>
        <v>一軍例行賽</v>
      </c>
      <c r="CE245" s="4">
        <f>Lineup!$I$1</f>
        <v>148</v>
      </c>
      <c r="CF245" s="5" t="str">
        <f>Lineup!$G$5</f>
        <v>王俊宏</v>
      </c>
      <c r="CG245" s="5" t="str">
        <f>Lineup!$G$4</f>
        <v>桃園</v>
      </c>
    </row>
    <row r="246" spans="1:85" x14ac:dyDescent="0.3">
      <c r="A246" s="43"/>
      <c r="AX246" s="4" t="str">
        <f>IFERROR(VLOOKUP(M246,Roster!$D$2:$E$27,2,FALSE),"")</f>
        <v/>
      </c>
      <c r="AY246" s="4" t="str">
        <f t="shared" si="21"/>
        <v>好壞</v>
      </c>
      <c r="BL246" s="4" t="str">
        <f>IFERROR(VLOOKUP('HomeAttackPlay-by-Play'!E246,Roster!$L$2:$M$27,2,FALSE),"")</f>
        <v/>
      </c>
      <c r="BY246" s="4">
        <f t="shared" si="19"/>
        <v>186</v>
      </c>
      <c r="BZ246" s="4">
        <f t="shared" si="20"/>
        <v>246</v>
      </c>
      <c r="CD246" s="5" t="str">
        <f>Lineup!$G$1</f>
        <v>一軍例行賽</v>
      </c>
      <c r="CE246" s="4">
        <f>Lineup!$I$1</f>
        <v>148</v>
      </c>
      <c r="CF246" s="5" t="str">
        <f>Lineup!$G$5</f>
        <v>王俊宏</v>
      </c>
      <c r="CG246" s="5" t="str">
        <f>Lineup!$G$4</f>
        <v>桃園</v>
      </c>
    </row>
    <row r="247" spans="1:85" x14ac:dyDescent="0.3">
      <c r="A247" s="43"/>
      <c r="AX247" s="4" t="str">
        <f>IFERROR(VLOOKUP(M247,Roster!$D$2:$E$27,2,FALSE),"")</f>
        <v/>
      </c>
      <c r="AY247" s="4" t="str">
        <f t="shared" si="21"/>
        <v>好壞</v>
      </c>
      <c r="BL247" s="4" t="str">
        <f>IFERROR(VLOOKUP('HomeAttackPlay-by-Play'!E247,Roster!$L$2:$M$27,2,FALSE),"")</f>
        <v/>
      </c>
      <c r="BY247" s="4">
        <f t="shared" ref="BY247:BY289" si="24">186-P247</f>
        <v>186</v>
      </c>
      <c r="BZ247" s="4">
        <f t="shared" ref="BZ247:BZ289" si="25">246-T247</f>
        <v>246</v>
      </c>
      <c r="CD247" s="5" t="str">
        <f>Lineup!$G$1</f>
        <v>一軍例行賽</v>
      </c>
      <c r="CE247" s="4">
        <f>Lineup!$I$1</f>
        <v>148</v>
      </c>
      <c r="CF247" s="5" t="str">
        <f>Lineup!$G$5</f>
        <v>王俊宏</v>
      </c>
      <c r="CG247" s="5" t="str">
        <f>Lineup!$G$4</f>
        <v>桃園</v>
      </c>
    </row>
    <row r="248" spans="1:85" x14ac:dyDescent="0.3">
      <c r="A248" s="43"/>
      <c r="AX248" s="4" t="str">
        <f>IFERROR(VLOOKUP(M248,Roster!$D$2:$E$27,2,FALSE),"")</f>
        <v/>
      </c>
      <c r="AY248" s="4" t="str">
        <f t="shared" ref="AY248:AY289" si="26">IF(M248=M247,AS248&amp;"好"&amp;AT248&amp;"壞","0好0壞")</f>
        <v>好壞</v>
      </c>
      <c r="BL248" s="4" t="str">
        <f>IFERROR(VLOOKUP('HomeAttackPlay-by-Play'!E248,Roster!$L$2:$M$27,2,FALSE),"")</f>
        <v/>
      </c>
      <c r="BY248" s="4">
        <f t="shared" si="24"/>
        <v>186</v>
      </c>
      <c r="BZ248" s="4">
        <f t="shared" si="25"/>
        <v>246</v>
      </c>
      <c r="CD248" s="5" t="str">
        <f>Lineup!$G$1</f>
        <v>一軍例行賽</v>
      </c>
      <c r="CE248" s="4">
        <f>Lineup!$I$1</f>
        <v>148</v>
      </c>
      <c r="CF248" s="5" t="str">
        <f>Lineup!$G$5</f>
        <v>王俊宏</v>
      </c>
      <c r="CG248" s="5" t="str">
        <f>Lineup!$G$4</f>
        <v>桃園</v>
      </c>
    </row>
    <row r="249" spans="1:85" x14ac:dyDescent="0.3">
      <c r="A249" s="43"/>
      <c r="AX249" s="4" t="str">
        <f>IFERROR(VLOOKUP(M249,Roster!$D$2:$E$27,2,FALSE),"")</f>
        <v/>
      </c>
      <c r="AY249" s="4" t="str">
        <f t="shared" si="26"/>
        <v>好壞</v>
      </c>
      <c r="BL249" s="4" t="str">
        <f>IFERROR(VLOOKUP('HomeAttackPlay-by-Play'!E249,Roster!$L$2:$M$27,2,FALSE),"")</f>
        <v/>
      </c>
      <c r="BY249" s="4">
        <f t="shared" si="24"/>
        <v>186</v>
      </c>
      <c r="BZ249" s="4">
        <f t="shared" si="25"/>
        <v>246</v>
      </c>
      <c r="CD249" s="5" t="str">
        <f>Lineup!$G$1</f>
        <v>一軍例行賽</v>
      </c>
      <c r="CE249" s="4">
        <f>Lineup!$I$1</f>
        <v>148</v>
      </c>
      <c r="CF249" s="5" t="str">
        <f>Lineup!$G$5</f>
        <v>王俊宏</v>
      </c>
      <c r="CG249" s="5" t="str">
        <f>Lineup!$G$4</f>
        <v>桃園</v>
      </c>
    </row>
    <row r="250" spans="1:85" x14ac:dyDescent="0.3">
      <c r="A250" s="43"/>
      <c r="AX250" s="4" t="str">
        <f>IFERROR(VLOOKUP(M250,Roster!$D$2:$E$27,2,FALSE),"")</f>
        <v/>
      </c>
      <c r="AY250" s="4" t="str">
        <f t="shared" si="26"/>
        <v>好壞</v>
      </c>
      <c r="BL250" s="4" t="str">
        <f>IFERROR(VLOOKUP('HomeAttackPlay-by-Play'!E250,Roster!$L$2:$M$27,2,FALSE),"")</f>
        <v/>
      </c>
      <c r="BY250" s="4">
        <f t="shared" si="24"/>
        <v>186</v>
      </c>
      <c r="BZ250" s="4">
        <f t="shared" si="25"/>
        <v>246</v>
      </c>
      <c r="CD250" s="5" t="str">
        <f>Lineup!$G$1</f>
        <v>一軍例行賽</v>
      </c>
      <c r="CE250" s="4">
        <f>Lineup!$I$1</f>
        <v>148</v>
      </c>
      <c r="CF250" s="5" t="str">
        <f>Lineup!$G$5</f>
        <v>王俊宏</v>
      </c>
      <c r="CG250" s="5" t="str">
        <f>Lineup!$G$4</f>
        <v>桃園</v>
      </c>
    </row>
    <row r="251" spans="1:85" x14ac:dyDescent="0.3">
      <c r="A251" s="43"/>
      <c r="AX251" s="4" t="str">
        <f>IFERROR(VLOOKUP(M251,Roster!$D$2:$E$27,2,FALSE),"")</f>
        <v/>
      </c>
      <c r="AY251" s="4" t="str">
        <f t="shared" si="26"/>
        <v>好壞</v>
      </c>
      <c r="BL251" s="4" t="str">
        <f>IFERROR(VLOOKUP('HomeAttackPlay-by-Play'!E251,Roster!$L$2:$M$27,2,FALSE),"")</f>
        <v/>
      </c>
      <c r="BY251" s="4">
        <f t="shared" si="24"/>
        <v>186</v>
      </c>
      <c r="BZ251" s="4">
        <f t="shared" si="25"/>
        <v>246</v>
      </c>
      <c r="CD251" s="5" t="str">
        <f>Lineup!$G$1</f>
        <v>一軍例行賽</v>
      </c>
      <c r="CE251" s="4">
        <f>Lineup!$I$1</f>
        <v>148</v>
      </c>
      <c r="CF251" s="5" t="str">
        <f>Lineup!$G$5</f>
        <v>王俊宏</v>
      </c>
      <c r="CG251" s="5" t="str">
        <f>Lineup!$G$4</f>
        <v>桃園</v>
      </c>
    </row>
    <row r="252" spans="1:85" x14ac:dyDescent="0.3">
      <c r="A252" s="43"/>
      <c r="AX252" s="4" t="str">
        <f>IFERROR(VLOOKUP(M252,Roster!$D$2:$E$27,2,FALSE),"")</f>
        <v/>
      </c>
      <c r="AY252" s="4" t="str">
        <f t="shared" si="26"/>
        <v>好壞</v>
      </c>
      <c r="BL252" s="4" t="str">
        <f>IFERROR(VLOOKUP('HomeAttackPlay-by-Play'!E252,Roster!$L$2:$M$27,2,FALSE),"")</f>
        <v/>
      </c>
      <c r="BY252" s="4">
        <f t="shared" si="24"/>
        <v>186</v>
      </c>
      <c r="BZ252" s="4">
        <f t="shared" si="25"/>
        <v>246</v>
      </c>
      <c r="CD252" s="5" t="str">
        <f>Lineup!$G$1</f>
        <v>一軍例行賽</v>
      </c>
      <c r="CE252" s="4">
        <f>Lineup!$I$1</f>
        <v>148</v>
      </c>
      <c r="CF252" s="5" t="str">
        <f>Lineup!$G$5</f>
        <v>王俊宏</v>
      </c>
      <c r="CG252" s="5" t="str">
        <f>Lineup!$G$4</f>
        <v>桃園</v>
      </c>
    </row>
    <row r="253" spans="1:85" x14ac:dyDescent="0.3">
      <c r="A253" s="43"/>
      <c r="AX253" s="4" t="str">
        <f>IFERROR(VLOOKUP(M253,Roster!$D$2:$E$27,2,FALSE),"")</f>
        <v/>
      </c>
      <c r="AY253" s="4" t="str">
        <f t="shared" si="26"/>
        <v>好壞</v>
      </c>
      <c r="BL253" s="4" t="str">
        <f>IFERROR(VLOOKUP('HomeAttackPlay-by-Play'!E253,Roster!$L$2:$M$27,2,FALSE),"")</f>
        <v/>
      </c>
      <c r="BY253" s="4">
        <f t="shared" si="24"/>
        <v>186</v>
      </c>
      <c r="BZ253" s="4">
        <f t="shared" si="25"/>
        <v>246</v>
      </c>
      <c r="CD253" s="5" t="str">
        <f>Lineup!$G$1</f>
        <v>一軍例行賽</v>
      </c>
      <c r="CE253" s="4">
        <f>Lineup!$I$1</f>
        <v>148</v>
      </c>
      <c r="CF253" s="5" t="str">
        <f>Lineup!$G$5</f>
        <v>王俊宏</v>
      </c>
      <c r="CG253" s="5" t="str">
        <f>Lineup!$G$4</f>
        <v>桃園</v>
      </c>
    </row>
    <row r="254" spans="1:85" x14ac:dyDescent="0.3">
      <c r="A254" s="43"/>
      <c r="AX254" s="4" t="str">
        <f>IFERROR(VLOOKUP(M254,Roster!$D$2:$E$27,2,FALSE),"")</f>
        <v/>
      </c>
      <c r="AY254" s="4" t="str">
        <f t="shared" si="26"/>
        <v>好壞</v>
      </c>
      <c r="BL254" s="4" t="str">
        <f>IFERROR(VLOOKUP('HomeAttackPlay-by-Play'!E254,Roster!$L$2:$M$27,2,FALSE),"")</f>
        <v/>
      </c>
      <c r="BY254" s="4">
        <f t="shared" si="24"/>
        <v>186</v>
      </c>
      <c r="BZ254" s="4">
        <f t="shared" si="25"/>
        <v>246</v>
      </c>
      <c r="CD254" s="5" t="str">
        <f>Lineup!$G$1</f>
        <v>一軍例行賽</v>
      </c>
      <c r="CE254" s="4">
        <f>Lineup!$I$1</f>
        <v>148</v>
      </c>
      <c r="CF254" s="5" t="str">
        <f>Lineup!$G$5</f>
        <v>王俊宏</v>
      </c>
      <c r="CG254" s="5" t="str">
        <f>Lineup!$G$4</f>
        <v>桃園</v>
      </c>
    </row>
    <row r="255" spans="1:85" x14ac:dyDescent="0.3">
      <c r="A255" s="43"/>
      <c r="AX255" s="4" t="str">
        <f>IFERROR(VLOOKUP(M255,Roster!$D$2:$E$27,2,FALSE),"")</f>
        <v/>
      </c>
      <c r="AY255" s="4" t="str">
        <f t="shared" si="26"/>
        <v>好壞</v>
      </c>
      <c r="BL255" s="4" t="str">
        <f>IFERROR(VLOOKUP('HomeAttackPlay-by-Play'!E255,Roster!$L$2:$M$27,2,FALSE),"")</f>
        <v/>
      </c>
      <c r="BY255" s="4">
        <f t="shared" si="24"/>
        <v>186</v>
      </c>
      <c r="BZ255" s="4">
        <f t="shared" si="25"/>
        <v>246</v>
      </c>
      <c r="CD255" s="5" t="str">
        <f>Lineup!$G$1</f>
        <v>一軍例行賽</v>
      </c>
      <c r="CE255" s="4">
        <f>Lineup!$I$1</f>
        <v>148</v>
      </c>
      <c r="CF255" s="5" t="str">
        <f>Lineup!$G$5</f>
        <v>王俊宏</v>
      </c>
      <c r="CG255" s="5" t="str">
        <f>Lineup!$G$4</f>
        <v>桃園</v>
      </c>
    </row>
    <row r="256" spans="1:85" x14ac:dyDescent="0.3">
      <c r="A256" s="43"/>
      <c r="AX256" s="4" t="str">
        <f>IFERROR(VLOOKUP(M256,Roster!$D$2:$E$27,2,FALSE),"")</f>
        <v/>
      </c>
      <c r="AY256" s="4" t="str">
        <f t="shared" si="26"/>
        <v>好壞</v>
      </c>
      <c r="BL256" s="4" t="str">
        <f>IFERROR(VLOOKUP('HomeAttackPlay-by-Play'!E256,Roster!$L$2:$M$27,2,FALSE),"")</f>
        <v/>
      </c>
      <c r="BY256" s="4">
        <f t="shared" si="24"/>
        <v>186</v>
      </c>
      <c r="BZ256" s="4">
        <f t="shared" si="25"/>
        <v>246</v>
      </c>
      <c r="CD256" s="5" t="str">
        <f>Lineup!$G$1</f>
        <v>一軍例行賽</v>
      </c>
      <c r="CE256" s="4">
        <f>Lineup!$I$1</f>
        <v>148</v>
      </c>
      <c r="CF256" s="5" t="str">
        <f>Lineup!$G$5</f>
        <v>王俊宏</v>
      </c>
      <c r="CG256" s="5" t="str">
        <f>Lineup!$G$4</f>
        <v>桃園</v>
      </c>
    </row>
    <row r="257" spans="1:85" x14ac:dyDescent="0.3">
      <c r="A257" s="43"/>
      <c r="AX257" s="4" t="str">
        <f>IFERROR(VLOOKUP(M257,Roster!$D$2:$E$27,2,FALSE),"")</f>
        <v/>
      </c>
      <c r="AY257" s="4" t="str">
        <f t="shared" si="26"/>
        <v>好壞</v>
      </c>
      <c r="BL257" s="4" t="str">
        <f>IFERROR(VLOOKUP('HomeAttackPlay-by-Play'!E257,Roster!$L$2:$M$27,2,FALSE),"")</f>
        <v/>
      </c>
      <c r="BY257" s="4">
        <f t="shared" si="24"/>
        <v>186</v>
      </c>
      <c r="BZ257" s="4">
        <f t="shared" si="25"/>
        <v>246</v>
      </c>
      <c r="CD257" s="5" t="str">
        <f>Lineup!$G$1</f>
        <v>一軍例行賽</v>
      </c>
      <c r="CE257" s="4">
        <f>Lineup!$I$1</f>
        <v>148</v>
      </c>
      <c r="CF257" s="5" t="str">
        <f>Lineup!$G$5</f>
        <v>王俊宏</v>
      </c>
      <c r="CG257" s="5" t="str">
        <f>Lineup!$G$4</f>
        <v>桃園</v>
      </c>
    </row>
    <row r="258" spans="1:85" x14ac:dyDescent="0.3">
      <c r="A258" s="43"/>
      <c r="AX258" s="4" t="str">
        <f>IFERROR(VLOOKUP(M258,Roster!$D$2:$E$27,2,FALSE),"")</f>
        <v/>
      </c>
      <c r="AY258" s="4" t="str">
        <f t="shared" si="26"/>
        <v>好壞</v>
      </c>
      <c r="BL258" s="4" t="str">
        <f>IFERROR(VLOOKUP('HomeAttackPlay-by-Play'!E258,Roster!$L$2:$M$27,2,FALSE),"")</f>
        <v/>
      </c>
      <c r="BY258" s="4">
        <f t="shared" si="24"/>
        <v>186</v>
      </c>
      <c r="BZ258" s="4">
        <f t="shared" si="25"/>
        <v>246</v>
      </c>
      <c r="CD258" s="5" t="str">
        <f>Lineup!$G$1</f>
        <v>一軍例行賽</v>
      </c>
      <c r="CE258" s="4">
        <f>Lineup!$I$1</f>
        <v>148</v>
      </c>
      <c r="CF258" s="5" t="str">
        <f>Lineup!$G$5</f>
        <v>王俊宏</v>
      </c>
      <c r="CG258" s="5" t="str">
        <f>Lineup!$G$4</f>
        <v>桃園</v>
      </c>
    </row>
    <row r="259" spans="1:85" x14ac:dyDescent="0.3">
      <c r="A259" s="43"/>
      <c r="AX259" s="4" t="str">
        <f>IFERROR(VLOOKUP(M259,Roster!$D$2:$E$27,2,FALSE),"")</f>
        <v/>
      </c>
      <c r="AY259" s="4" t="str">
        <f t="shared" si="26"/>
        <v>好壞</v>
      </c>
      <c r="BL259" s="4" t="str">
        <f>IFERROR(VLOOKUP('HomeAttackPlay-by-Play'!E259,Roster!$L$2:$M$27,2,FALSE),"")</f>
        <v/>
      </c>
      <c r="BY259" s="4">
        <f t="shared" si="24"/>
        <v>186</v>
      </c>
      <c r="BZ259" s="4">
        <f t="shared" si="25"/>
        <v>246</v>
      </c>
      <c r="CD259" s="5" t="str">
        <f>Lineup!$G$1</f>
        <v>一軍例行賽</v>
      </c>
      <c r="CE259" s="4">
        <f>Lineup!$I$1</f>
        <v>148</v>
      </c>
      <c r="CF259" s="5" t="str">
        <f>Lineup!$G$5</f>
        <v>王俊宏</v>
      </c>
      <c r="CG259" s="5" t="str">
        <f>Lineup!$G$4</f>
        <v>桃園</v>
      </c>
    </row>
    <row r="260" spans="1:85" x14ac:dyDescent="0.3">
      <c r="A260" s="43"/>
      <c r="AX260" s="4" t="str">
        <f>IFERROR(VLOOKUP(M260,Roster!$D$2:$E$27,2,FALSE),"")</f>
        <v/>
      </c>
      <c r="AY260" s="4" t="str">
        <f t="shared" si="26"/>
        <v>好壞</v>
      </c>
      <c r="BL260" s="4" t="str">
        <f>IFERROR(VLOOKUP('HomeAttackPlay-by-Play'!E260,Roster!$L$2:$M$27,2,FALSE),"")</f>
        <v/>
      </c>
      <c r="BY260" s="4">
        <f t="shared" si="24"/>
        <v>186</v>
      </c>
      <c r="BZ260" s="4">
        <f t="shared" si="25"/>
        <v>246</v>
      </c>
      <c r="CD260" s="5" t="str">
        <f>Lineup!$G$1</f>
        <v>一軍例行賽</v>
      </c>
      <c r="CE260" s="4">
        <f>Lineup!$I$1</f>
        <v>148</v>
      </c>
      <c r="CF260" s="5" t="str">
        <f>Lineup!$G$5</f>
        <v>王俊宏</v>
      </c>
      <c r="CG260" s="5" t="str">
        <f>Lineup!$G$4</f>
        <v>桃園</v>
      </c>
    </row>
    <row r="261" spans="1:85" x14ac:dyDescent="0.3">
      <c r="A261" s="43"/>
      <c r="AX261" s="4" t="str">
        <f>IFERROR(VLOOKUP(M261,Roster!$D$2:$E$27,2,FALSE),"")</f>
        <v/>
      </c>
      <c r="AY261" s="4" t="str">
        <f t="shared" si="26"/>
        <v>好壞</v>
      </c>
      <c r="BL261" s="4" t="str">
        <f>IFERROR(VLOOKUP('HomeAttackPlay-by-Play'!E261,Roster!$L$2:$M$27,2,FALSE),"")</f>
        <v/>
      </c>
      <c r="BY261" s="4">
        <f t="shared" si="24"/>
        <v>186</v>
      </c>
      <c r="BZ261" s="4">
        <f t="shared" si="25"/>
        <v>246</v>
      </c>
      <c r="CD261" s="5" t="str">
        <f>Lineup!$G$1</f>
        <v>一軍例行賽</v>
      </c>
      <c r="CE261" s="4">
        <f>Lineup!$I$1</f>
        <v>148</v>
      </c>
      <c r="CF261" s="5" t="str">
        <f>Lineup!$G$5</f>
        <v>王俊宏</v>
      </c>
      <c r="CG261" s="5" t="str">
        <f>Lineup!$G$4</f>
        <v>桃園</v>
      </c>
    </row>
    <row r="262" spans="1:85" x14ac:dyDescent="0.3">
      <c r="A262" s="43"/>
      <c r="AX262" s="4" t="str">
        <f>IFERROR(VLOOKUP(M262,Roster!$D$2:$E$27,2,FALSE),"")</f>
        <v/>
      </c>
      <c r="AY262" s="4" t="str">
        <f t="shared" si="26"/>
        <v>好壞</v>
      </c>
      <c r="BL262" s="4" t="str">
        <f>IFERROR(VLOOKUP('HomeAttackPlay-by-Play'!E262,Roster!$L$2:$M$27,2,FALSE),"")</f>
        <v/>
      </c>
      <c r="BY262" s="4">
        <f t="shared" si="24"/>
        <v>186</v>
      </c>
      <c r="BZ262" s="4">
        <f t="shared" si="25"/>
        <v>246</v>
      </c>
      <c r="CD262" s="5" t="str">
        <f>Lineup!$G$1</f>
        <v>一軍例行賽</v>
      </c>
      <c r="CE262" s="4">
        <f>Lineup!$I$1</f>
        <v>148</v>
      </c>
      <c r="CF262" s="5" t="str">
        <f>Lineup!$G$5</f>
        <v>王俊宏</v>
      </c>
      <c r="CG262" s="5" t="str">
        <f>Lineup!$G$4</f>
        <v>桃園</v>
      </c>
    </row>
    <row r="263" spans="1:85" x14ac:dyDescent="0.3">
      <c r="A263" s="43"/>
      <c r="AX263" s="4" t="str">
        <f>IFERROR(VLOOKUP(M263,Roster!$D$2:$E$27,2,FALSE),"")</f>
        <v/>
      </c>
      <c r="AY263" s="4" t="str">
        <f t="shared" si="26"/>
        <v>好壞</v>
      </c>
      <c r="BL263" s="4" t="str">
        <f>IFERROR(VLOOKUP('HomeAttackPlay-by-Play'!E263,Roster!$L$2:$M$27,2,FALSE),"")</f>
        <v/>
      </c>
      <c r="BY263" s="4">
        <f t="shared" si="24"/>
        <v>186</v>
      </c>
      <c r="BZ263" s="4">
        <f t="shared" si="25"/>
        <v>246</v>
      </c>
      <c r="CD263" s="5" t="str">
        <f>Lineup!$G$1</f>
        <v>一軍例行賽</v>
      </c>
      <c r="CE263" s="4">
        <f>Lineup!$I$1</f>
        <v>148</v>
      </c>
      <c r="CF263" s="5" t="str">
        <f>Lineup!$G$5</f>
        <v>王俊宏</v>
      </c>
      <c r="CG263" s="5" t="str">
        <f>Lineup!$G$4</f>
        <v>桃園</v>
      </c>
    </row>
    <row r="264" spans="1:85" x14ac:dyDescent="0.3">
      <c r="A264" s="43"/>
      <c r="AX264" s="4" t="str">
        <f>IFERROR(VLOOKUP(M264,Roster!$D$2:$E$27,2,FALSE),"")</f>
        <v/>
      </c>
      <c r="AY264" s="4" t="str">
        <f t="shared" si="26"/>
        <v>好壞</v>
      </c>
      <c r="BL264" s="4" t="str">
        <f>IFERROR(VLOOKUP('HomeAttackPlay-by-Play'!E264,Roster!$L$2:$M$27,2,FALSE),"")</f>
        <v/>
      </c>
      <c r="BY264" s="4">
        <f t="shared" si="24"/>
        <v>186</v>
      </c>
      <c r="BZ264" s="4">
        <f t="shared" si="25"/>
        <v>246</v>
      </c>
      <c r="CD264" s="5" t="str">
        <f>Lineup!$G$1</f>
        <v>一軍例行賽</v>
      </c>
      <c r="CE264" s="4">
        <f>Lineup!$I$1</f>
        <v>148</v>
      </c>
      <c r="CF264" s="5" t="str">
        <f>Lineup!$G$5</f>
        <v>王俊宏</v>
      </c>
      <c r="CG264" s="5" t="str">
        <f>Lineup!$G$4</f>
        <v>桃園</v>
      </c>
    </row>
    <row r="265" spans="1:85" x14ac:dyDescent="0.3">
      <c r="A265" s="43"/>
      <c r="AX265" s="4" t="str">
        <f>IFERROR(VLOOKUP(M265,Roster!$D$2:$E$27,2,FALSE),"")</f>
        <v/>
      </c>
      <c r="AY265" s="4" t="str">
        <f t="shared" si="26"/>
        <v>好壞</v>
      </c>
      <c r="BL265" s="4" t="str">
        <f>IFERROR(VLOOKUP('HomeAttackPlay-by-Play'!E265,Roster!$L$2:$M$27,2,FALSE),"")</f>
        <v/>
      </c>
      <c r="BY265" s="4">
        <f t="shared" si="24"/>
        <v>186</v>
      </c>
      <c r="BZ265" s="4">
        <f t="shared" si="25"/>
        <v>246</v>
      </c>
      <c r="CD265" s="5" t="str">
        <f>Lineup!$G$1</f>
        <v>一軍例行賽</v>
      </c>
      <c r="CE265" s="4">
        <f>Lineup!$I$1</f>
        <v>148</v>
      </c>
      <c r="CF265" s="5" t="str">
        <f>Lineup!$G$5</f>
        <v>王俊宏</v>
      </c>
      <c r="CG265" s="5" t="str">
        <f>Lineup!$G$4</f>
        <v>桃園</v>
      </c>
    </row>
    <row r="266" spans="1:85" x14ac:dyDescent="0.3">
      <c r="A266" s="43"/>
      <c r="AX266" s="4" t="str">
        <f>IFERROR(VLOOKUP(M266,Roster!$D$2:$E$27,2,FALSE),"")</f>
        <v/>
      </c>
      <c r="AY266" s="4" t="str">
        <f t="shared" si="26"/>
        <v>好壞</v>
      </c>
      <c r="BL266" s="4" t="str">
        <f>IFERROR(VLOOKUP('HomeAttackPlay-by-Play'!E266,Roster!$L$2:$M$27,2,FALSE),"")</f>
        <v/>
      </c>
      <c r="BY266" s="4">
        <f t="shared" si="24"/>
        <v>186</v>
      </c>
      <c r="BZ266" s="4">
        <f t="shared" si="25"/>
        <v>246</v>
      </c>
      <c r="CD266" s="5" t="str">
        <f>Lineup!$G$1</f>
        <v>一軍例行賽</v>
      </c>
      <c r="CE266" s="4">
        <f>Lineup!$I$1</f>
        <v>148</v>
      </c>
      <c r="CF266" s="5" t="str">
        <f>Lineup!$G$5</f>
        <v>王俊宏</v>
      </c>
      <c r="CG266" s="5" t="str">
        <f>Lineup!$G$4</f>
        <v>桃園</v>
      </c>
    </row>
    <row r="267" spans="1:85" x14ac:dyDescent="0.3">
      <c r="A267" s="43"/>
      <c r="AX267" s="4" t="str">
        <f>IFERROR(VLOOKUP(M267,Roster!$D$2:$E$27,2,FALSE),"")</f>
        <v/>
      </c>
      <c r="AY267" s="4" t="str">
        <f t="shared" si="26"/>
        <v>好壞</v>
      </c>
      <c r="BL267" s="4" t="str">
        <f>IFERROR(VLOOKUP('HomeAttackPlay-by-Play'!E267,Roster!$L$2:$M$27,2,FALSE),"")</f>
        <v/>
      </c>
      <c r="BY267" s="4">
        <f t="shared" si="24"/>
        <v>186</v>
      </c>
      <c r="BZ267" s="4">
        <f t="shared" si="25"/>
        <v>246</v>
      </c>
      <c r="CD267" s="5" t="str">
        <f>Lineup!$G$1</f>
        <v>一軍例行賽</v>
      </c>
      <c r="CE267" s="4">
        <f>Lineup!$I$1</f>
        <v>148</v>
      </c>
      <c r="CF267" s="5" t="str">
        <f>Lineup!$G$5</f>
        <v>王俊宏</v>
      </c>
      <c r="CG267" s="5" t="str">
        <f>Lineup!$G$4</f>
        <v>桃園</v>
      </c>
    </row>
    <row r="268" spans="1:85" x14ac:dyDescent="0.3">
      <c r="A268" s="43"/>
      <c r="AX268" s="4" t="str">
        <f>IFERROR(VLOOKUP(M268,Roster!$D$2:$E$27,2,FALSE),"")</f>
        <v/>
      </c>
      <c r="AY268" s="4" t="str">
        <f t="shared" si="26"/>
        <v>好壞</v>
      </c>
      <c r="BL268" s="4" t="str">
        <f>IFERROR(VLOOKUP('HomeAttackPlay-by-Play'!E268,Roster!$L$2:$M$27,2,FALSE),"")</f>
        <v/>
      </c>
      <c r="BY268" s="4">
        <f t="shared" si="24"/>
        <v>186</v>
      </c>
      <c r="BZ268" s="4">
        <f t="shared" si="25"/>
        <v>246</v>
      </c>
      <c r="CD268" s="5" t="str">
        <f>Lineup!$G$1</f>
        <v>一軍例行賽</v>
      </c>
      <c r="CE268" s="4">
        <f>Lineup!$I$1</f>
        <v>148</v>
      </c>
      <c r="CF268" s="5" t="str">
        <f>Lineup!$G$5</f>
        <v>王俊宏</v>
      </c>
      <c r="CG268" s="5" t="str">
        <f>Lineup!$G$4</f>
        <v>桃園</v>
      </c>
    </row>
    <row r="269" spans="1:85" x14ac:dyDescent="0.3">
      <c r="A269" s="43"/>
      <c r="AX269" s="4" t="str">
        <f>IFERROR(VLOOKUP(M269,Roster!$D$2:$E$27,2,FALSE),"")</f>
        <v/>
      </c>
      <c r="AY269" s="4" t="str">
        <f t="shared" si="26"/>
        <v>好壞</v>
      </c>
      <c r="BL269" s="4" t="str">
        <f>IFERROR(VLOOKUP('HomeAttackPlay-by-Play'!E269,Roster!$L$2:$M$27,2,FALSE),"")</f>
        <v/>
      </c>
      <c r="BY269" s="4">
        <f t="shared" si="24"/>
        <v>186</v>
      </c>
      <c r="BZ269" s="4">
        <f t="shared" si="25"/>
        <v>246</v>
      </c>
      <c r="CD269" s="5" t="str">
        <f>Lineup!$G$1</f>
        <v>一軍例行賽</v>
      </c>
      <c r="CE269" s="4">
        <f>Lineup!$I$1</f>
        <v>148</v>
      </c>
      <c r="CF269" s="5" t="str">
        <f>Lineup!$G$5</f>
        <v>王俊宏</v>
      </c>
      <c r="CG269" s="5" t="str">
        <f>Lineup!$G$4</f>
        <v>桃園</v>
      </c>
    </row>
    <row r="270" spans="1:85" x14ac:dyDescent="0.3">
      <c r="A270" s="43"/>
      <c r="AX270" s="4" t="str">
        <f>IFERROR(VLOOKUP(M270,Roster!$D$2:$E$27,2,FALSE),"")</f>
        <v/>
      </c>
      <c r="AY270" s="4" t="str">
        <f t="shared" si="26"/>
        <v>好壞</v>
      </c>
      <c r="BL270" s="4" t="str">
        <f>IFERROR(VLOOKUP('HomeAttackPlay-by-Play'!E270,Roster!$L$2:$M$27,2,FALSE),"")</f>
        <v/>
      </c>
      <c r="BY270" s="4">
        <f t="shared" si="24"/>
        <v>186</v>
      </c>
      <c r="BZ270" s="4">
        <f t="shared" si="25"/>
        <v>246</v>
      </c>
      <c r="CD270" s="5" t="str">
        <f>Lineup!$G$1</f>
        <v>一軍例行賽</v>
      </c>
      <c r="CE270" s="4">
        <f>Lineup!$I$1</f>
        <v>148</v>
      </c>
      <c r="CF270" s="5" t="str">
        <f>Lineup!$G$5</f>
        <v>王俊宏</v>
      </c>
      <c r="CG270" s="5" t="str">
        <f>Lineup!$G$4</f>
        <v>桃園</v>
      </c>
    </row>
    <row r="271" spans="1:85" x14ac:dyDescent="0.3">
      <c r="A271" s="43"/>
      <c r="AX271" s="4" t="str">
        <f>IFERROR(VLOOKUP(M271,Roster!$D$2:$E$27,2,FALSE),"")</f>
        <v/>
      </c>
      <c r="AY271" s="4" t="str">
        <f t="shared" si="26"/>
        <v>好壞</v>
      </c>
      <c r="BL271" s="4" t="str">
        <f>IFERROR(VLOOKUP('HomeAttackPlay-by-Play'!E271,Roster!$L$2:$M$27,2,FALSE),"")</f>
        <v/>
      </c>
      <c r="BY271" s="4">
        <f t="shared" si="24"/>
        <v>186</v>
      </c>
      <c r="BZ271" s="4">
        <f t="shared" si="25"/>
        <v>246</v>
      </c>
      <c r="CD271" s="5" t="str">
        <f>Lineup!$G$1</f>
        <v>一軍例行賽</v>
      </c>
      <c r="CE271" s="4">
        <f>Lineup!$I$1</f>
        <v>148</v>
      </c>
      <c r="CF271" s="5" t="str">
        <f>Lineup!$G$5</f>
        <v>王俊宏</v>
      </c>
      <c r="CG271" s="5" t="str">
        <f>Lineup!$G$4</f>
        <v>桃園</v>
      </c>
    </row>
    <row r="272" spans="1:85" x14ac:dyDescent="0.3">
      <c r="A272" s="43"/>
      <c r="AX272" s="4" t="str">
        <f>IFERROR(VLOOKUP(M272,Roster!$D$2:$E$27,2,FALSE),"")</f>
        <v/>
      </c>
      <c r="AY272" s="4" t="str">
        <f t="shared" si="26"/>
        <v>好壞</v>
      </c>
      <c r="BL272" s="4" t="str">
        <f>IFERROR(VLOOKUP('HomeAttackPlay-by-Play'!E272,Roster!$L$2:$M$27,2,FALSE),"")</f>
        <v/>
      </c>
      <c r="BY272" s="4">
        <f t="shared" si="24"/>
        <v>186</v>
      </c>
      <c r="BZ272" s="4">
        <f t="shared" si="25"/>
        <v>246</v>
      </c>
      <c r="CD272" s="5" t="str">
        <f>Lineup!$G$1</f>
        <v>一軍例行賽</v>
      </c>
      <c r="CE272" s="4">
        <f>Lineup!$I$1</f>
        <v>148</v>
      </c>
      <c r="CF272" s="5" t="str">
        <f>Lineup!$G$5</f>
        <v>王俊宏</v>
      </c>
      <c r="CG272" s="5" t="str">
        <f>Lineup!$G$4</f>
        <v>桃園</v>
      </c>
    </row>
    <row r="273" spans="1:85" x14ac:dyDescent="0.3">
      <c r="A273" s="43"/>
      <c r="AX273" s="4" t="str">
        <f>IFERROR(VLOOKUP(M273,Roster!$D$2:$E$27,2,FALSE),"")</f>
        <v/>
      </c>
      <c r="AY273" s="4" t="str">
        <f t="shared" si="26"/>
        <v>好壞</v>
      </c>
      <c r="BL273" s="4" t="str">
        <f>IFERROR(VLOOKUP('HomeAttackPlay-by-Play'!E273,Roster!$L$2:$M$27,2,FALSE),"")</f>
        <v/>
      </c>
      <c r="BY273" s="4">
        <f t="shared" si="24"/>
        <v>186</v>
      </c>
      <c r="BZ273" s="4">
        <f t="shared" si="25"/>
        <v>246</v>
      </c>
      <c r="CD273" s="5" t="str">
        <f>Lineup!$G$1</f>
        <v>一軍例行賽</v>
      </c>
      <c r="CE273" s="4">
        <f>Lineup!$I$1</f>
        <v>148</v>
      </c>
      <c r="CF273" s="5" t="str">
        <f>Lineup!$G$5</f>
        <v>王俊宏</v>
      </c>
      <c r="CG273" s="5" t="str">
        <f>Lineup!$G$4</f>
        <v>桃園</v>
      </c>
    </row>
    <row r="274" spans="1:85" x14ac:dyDescent="0.3">
      <c r="A274" s="43"/>
      <c r="AX274" s="4" t="str">
        <f>IFERROR(VLOOKUP(M274,Roster!$D$2:$E$27,2,FALSE),"")</f>
        <v/>
      </c>
      <c r="AY274" s="4" t="str">
        <f t="shared" si="26"/>
        <v>好壞</v>
      </c>
      <c r="BL274" s="4" t="str">
        <f>IFERROR(VLOOKUP('HomeAttackPlay-by-Play'!E274,Roster!$L$2:$M$27,2,FALSE),"")</f>
        <v/>
      </c>
      <c r="BY274" s="4">
        <f t="shared" si="24"/>
        <v>186</v>
      </c>
      <c r="BZ274" s="4">
        <f t="shared" si="25"/>
        <v>246</v>
      </c>
      <c r="CD274" s="5" t="str">
        <f>Lineup!$G$1</f>
        <v>一軍例行賽</v>
      </c>
      <c r="CE274" s="4">
        <f>Lineup!$I$1</f>
        <v>148</v>
      </c>
      <c r="CF274" s="5" t="str">
        <f>Lineup!$G$5</f>
        <v>王俊宏</v>
      </c>
      <c r="CG274" s="5" t="str">
        <f>Lineup!$G$4</f>
        <v>桃園</v>
      </c>
    </row>
    <row r="275" spans="1:85" x14ac:dyDescent="0.3">
      <c r="A275" s="43"/>
      <c r="AX275" s="4" t="str">
        <f>IFERROR(VLOOKUP(M275,Roster!$D$2:$E$27,2,FALSE),"")</f>
        <v/>
      </c>
      <c r="AY275" s="4" t="str">
        <f t="shared" si="26"/>
        <v>好壞</v>
      </c>
      <c r="BL275" s="4" t="str">
        <f>IFERROR(VLOOKUP('HomeAttackPlay-by-Play'!E275,Roster!$L$2:$M$27,2,FALSE),"")</f>
        <v/>
      </c>
      <c r="BY275" s="4">
        <f t="shared" si="24"/>
        <v>186</v>
      </c>
      <c r="BZ275" s="4">
        <f t="shared" si="25"/>
        <v>246</v>
      </c>
      <c r="CD275" s="5" t="str">
        <f>Lineup!$G$1</f>
        <v>一軍例行賽</v>
      </c>
      <c r="CE275" s="4">
        <f>Lineup!$I$1</f>
        <v>148</v>
      </c>
      <c r="CF275" s="5" t="str">
        <f>Lineup!$G$5</f>
        <v>王俊宏</v>
      </c>
      <c r="CG275" s="5" t="str">
        <f>Lineup!$G$4</f>
        <v>桃園</v>
      </c>
    </row>
    <row r="276" spans="1:85" x14ac:dyDescent="0.3">
      <c r="A276" s="43"/>
      <c r="AX276" s="4" t="str">
        <f>IFERROR(VLOOKUP(M276,Roster!$D$2:$E$27,2,FALSE),"")</f>
        <v/>
      </c>
      <c r="AY276" s="4" t="str">
        <f t="shared" si="26"/>
        <v>好壞</v>
      </c>
      <c r="BL276" s="4" t="str">
        <f>IFERROR(VLOOKUP('HomeAttackPlay-by-Play'!E276,Roster!$L$2:$M$27,2,FALSE),"")</f>
        <v/>
      </c>
      <c r="BY276" s="4">
        <f t="shared" si="24"/>
        <v>186</v>
      </c>
      <c r="BZ276" s="4">
        <f t="shared" si="25"/>
        <v>246</v>
      </c>
      <c r="CD276" s="5" t="str">
        <f>Lineup!$G$1</f>
        <v>一軍例行賽</v>
      </c>
      <c r="CE276" s="4">
        <f>Lineup!$I$1</f>
        <v>148</v>
      </c>
      <c r="CF276" s="5" t="str">
        <f>Lineup!$G$5</f>
        <v>王俊宏</v>
      </c>
      <c r="CG276" s="5" t="str">
        <f>Lineup!$G$4</f>
        <v>桃園</v>
      </c>
    </row>
    <row r="277" spans="1:85" x14ac:dyDescent="0.3">
      <c r="A277" s="43"/>
      <c r="AX277" s="4" t="str">
        <f>IFERROR(VLOOKUP(M277,Roster!$D$2:$E$27,2,FALSE),"")</f>
        <v/>
      </c>
      <c r="AY277" s="4" t="str">
        <f t="shared" si="26"/>
        <v>好壞</v>
      </c>
      <c r="BL277" s="4" t="str">
        <f>IFERROR(VLOOKUP('HomeAttackPlay-by-Play'!E277,Roster!$L$2:$M$27,2,FALSE),"")</f>
        <v/>
      </c>
      <c r="BY277" s="4">
        <f t="shared" si="24"/>
        <v>186</v>
      </c>
      <c r="BZ277" s="4">
        <f t="shared" si="25"/>
        <v>246</v>
      </c>
      <c r="CD277" s="5" t="str">
        <f>Lineup!$G$1</f>
        <v>一軍例行賽</v>
      </c>
      <c r="CE277" s="4">
        <f>Lineup!$I$1</f>
        <v>148</v>
      </c>
      <c r="CF277" s="5" t="str">
        <f>Lineup!$G$5</f>
        <v>王俊宏</v>
      </c>
      <c r="CG277" s="5" t="str">
        <f>Lineup!$G$4</f>
        <v>桃園</v>
      </c>
    </row>
    <row r="278" spans="1:85" x14ac:dyDescent="0.3">
      <c r="A278" s="43"/>
      <c r="AX278" s="4" t="str">
        <f>IFERROR(VLOOKUP(M278,Roster!$D$2:$E$27,2,FALSE),"")</f>
        <v/>
      </c>
      <c r="AY278" s="4" t="str">
        <f t="shared" si="26"/>
        <v>好壞</v>
      </c>
      <c r="BL278" s="4" t="str">
        <f>IFERROR(VLOOKUP('HomeAttackPlay-by-Play'!E278,Roster!$L$2:$M$27,2,FALSE),"")</f>
        <v/>
      </c>
      <c r="BY278" s="4">
        <f t="shared" si="24"/>
        <v>186</v>
      </c>
      <c r="BZ278" s="4">
        <f t="shared" si="25"/>
        <v>246</v>
      </c>
      <c r="CD278" s="5" t="str">
        <f>Lineup!$G$1</f>
        <v>一軍例行賽</v>
      </c>
      <c r="CE278" s="4">
        <f>Lineup!$I$1</f>
        <v>148</v>
      </c>
      <c r="CF278" s="5" t="str">
        <f>Lineup!$G$5</f>
        <v>王俊宏</v>
      </c>
      <c r="CG278" s="5" t="str">
        <f>Lineup!$G$4</f>
        <v>桃園</v>
      </c>
    </row>
    <row r="279" spans="1:85" x14ac:dyDescent="0.3">
      <c r="A279" s="43"/>
      <c r="AX279" s="4" t="str">
        <f>IFERROR(VLOOKUP(M279,Roster!$D$2:$E$27,2,FALSE),"")</f>
        <v/>
      </c>
      <c r="AY279" s="4" t="str">
        <f t="shared" si="26"/>
        <v>好壞</v>
      </c>
      <c r="BL279" s="4" t="str">
        <f>IFERROR(VLOOKUP('HomeAttackPlay-by-Play'!E279,Roster!$L$2:$M$27,2,FALSE),"")</f>
        <v/>
      </c>
      <c r="BY279" s="4">
        <f t="shared" si="24"/>
        <v>186</v>
      </c>
      <c r="BZ279" s="4">
        <f t="shared" si="25"/>
        <v>246</v>
      </c>
      <c r="CD279" s="5" t="str">
        <f>Lineup!$G$1</f>
        <v>一軍例行賽</v>
      </c>
      <c r="CE279" s="4">
        <f>Lineup!$I$1</f>
        <v>148</v>
      </c>
      <c r="CF279" s="5" t="str">
        <f>Lineup!$G$5</f>
        <v>王俊宏</v>
      </c>
      <c r="CG279" s="5" t="str">
        <f>Lineup!$G$4</f>
        <v>桃園</v>
      </c>
    </row>
    <row r="280" spans="1:85" x14ac:dyDescent="0.3">
      <c r="A280" s="43"/>
      <c r="AX280" s="4" t="str">
        <f>IFERROR(VLOOKUP(M280,Roster!$D$2:$E$27,2,FALSE),"")</f>
        <v/>
      </c>
      <c r="AY280" s="4" t="str">
        <f t="shared" si="26"/>
        <v>好壞</v>
      </c>
      <c r="BL280" s="4" t="str">
        <f>IFERROR(VLOOKUP('HomeAttackPlay-by-Play'!E280,Roster!$L$2:$M$27,2,FALSE),"")</f>
        <v/>
      </c>
      <c r="BY280" s="4">
        <f t="shared" si="24"/>
        <v>186</v>
      </c>
      <c r="BZ280" s="4">
        <f t="shared" si="25"/>
        <v>246</v>
      </c>
      <c r="CD280" s="5" t="str">
        <f>Lineup!$G$1</f>
        <v>一軍例行賽</v>
      </c>
      <c r="CE280" s="4">
        <f>Lineup!$I$1</f>
        <v>148</v>
      </c>
      <c r="CF280" s="5" t="str">
        <f>Lineup!$G$5</f>
        <v>王俊宏</v>
      </c>
      <c r="CG280" s="5" t="str">
        <f>Lineup!$G$4</f>
        <v>桃園</v>
      </c>
    </row>
    <row r="281" spans="1:85" x14ac:dyDescent="0.3">
      <c r="A281" s="43"/>
      <c r="AX281" s="4" t="str">
        <f>IFERROR(VLOOKUP(M281,Roster!$D$2:$E$27,2,FALSE),"")</f>
        <v/>
      </c>
      <c r="AY281" s="4" t="str">
        <f t="shared" si="26"/>
        <v>好壞</v>
      </c>
      <c r="BL281" s="4" t="str">
        <f>IFERROR(VLOOKUP('HomeAttackPlay-by-Play'!E281,Roster!$L$2:$M$27,2,FALSE),"")</f>
        <v/>
      </c>
      <c r="BY281" s="4">
        <f t="shared" si="24"/>
        <v>186</v>
      </c>
      <c r="BZ281" s="4">
        <f t="shared" si="25"/>
        <v>246</v>
      </c>
      <c r="CD281" s="5" t="str">
        <f>Lineup!$G$1</f>
        <v>一軍例行賽</v>
      </c>
      <c r="CE281" s="4">
        <f>Lineup!$I$1</f>
        <v>148</v>
      </c>
      <c r="CF281" s="5" t="str">
        <f>Lineup!$G$5</f>
        <v>王俊宏</v>
      </c>
      <c r="CG281" s="5" t="str">
        <f>Lineup!$G$4</f>
        <v>桃園</v>
      </c>
    </row>
    <row r="282" spans="1:85" x14ac:dyDescent="0.3">
      <c r="A282" s="43"/>
      <c r="AX282" s="4" t="str">
        <f>IFERROR(VLOOKUP(M282,Roster!$D$2:$E$27,2,FALSE),"")</f>
        <v/>
      </c>
      <c r="AY282" s="4" t="str">
        <f t="shared" si="26"/>
        <v>好壞</v>
      </c>
      <c r="BL282" s="4" t="str">
        <f>IFERROR(VLOOKUP('HomeAttackPlay-by-Play'!E282,Roster!$L$2:$M$27,2,FALSE),"")</f>
        <v/>
      </c>
      <c r="BY282" s="4">
        <f t="shared" si="24"/>
        <v>186</v>
      </c>
      <c r="BZ282" s="4">
        <f t="shared" si="25"/>
        <v>246</v>
      </c>
      <c r="CD282" s="5" t="str">
        <f>Lineup!$G$1</f>
        <v>一軍例行賽</v>
      </c>
      <c r="CE282" s="4">
        <f>Lineup!$I$1</f>
        <v>148</v>
      </c>
      <c r="CF282" s="5" t="str">
        <f>Lineup!$G$5</f>
        <v>王俊宏</v>
      </c>
      <c r="CG282" s="5" t="str">
        <f>Lineup!$G$4</f>
        <v>桃園</v>
      </c>
    </row>
    <row r="283" spans="1:85" x14ac:dyDescent="0.3">
      <c r="A283" s="43"/>
      <c r="AX283" s="4" t="str">
        <f>IFERROR(VLOOKUP(M283,Roster!$D$2:$E$27,2,FALSE),"")</f>
        <v/>
      </c>
      <c r="AY283" s="4" t="str">
        <f t="shared" si="26"/>
        <v>好壞</v>
      </c>
      <c r="BL283" s="4" t="str">
        <f>IFERROR(VLOOKUP('HomeAttackPlay-by-Play'!E283,Roster!$L$2:$M$27,2,FALSE),"")</f>
        <v/>
      </c>
      <c r="BY283" s="4">
        <f t="shared" si="24"/>
        <v>186</v>
      </c>
      <c r="BZ283" s="4">
        <f t="shared" si="25"/>
        <v>246</v>
      </c>
      <c r="CD283" s="5" t="str">
        <f>Lineup!$G$1</f>
        <v>一軍例行賽</v>
      </c>
      <c r="CE283" s="4">
        <f>Lineup!$I$1</f>
        <v>148</v>
      </c>
      <c r="CF283" s="5" t="str">
        <f>Lineup!$G$5</f>
        <v>王俊宏</v>
      </c>
      <c r="CG283" s="5" t="str">
        <f>Lineup!$G$4</f>
        <v>桃園</v>
      </c>
    </row>
    <row r="284" spans="1:85" x14ac:dyDescent="0.3">
      <c r="A284" s="43"/>
      <c r="AX284" s="4" t="str">
        <f>IFERROR(VLOOKUP(M284,Roster!$D$2:$E$27,2,FALSE),"")</f>
        <v/>
      </c>
      <c r="AY284" s="4" t="str">
        <f t="shared" si="26"/>
        <v>好壞</v>
      </c>
      <c r="BL284" s="4" t="str">
        <f>IFERROR(VLOOKUP('HomeAttackPlay-by-Play'!E284,Roster!$L$2:$M$27,2,FALSE),"")</f>
        <v/>
      </c>
      <c r="BY284" s="4">
        <f t="shared" si="24"/>
        <v>186</v>
      </c>
      <c r="BZ284" s="4">
        <f t="shared" si="25"/>
        <v>246</v>
      </c>
      <c r="CD284" s="5" t="str">
        <f>Lineup!$G$1</f>
        <v>一軍例行賽</v>
      </c>
      <c r="CE284" s="4">
        <f>Lineup!$I$1</f>
        <v>148</v>
      </c>
      <c r="CF284" s="5" t="str">
        <f>Lineup!$G$5</f>
        <v>王俊宏</v>
      </c>
      <c r="CG284" s="5" t="str">
        <f>Lineup!$G$4</f>
        <v>桃園</v>
      </c>
    </row>
    <row r="285" spans="1:85" x14ac:dyDescent="0.3">
      <c r="A285" s="43"/>
      <c r="AX285" s="4" t="str">
        <f>IFERROR(VLOOKUP(M285,Roster!$D$2:$E$27,2,FALSE),"")</f>
        <v/>
      </c>
      <c r="AY285" s="4" t="str">
        <f t="shared" si="26"/>
        <v>好壞</v>
      </c>
      <c r="BL285" s="4" t="str">
        <f>IFERROR(VLOOKUP('HomeAttackPlay-by-Play'!E285,Roster!$L$2:$M$27,2,FALSE),"")</f>
        <v/>
      </c>
      <c r="BY285" s="4">
        <f t="shared" si="24"/>
        <v>186</v>
      </c>
      <c r="BZ285" s="4">
        <f t="shared" si="25"/>
        <v>246</v>
      </c>
      <c r="CD285" s="5" t="str">
        <f>Lineup!$G$1</f>
        <v>一軍例行賽</v>
      </c>
      <c r="CE285" s="4">
        <f>Lineup!$I$1</f>
        <v>148</v>
      </c>
      <c r="CF285" s="5" t="str">
        <f>Lineup!$G$5</f>
        <v>王俊宏</v>
      </c>
      <c r="CG285" s="5" t="str">
        <f>Lineup!$G$4</f>
        <v>桃園</v>
      </c>
    </row>
    <row r="286" spans="1:85" x14ac:dyDescent="0.3">
      <c r="A286" s="43"/>
      <c r="AX286" s="4" t="str">
        <f>IFERROR(VLOOKUP(M286,Roster!$D$2:$E$27,2,FALSE),"")</f>
        <v/>
      </c>
      <c r="AY286" s="4" t="str">
        <f t="shared" si="26"/>
        <v>好壞</v>
      </c>
      <c r="BL286" s="4" t="str">
        <f>IFERROR(VLOOKUP('HomeAttackPlay-by-Play'!E286,Roster!$L$2:$M$27,2,FALSE),"")</f>
        <v/>
      </c>
      <c r="BY286" s="4">
        <f t="shared" si="24"/>
        <v>186</v>
      </c>
      <c r="BZ286" s="4">
        <f t="shared" si="25"/>
        <v>246</v>
      </c>
      <c r="CD286" s="5" t="str">
        <f>Lineup!$G$1</f>
        <v>一軍例行賽</v>
      </c>
      <c r="CE286" s="4">
        <f>Lineup!$I$1</f>
        <v>148</v>
      </c>
      <c r="CF286" s="5" t="str">
        <f>Lineup!$G$5</f>
        <v>王俊宏</v>
      </c>
      <c r="CG286" s="5" t="str">
        <f>Lineup!$G$4</f>
        <v>桃園</v>
      </c>
    </row>
    <row r="287" spans="1:85" x14ac:dyDescent="0.3">
      <c r="A287" s="43"/>
      <c r="AX287" s="4" t="str">
        <f>IFERROR(VLOOKUP(M287,Roster!$D$2:$E$27,2,FALSE),"")</f>
        <v/>
      </c>
      <c r="AY287" s="4" t="str">
        <f t="shared" si="26"/>
        <v>好壞</v>
      </c>
      <c r="BL287" s="4" t="str">
        <f>IFERROR(VLOOKUP('HomeAttackPlay-by-Play'!E287,Roster!$L$2:$M$27,2,FALSE),"")</f>
        <v/>
      </c>
      <c r="BY287" s="4">
        <f t="shared" si="24"/>
        <v>186</v>
      </c>
      <c r="BZ287" s="4">
        <f t="shared" si="25"/>
        <v>246</v>
      </c>
      <c r="CD287" s="5" t="str">
        <f>Lineup!$G$1</f>
        <v>一軍例行賽</v>
      </c>
      <c r="CE287" s="4">
        <f>Lineup!$I$1</f>
        <v>148</v>
      </c>
      <c r="CF287" s="5" t="str">
        <f>Lineup!$G$5</f>
        <v>王俊宏</v>
      </c>
      <c r="CG287" s="5" t="str">
        <f>Lineup!$G$4</f>
        <v>桃園</v>
      </c>
    </row>
    <row r="288" spans="1:85" x14ac:dyDescent="0.3">
      <c r="A288" s="43"/>
      <c r="AX288" s="4" t="str">
        <f>IFERROR(VLOOKUP(M288,Roster!$D$2:$E$27,2,FALSE),"")</f>
        <v/>
      </c>
      <c r="AY288" s="4" t="str">
        <f t="shared" si="26"/>
        <v>好壞</v>
      </c>
      <c r="BL288" s="4" t="str">
        <f>IFERROR(VLOOKUP('HomeAttackPlay-by-Play'!E288,Roster!$L$2:$M$27,2,FALSE),"")</f>
        <v/>
      </c>
      <c r="BY288" s="4">
        <f t="shared" si="24"/>
        <v>186</v>
      </c>
      <c r="BZ288" s="4">
        <f t="shared" si="25"/>
        <v>246</v>
      </c>
      <c r="CD288" s="5" t="str">
        <f>Lineup!$G$1</f>
        <v>一軍例行賽</v>
      </c>
      <c r="CE288" s="4">
        <f>Lineup!$I$1</f>
        <v>148</v>
      </c>
      <c r="CF288" s="5" t="str">
        <f>Lineup!$G$5</f>
        <v>王俊宏</v>
      </c>
      <c r="CG288" s="5" t="str">
        <f>Lineup!$G$4</f>
        <v>桃園</v>
      </c>
    </row>
    <row r="289" spans="1:85" x14ac:dyDescent="0.3">
      <c r="A289" s="43"/>
      <c r="AX289" s="4" t="str">
        <f>IFERROR(VLOOKUP(M289,Roster!$D$2:$E$27,2,FALSE),"")</f>
        <v/>
      </c>
      <c r="AY289" s="4" t="str">
        <f t="shared" si="26"/>
        <v>好壞</v>
      </c>
      <c r="BL289" s="4" t="str">
        <f>IFERROR(VLOOKUP('HomeAttackPlay-by-Play'!E289,Roster!$L$2:$M$27,2,FALSE),"")</f>
        <v/>
      </c>
      <c r="BY289" s="4">
        <f t="shared" si="24"/>
        <v>186</v>
      </c>
      <c r="BZ289" s="4">
        <f t="shared" si="25"/>
        <v>246</v>
      </c>
      <c r="CD289" s="5" t="str">
        <f>Lineup!$G$1</f>
        <v>一軍例行賽</v>
      </c>
      <c r="CE289" s="4">
        <f>Lineup!$I$1</f>
        <v>148</v>
      </c>
      <c r="CF289" s="5" t="str">
        <f>Lineup!$G$5</f>
        <v>王俊宏</v>
      </c>
      <c r="CG289" s="5" t="str">
        <f>Lineup!$G$4</f>
        <v>桃園</v>
      </c>
    </row>
    <row r="290" spans="1:85" x14ac:dyDescent="0.3">
      <c r="A290" s="43"/>
    </row>
  </sheetData>
  <sheetProtection selectLockedCells="1"/>
  <autoFilter ref="A1:BH289" xr:uid="{00000000-0009-0000-0000-000000000000}"/>
  <sortState xmlns:xlrd2="http://schemas.microsoft.com/office/spreadsheetml/2017/richdata2" ref="A3:BI30">
    <sortCondition ref="Q3:Q30"/>
    <sortCondition ref="R3:R30"/>
  </sortState>
  <phoneticPr fontId="1" type="noConversion"/>
  <pageMargins left="0.7" right="0.7" top="0.75" bottom="0.75" header="0.3" footer="0.3"/>
  <pageSetup paperSize="9" orientation="portrait" r:id="rId1"/>
  <ignoredErrors>
    <ignoredError sqref="BP1:BU3 BP152:BU239 BP117:BU151 BP112:BU116 BP106:BU111 BP98:BU105 BP85:BU97 BP74:BU84 BP73:BU73 BP31:BU72 BP7:BU30 BP4:BU6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/>
  <dimension ref="A1:CG287"/>
  <sheetViews>
    <sheetView tabSelected="1" zoomScale="80" zoomScaleNormal="80" workbookViewId="0">
      <pane xSplit="1" ySplit="1" topLeftCell="B2" activePane="bottomRight" state="frozen"/>
      <selection activeCell="AR25" sqref="AR25"/>
      <selection pane="topRight" activeCell="AR25" sqref="AR25"/>
      <selection pane="bottomLeft" activeCell="AR25" sqref="AR25"/>
      <selection pane="bottomRight" activeCell="O180" sqref="O180"/>
    </sheetView>
  </sheetViews>
  <sheetFormatPr defaultColWidth="9" defaultRowHeight="16.2" x14ac:dyDescent="0.3"/>
  <cols>
    <col min="1" max="1" width="12.44140625" style="4" bestFit="1" customWidth="1"/>
    <col min="2" max="6" width="9" style="4"/>
    <col min="7" max="9" width="9" style="4" customWidth="1"/>
    <col min="10" max="12" width="9" style="4"/>
    <col min="13" max="13" width="13.109375" style="4" customWidth="1"/>
    <col min="14" max="17" width="9" style="4"/>
    <col min="18" max="18" width="9" style="5"/>
    <col min="19" max="30" width="9" style="4" customWidth="1"/>
    <col min="31" max="31" width="9.109375" style="4" customWidth="1"/>
    <col min="32" max="40" width="9" style="4" customWidth="1"/>
    <col min="41" max="44" width="9" style="4"/>
    <col min="47" max="47" width="9" style="33"/>
    <col min="48" max="48" width="9" style="36" customWidth="1"/>
    <col min="49" max="49" width="9.88671875" style="4" customWidth="1"/>
    <col min="50" max="51" width="9" style="4" customWidth="1"/>
    <col min="52" max="52" width="12.109375" style="4" customWidth="1"/>
    <col min="53" max="53" width="12" style="4" customWidth="1"/>
    <col min="54" max="54" width="11.44140625" style="4" customWidth="1"/>
    <col min="55" max="55" width="12.44140625" style="4" customWidth="1"/>
    <col min="56" max="56" width="14.109375" style="4" customWidth="1"/>
    <col min="57" max="57" width="12.109375" style="4" customWidth="1"/>
    <col min="58" max="58" width="14.88671875" style="4" customWidth="1"/>
    <col min="59" max="59" width="11.44140625" style="4" customWidth="1"/>
    <col min="60" max="60" width="10.44140625" style="4" customWidth="1"/>
    <col min="61" max="61" width="10.88671875" style="4" customWidth="1"/>
    <col min="62" max="62" width="12.109375" style="4" customWidth="1"/>
    <col min="63" max="16384" width="9" style="4"/>
  </cols>
  <sheetData>
    <row r="1" spans="1:85" s="6" customFormat="1" x14ac:dyDescent="0.3">
      <c r="A1" s="52" t="s">
        <v>70</v>
      </c>
      <c r="B1" s="52" t="s">
        <v>71</v>
      </c>
      <c r="C1" s="52" t="s">
        <v>72</v>
      </c>
      <c r="D1" s="52" t="s">
        <v>107</v>
      </c>
      <c r="E1" s="52" t="s">
        <v>3</v>
      </c>
      <c r="F1" s="52" t="s">
        <v>73</v>
      </c>
      <c r="G1" s="52" t="s">
        <v>74</v>
      </c>
      <c r="H1" s="52" t="s">
        <v>75</v>
      </c>
      <c r="I1" s="52" t="s">
        <v>76</v>
      </c>
      <c r="J1" s="52" t="s">
        <v>77</v>
      </c>
      <c r="K1" s="52" t="s">
        <v>6</v>
      </c>
      <c r="L1" s="52" t="s">
        <v>2</v>
      </c>
      <c r="M1" s="52" t="s">
        <v>0</v>
      </c>
      <c r="N1" s="52" t="s">
        <v>78</v>
      </c>
      <c r="O1" s="52" t="s">
        <v>79</v>
      </c>
      <c r="P1" s="52" t="s">
        <v>80</v>
      </c>
      <c r="Q1" s="52" t="s">
        <v>1</v>
      </c>
      <c r="R1" s="53" t="s">
        <v>81</v>
      </c>
      <c r="S1" s="52" t="s">
        <v>82</v>
      </c>
      <c r="T1" s="52" t="s">
        <v>83</v>
      </c>
      <c r="U1" s="52" t="s">
        <v>84</v>
      </c>
      <c r="V1" s="52" t="s">
        <v>85</v>
      </c>
      <c r="W1" s="52" t="s">
        <v>86</v>
      </c>
      <c r="X1" s="52" t="s">
        <v>87</v>
      </c>
      <c r="Y1" s="52" t="s">
        <v>88</v>
      </c>
      <c r="Z1" s="52" t="s">
        <v>89</v>
      </c>
      <c r="AA1" s="52" t="s">
        <v>90</v>
      </c>
      <c r="AB1" s="52" t="s">
        <v>91</v>
      </c>
      <c r="AC1" s="52" t="s">
        <v>92</v>
      </c>
      <c r="AD1" s="52" t="s">
        <v>93</v>
      </c>
      <c r="AE1" s="52" t="s">
        <v>94</v>
      </c>
      <c r="AF1" s="52" t="s">
        <v>219</v>
      </c>
      <c r="AG1" s="52" t="s">
        <v>95</v>
      </c>
      <c r="AH1" s="52" t="s">
        <v>96</v>
      </c>
      <c r="AI1" s="52" t="s">
        <v>97</v>
      </c>
      <c r="AJ1" s="52" t="s">
        <v>98</v>
      </c>
      <c r="AK1" s="52" t="s">
        <v>142</v>
      </c>
      <c r="AL1" s="52" t="s">
        <v>99</v>
      </c>
      <c r="AM1" s="52" t="s">
        <v>110</v>
      </c>
      <c r="AN1" s="52" t="s">
        <v>126</v>
      </c>
      <c r="AO1" s="52" t="s">
        <v>109</v>
      </c>
      <c r="AP1" s="52" t="s">
        <v>108</v>
      </c>
      <c r="AQ1" s="52" t="s">
        <v>147</v>
      </c>
      <c r="AR1" s="52" t="s">
        <v>121</v>
      </c>
      <c r="AS1" s="52" t="s">
        <v>154</v>
      </c>
      <c r="AT1" s="52" t="s">
        <v>155</v>
      </c>
      <c r="AU1" s="54" t="s">
        <v>145</v>
      </c>
      <c r="AV1" s="55" t="s">
        <v>146</v>
      </c>
      <c r="AW1" s="52" t="s">
        <v>183</v>
      </c>
      <c r="AX1" s="52" t="s">
        <v>188</v>
      </c>
      <c r="AY1" s="52" t="s">
        <v>186</v>
      </c>
      <c r="AZ1" s="52">
        <v>170</v>
      </c>
      <c r="BA1" s="52" t="s">
        <v>75</v>
      </c>
      <c r="BB1" s="52" t="s">
        <v>76</v>
      </c>
      <c r="BC1" s="4" t="s">
        <v>101</v>
      </c>
      <c r="BD1" s="4" t="s">
        <v>100</v>
      </c>
      <c r="BE1" s="52" t="s">
        <v>109</v>
      </c>
      <c r="BF1" s="52" t="s">
        <v>108</v>
      </c>
      <c r="BG1" s="52" t="s">
        <v>143</v>
      </c>
      <c r="BH1" s="52" t="s">
        <v>144</v>
      </c>
      <c r="BI1" s="52" t="s">
        <v>184</v>
      </c>
      <c r="BJ1" s="52" t="s">
        <v>185</v>
      </c>
      <c r="BK1" s="52" t="s">
        <v>189</v>
      </c>
      <c r="BL1" s="52" t="s">
        <v>187</v>
      </c>
      <c r="BM1" s="52" t="s">
        <v>191</v>
      </c>
      <c r="BN1" s="52" t="s">
        <v>190</v>
      </c>
      <c r="BO1" s="52" t="s">
        <v>192</v>
      </c>
      <c r="BP1" s="52" t="s">
        <v>193</v>
      </c>
      <c r="BQ1" s="52" t="s">
        <v>194</v>
      </c>
      <c r="BR1" s="52" t="s">
        <v>195</v>
      </c>
      <c r="BS1" s="52" t="s">
        <v>196</v>
      </c>
      <c r="BT1" s="52" t="s">
        <v>197</v>
      </c>
      <c r="BU1" s="52" t="s">
        <v>198</v>
      </c>
      <c r="BV1" s="52" t="s">
        <v>207</v>
      </c>
      <c r="BW1" s="6" t="s">
        <v>212</v>
      </c>
      <c r="BX1" s="6" t="s">
        <v>213</v>
      </c>
      <c r="BY1" s="52" t="s">
        <v>208</v>
      </c>
      <c r="BZ1" s="52" t="s">
        <v>209</v>
      </c>
      <c r="CA1" s="6" t="s">
        <v>214</v>
      </c>
      <c r="CB1" s="6" t="s">
        <v>215</v>
      </c>
      <c r="CC1" s="6" t="s">
        <v>216</v>
      </c>
      <c r="CD1" s="6" t="s">
        <v>599</v>
      </c>
      <c r="CE1" s="6" t="s">
        <v>600</v>
      </c>
      <c r="CF1" s="6" t="s">
        <v>601</v>
      </c>
      <c r="CG1" s="6" t="s">
        <v>602</v>
      </c>
    </row>
    <row r="2" spans="1:85" x14ac:dyDescent="0.3">
      <c r="A2" s="43">
        <v>1</v>
      </c>
      <c r="B2" s="4">
        <v>0</v>
      </c>
      <c r="C2" s="4">
        <v>0</v>
      </c>
      <c r="D2" s="4">
        <v>1</v>
      </c>
      <c r="E2" s="4" t="s">
        <v>611</v>
      </c>
      <c r="F2" s="4" t="s">
        <v>343</v>
      </c>
      <c r="G2" s="4">
        <v>1</v>
      </c>
      <c r="H2" s="4">
        <v>1</v>
      </c>
      <c r="I2" s="4">
        <v>0</v>
      </c>
      <c r="J2" s="4">
        <v>0</v>
      </c>
      <c r="L2" s="4" t="s">
        <v>643</v>
      </c>
      <c r="M2" s="4" t="s">
        <v>350</v>
      </c>
      <c r="N2" s="4" t="s">
        <v>642</v>
      </c>
      <c r="O2" s="4">
        <v>96</v>
      </c>
      <c r="P2" s="4">
        <v>84.75</v>
      </c>
      <c r="Q2" s="50" t="s">
        <v>639</v>
      </c>
      <c r="AO2" s="4">
        <v>1</v>
      </c>
      <c r="AP2" s="4">
        <v>0</v>
      </c>
      <c r="AQ2" s="4" t="s">
        <v>640</v>
      </c>
      <c r="AS2">
        <v>0</v>
      </c>
      <c r="AT2">
        <v>0</v>
      </c>
      <c r="AU2" s="33">
        <v>3.000000000000469</v>
      </c>
      <c r="AV2" s="36" t="s">
        <v>644</v>
      </c>
      <c r="AW2" s="4">
        <v>0</v>
      </c>
      <c r="AX2" s="4" t="str">
        <f>IFERROR(VLOOKUP(M2,Roster!$L$2:$M$27,2,FALSE),"")</f>
        <v>L</v>
      </c>
      <c r="AY2" s="4" t="str">
        <f>IF(M2=M1,AS2&amp;"好"&amp;AT2&amp;"壞","0好0壞")</f>
        <v>0好0壞</v>
      </c>
      <c r="AZ2" s="4">
        <v>16</v>
      </c>
      <c r="BA2" s="4">
        <v>10</v>
      </c>
      <c r="BB2" s="4">
        <v>6</v>
      </c>
      <c r="BC2" s="4">
        <v>16</v>
      </c>
      <c r="BD2" s="4">
        <v>3</v>
      </c>
      <c r="BE2" s="4">
        <v>0</v>
      </c>
      <c r="BF2" s="4">
        <v>0</v>
      </c>
      <c r="BG2" s="13">
        <v>0.94112268518518516</v>
      </c>
      <c r="BH2" s="4">
        <v>0.77525462962962965</v>
      </c>
      <c r="BI2" s="5" t="s">
        <v>681</v>
      </c>
      <c r="BJ2" s="4" t="str">
        <f>IF(AX2="R",IF(O2&lt;46.8,"偏外角",IF(O2&lt;65.5,"外角",IF(O2&lt;84.4,"中",IF(O2 &lt; 103.2,"內角","偏內角"))))&amp;IF(P2&lt;57,"偏高",IF(P2&lt;79.8,"高",IF(P2&lt;102.7,"中",IF(P2 &lt; 125.5,"低","偏低")))),IF(O2&lt;46.8,"偏內角",IF(O2&lt;65.5,"內角",IF(O2&lt;84.4,"中",IF(O2 &lt; 103.2,"外角","偏外角"))))&amp;IF(P2&lt;57,"偏高",IF(P2&lt;79.8,"高",IF(P2&lt;102.7,"中",IF(P2 &lt; 125.5,"低","偏低"))))
)</f>
        <v>外角中</v>
      </c>
      <c r="BK2" s="4" t="s">
        <v>220</v>
      </c>
      <c r="BL2" s="4" t="str">
        <f>IFERROR(VLOOKUP(E2,Roster!$D$2:$E$27,2,FALSE),"")</f>
        <v>L</v>
      </c>
      <c r="BP2" s="49"/>
      <c r="BQ2" s="49"/>
      <c r="BR2" s="49"/>
      <c r="BS2" s="49"/>
      <c r="BT2" s="49"/>
      <c r="BU2" s="49"/>
      <c r="BY2" s="4">
        <f t="shared" ref="BY2:BY62" si="0">186-P2</f>
        <v>101.25</v>
      </c>
      <c r="BZ2" s="4">
        <f t="shared" ref="BZ2:BZ62" si="1">246-T2</f>
        <v>246</v>
      </c>
      <c r="CD2" s="5" t="str">
        <f>Lineup!$G$1</f>
        <v>一軍例行賽</v>
      </c>
      <c r="CE2" s="4">
        <f>Lineup!$I$1</f>
        <v>148</v>
      </c>
      <c r="CF2" s="5" t="str">
        <f>Lineup!$G$5</f>
        <v>王俊宏</v>
      </c>
      <c r="CG2" s="5" t="str">
        <f>Lineup!$G$4</f>
        <v>桃園</v>
      </c>
    </row>
    <row r="3" spans="1:85" x14ac:dyDescent="0.3">
      <c r="A3" s="43">
        <v>2</v>
      </c>
      <c r="B3" s="4">
        <v>0</v>
      </c>
      <c r="C3" s="4">
        <v>0</v>
      </c>
      <c r="D3" s="4">
        <v>1</v>
      </c>
      <c r="E3" s="4" t="s">
        <v>611</v>
      </c>
      <c r="F3" s="4" t="s">
        <v>343</v>
      </c>
      <c r="G3" s="4">
        <v>2</v>
      </c>
      <c r="H3" s="4">
        <v>1</v>
      </c>
      <c r="I3" s="4">
        <v>1</v>
      </c>
      <c r="J3" s="4">
        <v>0</v>
      </c>
      <c r="K3" s="4">
        <v>128</v>
      </c>
      <c r="L3" s="4" t="s">
        <v>646</v>
      </c>
      <c r="M3" s="4" t="s">
        <v>350</v>
      </c>
      <c r="N3" s="4" t="s">
        <v>642</v>
      </c>
      <c r="O3" s="4">
        <v>100.5</v>
      </c>
      <c r="P3" s="4">
        <v>135.75</v>
      </c>
      <c r="Q3" s="4" t="s">
        <v>641</v>
      </c>
      <c r="AO3" s="4">
        <v>1</v>
      </c>
      <c r="AP3" s="4">
        <v>1</v>
      </c>
      <c r="AQ3" s="4" t="s">
        <v>645</v>
      </c>
      <c r="AS3">
        <v>1</v>
      </c>
      <c r="AT3">
        <v>0</v>
      </c>
      <c r="AU3" s="33">
        <v>13.999999999995794</v>
      </c>
      <c r="AV3" s="36" t="s">
        <v>644</v>
      </c>
      <c r="AW3" s="4">
        <v>9.9999999999983658</v>
      </c>
      <c r="AX3" s="4" t="str">
        <f>IFERROR(VLOOKUP(M3,Roster!$L$2:$M$27,2,FALSE),"")</f>
        <v>L</v>
      </c>
      <c r="AY3" s="4" t="str">
        <f t="shared" ref="AY3:AY66" si="2">IF(M3=M2,AS3&amp;"好"&amp;AT3&amp;"壞","0好0壞")</f>
        <v>1好0壞</v>
      </c>
      <c r="BI3" s="5" t="str">
        <f>Lineup!$G$2</f>
        <v>20210817</v>
      </c>
      <c r="BJ3" s="4" t="str">
        <f t="shared" ref="BJ3:BJ62" si="3">IF(AX3="R",IF(O3&lt;46.8,"偏外角",IF(O3&lt;65.5,"外角",IF(O3&lt;84.4,"中",IF(O3 &lt; 103.2,"內角","偏內角"))))&amp;IF(P3&lt;57,"偏高",IF(P3&lt;79.8,"高",IF(P3&lt;102.7,"中",IF(P3 &lt; 125.5,"低","偏低")))),IF(O3&lt;46.8,"偏內角",IF(O3&lt;65.5,"內角",IF(O3&lt;84.4,"中",IF(O3 &lt; 103.2,"外角","偏外角"))))&amp;IF(P3&lt;57,"偏高",IF(P3&lt;79.8,"高",IF(P3&lt;102.7,"中",IF(P3 &lt; 125.5,"低","偏低"))))
)</f>
        <v>外角偏低</v>
      </c>
      <c r="BK3" s="4" t="str">
        <f t="shared" ref="BK3:BK66" si="4">IF(AB2&lt;&gt;"","1","")&amp;IF(AC2&lt;&gt;"","2","")&amp;IF(AD2&lt;&gt;"","3","")&amp;"B"&amp;J2&amp;"O"</f>
        <v>B0O</v>
      </c>
      <c r="BL3" s="4" t="str">
        <f>IFERROR(VLOOKUP(E3,Roster!$D$2:$E$27,2,FALSE),"")</f>
        <v>L</v>
      </c>
      <c r="BP3" s="49"/>
      <c r="BQ3" s="49"/>
      <c r="BR3" s="49"/>
      <c r="BS3" s="49"/>
      <c r="BT3" s="49"/>
      <c r="BU3" s="49"/>
      <c r="BY3" s="4">
        <f t="shared" si="0"/>
        <v>50.25</v>
      </c>
      <c r="BZ3" s="4">
        <f t="shared" si="1"/>
        <v>246</v>
      </c>
      <c r="CD3" s="5" t="str">
        <f>Lineup!$G$1</f>
        <v>一軍例行賽</v>
      </c>
      <c r="CE3" s="4">
        <f>Lineup!$I$1</f>
        <v>148</v>
      </c>
      <c r="CF3" s="5" t="str">
        <f>Lineup!$G$5</f>
        <v>王俊宏</v>
      </c>
      <c r="CG3" s="5" t="str">
        <f>Lineup!$G$4</f>
        <v>桃園</v>
      </c>
    </row>
    <row r="4" spans="1:85" x14ac:dyDescent="0.3">
      <c r="A4" s="43">
        <v>3</v>
      </c>
      <c r="B4" s="4">
        <v>0</v>
      </c>
      <c r="C4" s="4">
        <v>0</v>
      </c>
      <c r="D4" s="4">
        <v>1</v>
      </c>
      <c r="E4" s="4" t="s">
        <v>611</v>
      </c>
      <c r="F4" s="4" t="s">
        <v>343</v>
      </c>
      <c r="G4" s="4">
        <v>3</v>
      </c>
      <c r="H4" s="4">
        <v>2</v>
      </c>
      <c r="I4" s="4">
        <v>1</v>
      </c>
      <c r="J4" s="4">
        <v>0</v>
      </c>
      <c r="K4" s="4">
        <v>142</v>
      </c>
      <c r="L4" s="4" t="s">
        <v>643</v>
      </c>
      <c r="M4" s="4" t="s">
        <v>350</v>
      </c>
      <c r="N4" s="4" t="s">
        <v>642</v>
      </c>
      <c r="O4" s="4">
        <v>99</v>
      </c>
      <c r="P4" s="4">
        <v>113.25</v>
      </c>
      <c r="Q4" s="4" t="s">
        <v>639</v>
      </c>
      <c r="AO4" s="4">
        <v>2</v>
      </c>
      <c r="AP4" s="4">
        <v>1</v>
      </c>
      <c r="AQ4" s="4" t="s">
        <v>647</v>
      </c>
      <c r="AS4">
        <v>1</v>
      </c>
      <c r="AT4">
        <v>1</v>
      </c>
      <c r="AU4" s="33">
        <v>28.999999999998138</v>
      </c>
      <c r="AV4" s="36" t="s">
        <v>644</v>
      </c>
      <c r="AW4" s="4">
        <v>24.999999999991118</v>
      </c>
      <c r="AX4" s="4" t="str">
        <f>IFERROR(VLOOKUP(M4,Roster!$L$2:$M$27,2,FALSE),"")</f>
        <v>L</v>
      </c>
      <c r="AY4" s="4" t="str">
        <f t="shared" si="2"/>
        <v>1好1壞</v>
      </c>
      <c r="BI4" s="5" t="str">
        <f>Lineup!$G$2</f>
        <v>20210817</v>
      </c>
      <c r="BJ4" s="4" t="str">
        <f t="shared" si="3"/>
        <v>外角低</v>
      </c>
      <c r="BK4" s="4" t="str">
        <f t="shared" si="4"/>
        <v>B0O</v>
      </c>
      <c r="BL4" s="4" t="str">
        <f>IFERROR(VLOOKUP(E4,Roster!$D$2:$E$27,2,FALSE),"")</f>
        <v>L</v>
      </c>
      <c r="BP4" s="49"/>
      <c r="BQ4" s="49"/>
      <c r="BR4" s="49"/>
      <c r="BS4" s="49"/>
      <c r="BT4" s="49"/>
      <c r="BU4" s="49"/>
      <c r="BY4" s="4">
        <f t="shared" si="0"/>
        <v>72.75</v>
      </c>
      <c r="BZ4" s="4">
        <f t="shared" si="1"/>
        <v>246</v>
      </c>
      <c r="CD4" s="5" t="str">
        <f>Lineup!$G$1</f>
        <v>一軍例行賽</v>
      </c>
      <c r="CE4" s="4">
        <f>Lineup!$I$1</f>
        <v>148</v>
      </c>
      <c r="CF4" s="5" t="str">
        <f>Lineup!$G$5</f>
        <v>王俊宏</v>
      </c>
      <c r="CG4" s="5" t="str">
        <f>Lineup!$G$4</f>
        <v>桃園</v>
      </c>
    </row>
    <row r="5" spans="1:85" x14ac:dyDescent="0.3">
      <c r="A5" s="43">
        <v>4</v>
      </c>
      <c r="B5" s="4">
        <v>0</v>
      </c>
      <c r="C5" s="4">
        <v>0</v>
      </c>
      <c r="D5" s="4">
        <v>1</v>
      </c>
      <c r="E5" s="4" t="s">
        <v>611</v>
      </c>
      <c r="F5" s="4" t="s">
        <v>343</v>
      </c>
      <c r="G5" s="4">
        <v>4</v>
      </c>
      <c r="H5" s="4">
        <v>3</v>
      </c>
      <c r="I5" s="4">
        <v>1</v>
      </c>
      <c r="J5" s="4">
        <v>1</v>
      </c>
      <c r="K5" s="4">
        <v>129</v>
      </c>
      <c r="L5" s="4" t="s">
        <v>646</v>
      </c>
      <c r="M5" s="4" t="s">
        <v>350</v>
      </c>
      <c r="N5" s="4" t="s">
        <v>649</v>
      </c>
      <c r="O5" s="4">
        <v>93</v>
      </c>
      <c r="P5" s="4">
        <v>101.25</v>
      </c>
      <c r="Q5" s="4" t="s">
        <v>639</v>
      </c>
      <c r="R5" s="5" t="s">
        <v>650</v>
      </c>
      <c r="S5" s="4">
        <v>158.25</v>
      </c>
      <c r="T5" s="4">
        <v>184.5</v>
      </c>
      <c r="U5" s="4" t="s">
        <v>611</v>
      </c>
      <c r="V5" s="4" t="s">
        <v>352</v>
      </c>
      <c r="AH5" s="4" t="s">
        <v>350</v>
      </c>
      <c r="AK5" s="4">
        <v>1</v>
      </c>
      <c r="AM5" s="4">
        <v>1</v>
      </c>
      <c r="AO5" s="4">
        <v>3</v>
      </c>
      <c r="AP5" s="4">
        <v>1</v>
      </c>
      <c r="AQ5" s="4" t="s">
        <v>648</v>
      </c>
      <c r="AR5" s="4" t="s">
        <v>651</v>
      </c>
      <c r="AS5">
        <v>2</v>
      </c>
      <c r="AT5">
        <v>1</v>
      </c>
      <c r="AU5" s="33">
        <v>50.999999999988788</v>
      </c>
      <c r="AV5" s="36" t="s">
        <v>644</v>
      </c>
      <c r="AW5" s="4">
        <v>43.000000000003524</v>
      </c>
      <c r="AX5" s="4" t="str">
        <f>IFERROR(VLOOKUP(M5,Roster!$L$2:$M$27,2,FALSE),"")</f>
        <v>L</v>
      </c>
      <c r="AY5" s="4" t="str">
        <f t="shared" si="2"/>
        <v>2好1壞</v>
      </c>
      <c r="BI5" s="5" t="str">
        <f>Lineup!$G$2</f>
        <v>20210817</v>
      </c>
      <c r="BJ5" s="4" t="str">
        <f t="shared" si="3"/>
        <v>外角中</v>
      </c>
      <c r="BK5" s="4" t="str">
        <f t="shared" si="4"/>
        <v>B0O</v>
      </c>
      <c r="BL5" s="4" t="str">
        <f>IFERROR(VLOOKUP(E5,Roster!$D$2:$E$27,2,FALSE),"")</f>
        <v>L</v>
      </c>
      <c r="BP5" s="49"/>
      <c r="BQ5" s="49"/>
      <c r="BR5" s="49"/>
      <c r="BS5" s="49"/>
      <c r="BT5" s="49"/>
      <c r="BU5" s="49"/>
      <c r="BY5" s="4">
        <f t="shared" si="0"/>
        <v>84.75</v>
      </c>
      <c r="BZ5" s="4">
        <f t="shared" si="1"/>
        <v>61.5</v>
      </c>
      <c r="CD5" s="5" t="str">
        <f>Lineup!$G$1</f>
        <v>一軍例行賽</v>
      </c>
      <c r="CE5" s="4">
        <f>Lineup!$I$1</f>
        <v>148</v>
      </c>
      <c r="CF5" s="5" t="str">
        <f>Lineup!$G$5</f>
        <v>王俊宏</v>
      </c>
      <c r="CG5" s="5" t="str">
        <f>Lineup!$G$4</f>
        <v>桃園</v>
      </c>
    </row>
    <row r="6" spans="1:85" x14ac:dyDescent="0.3">
      <c r="A6" s="43">
        <v>5</v>
      </c>
      <c r="B6" s="4">
        <v>0</v>
      </c>
      <c r="C6" s="4">
        <v>0</v>
      </c>
      <c r="D6" s="4">
        <v>1</v>
      </c>
      <c r="E6" s="4" t="s">
        <v>611</v>
      </c>
      <c r="F6" s="4" t="s">
        <v>343</v>
      </c>
      <c r="G6" s="4">
        <v>5</v>
      </c>
      <c r="H6" s="4">
        <v>3</v>
      </c>
      <c r="I6" s="4">
        <v>2</v>
      </c>
      <c r="J6" s="4">
        <v>1</v>
      </c>
      <c r="L6" s="4" t="s">
        <v>643</v>
      </c>
      <c r="M6" s="4" t="s">
        <v>369</v>
      </c>
      <c r="N6" s="4" t="s">
        <v>642</v>
      </c>
      <c r="O6" s="4">
        <v>75.75</v>
      </c>
      <c r="P6" s="4">
        <v>135.75</v>
      </c>
      <c r="Q6" s="4" t="s">
        <v>641</v>
      </c>
      <c r="AO6" s="4">
        <v>0</v>
      </c>
      <c r="AP6" s="4">
        <v>1</v>
      </c>
      <c r="AQ6" s="4" t="s">
        <v>652</v>
      </c>
      <c r="AS6">
        <v>0</v>
      </c>
      <c r="AT6">
        <v>0</v>
      </c>
      <c r="AU6" s="33">
        <v>82.999999999996987</v>
      </c>
      <c r="AV6" s="36" t="s">
        <v>644</v>
      </c>
      <c r="AW6" s="4">
        <v>78.999999999999559</v>
      </c>
      <c r="AX6" s="4" t="str">
        <f>IFERROR(VLOOKUP(M6,Roster!$L$2:$M$27,2,FALSE),"")</f>
        <v>R</v>
      </c>
      <c r="AY6" s="4" t="str">
        <f t="shared" si="2"/>
        <v>0好0壞</v>
      </c>
      <c r="BI6" s="5" t="str">
        <f>Lineup!$G$2</f>
        <v>20210817</v>
      </c>
      <c r="BJ6" s="4" t="str">
        <f t="shared" si="3"/>
        <v>中偏低</v>
      </c>
      <c r="BK6" s="4" t="str">
        <f t="shared" si="4"/>
        <v>B1O</v>
      </c>
      <c r="BL6" s="4" t="str">
        <f>IFERROR(VLOOKUP(E6,Roster!$D$2:$E$27,2,FALSE),"")</f>
        <v>L</v>
      </c>
      <c r="BP6" s="49"/>
      <c r="BQ6" s="49"/>
      <c r="BR6" s="49"/>
      <c r="BS6" s="49"/>
      <c r="BT6" s="49"/>
      <c r="BU6" s="49"/>
      <c r="BY6" s="4">
        <f t="shared" si="0"/>
        <v>50.25</v>
      </c>
      <c r="BZ6" s="4">
        <f t="shared" si="1"/>
        <v>246</v>
      </c>
      <c r="CD6" s="5" t="str">
        <f>Lineup!$G$1</f>
        <v>一軍例行賽</v>
      </c>
      <c r="CE6" s="4">
        <f>Lineup!$I$1</f>
        <v>148</v>
      </c>
      <c r="CF6" s="5" t="str">
        <f>Lineup!$G$5</f>
        <v>王俊宏</v>
      </c>
      <c r="CG6" s="5" t="str">
        <f>Lineup!$G$4</f>
        <v>桃園</v>
      </c>
    </row>
    <row r="7" spans="1:85" x14ac:dyDescent="0.3">
      <c r="A7" s="43">
        <v>6</v>
      </c>
      <c r="B7" s="4">
        <v>0</v>
      </c>
      <c r="C7" s="4">
        <v>0</v>
      </c>
      <c r="D7" s="4">
        <v>1</v>
      </c>
      <c r="E7" s="4" t="s">
        <v>611</v>
      </c>
      <c r="F7" s="4" t="s">
        <v>343</v>
      </c>
      <c r="G7" s="4">
        <v>6</v>
      </c>
      <c r="H7" s="4">
        <v>3</v>
      </c>
      <c r="I7" s="4">
        <v>3</v>
      </c>
      <c r="J7" s="4">
        <v>1</v>
      </c>
      <c r="K7" s="4">
        <v>143</v>
      </c>
      <c r="L7" s="4" t="s">
        <v>643</v>
      </c>
      <c r="M7" s="4" t="s">
        <v>369</v>
      </c>
      <c r="N7" s="4" t="s">
        <v>642</v>
      </c>
      <c r="O7" s="4">
        <v>118.5</v>
      </c>
      <c r="P7" s="4">
        <v>102</v>
      </c>
      <c r="Q7" s="4" t="s">
        <v>641</v>
      </c>
      <c r="AO7" s="4">
        <v>0</v>
      </c>
      <c r="AP7" s="4">
        <v>2</v>
      </c>
      <c r="AQ7" s="4" t="s">
        <v>653</v>
      </c>
      <c r="AS7">
        <v>0</v>
      </c>
      <c r="AT7">
        <v>1</v>
      </c>
      <c r="AU7" s="33">
        <v>98.999999999996291</v>
      </c>
      <c r="AV7" s="36" t="s">
        <v>644</v>
      </c>
      <c r="AW7" s="4">
        <v>93.999999999992312</v>
      </c>
      <c r="AX7" s="4" t="str">
        <f>IFERROR(VLOOKUP(M7,Roster!$L$2:$M$27,2,FALSE),"")</f>
        <v>R</v>
      </c>
      <c r="AY7" s="4" t="str">
        <f t="shared" si="2"/>
        <v>0好1壞</v>
      </c>
      <c r="BI7" s="5" t="str">
        <f>Lineup!$G$2</f>
        <v>20210817</v>
      </c>
      <c r="BJ7" s="4" t="str">
        <f t="shared" si="3"/>
        <v>偏內角中</v>
      </c>
      <c r="BK7" s="4" t="str">
        <f t="shared" si="4"/>
        <v>B1O</v>
      </c>
      <c r="BL7" s="4" t="str">
        <f>IFERROR(VLOOKUP(E7,Roster!$D$2:$E$27,2,FALSE),"")</f>
        <v>L</v>
      </c>
      <c r="BP7" s="49"/>
      <c r="BQ7" s="49"/>
      <c r="BR7" s="49"/>
      <c r="BS7" s="49"/>
      <c r="BT7" s="49"/>
      <c r="BU7" s="49"/>
      <c r="BY7" s="4">
        <f t="shared" si="0"/>
        <v>84</v>
      </c>
      <c r="BZ7" s="4">
        <f t="shared" si="1"/>
        <v>246</v>
      </c>
      <c r="CD7" s="5" t="str">
        <f>Lineup!$G$1</f>
        <v>一軍例行賽</v>
      </c>
      <c r="CE7" s="4">
        <f>Lineup!$I$1</f>
        <v>148</v>
      </c>
      <c r="CF7" s="5" t="str">
        <f>Lineup!$G$5</f>
        <v>王俊宏</v>
      </c>
      <c r="CG7" s="5" t="str">
        <f>Lineup!$G$4</f>
        <v>桃園</v>
      </c>
    </row>
    <row r="8" spans="1:85" x14ac:dyDescent="0.3">
      <c r="A8" s="43">
        <v>7</v>
      </c>
      <c r="B8" s="4">
        <v>0</v>
      </c>
      <c r="C8" s="4">
        <v>0</v>
      </c>
      <c r="D8" s="4">
        <v>1</v>
      </c>
      <c r="E8" s="4" t="s">
        <v>611</v>
      </c>
      <c r="F8" s="4" t="s">
        <v>343</v>
      </c>
      <c r="G8" s="4">
        <v>7</v>
      </c>
      <c r="H8" s="4">
        <v>4</v>
      </c>
      <c r="I8" s="4">
        <v>3</v>
      </c>
      <c r="J8" s="4">
        <v>1</v>
      </c>
      <c r="K8" s="4">
        <v>127</v>
      </c>
      <c r="L8" s="4" t="s">
        <v>646</v>
      </c>
      <c r="M8" s="4" t="s">
        <v>369</v>
      </c>
      <c r="N8" s="4" t="s">
        <v>642</v>
      </c>
      <c r="O8" s="4">
        <v>48</v>
      </c>
      <c r="P8" s="4">
        <v>107.25</v>
      </c>
      <c r="Q8" s="4" t="s">
        <v>639</v>
      </c>
      <c r="AO8" s="4">
        <v>1</v>
      </c>
      <c r="AP8" s="4">
        <v>2</v>
      </c>
      <c r="AQ8" s="4" t="s">
        <v>654</v>
      </c>
      <c r="AS8">
        <v>0</v>
      </c>
      <c r="AT8">
        <v>2</v>
      </c>
      <c r="AU8" s="33">
        <v>115.99999999999255</v>
      </c>
      <c r="AV8" s="36" t="s">
        <v>644</v>
      </c>
      <c r="AW8" s="4">
        <v>110.00000000000121</v>
      </c>
      <c r="AX8" s="4" t="str">
        <f>IFERROR(VLOOKUP(M8,Roster!$L$2:$M$27,2,FALSE),"")</f>
        <v>R</v>
      </c>
      <c r="AY8" s="4" t="str">
        <f t="shared" si="2"/>
        <v>0好2壞</v>
      </c>
      <c r="BI8" s="5" t="str">
        <f>Lineup!$G$2</f>
        <v>20210817</v>
      </c>
      <c r="BJ8" s="4" t="str">
        <f t="shared" si="3"/>
        <v>外角低</v>
      </c>
      <c r="BK8" s="4" t="str">
        <f t="shared" si="4"/>
        <v>B1O</v>
      </c>
      <c r="BL8" s="4" t="str">
        <f>IFERROR(VLOOKUP(E8,Roster!$D$2:$E$27,2,FALSE),"")</f>
        <v>L</v>
      </c>
      <c r="BP8" s="49"/>
      <c r="BQ8" s="49"/>
      <c r="BR8" s="49"/>
      <c r="BS8" s="49"/>
      <c r="BT8" s="49"/>
      <c r="BU8" s="49"/>
      <c r="BY8" s="4">
        <f t="shared" si="0"/>
        <v>78.75</v>
      </c>
      <c r="BZ8" s="4">
        <f t="shared" si="1"/>
        <v>246</v>
      </c>
      <c r="CD8" s="5" t="str">
        <f>Lineup!$G$1</f>
        <v>一軍例行賽</v>
      </c>
      <c r="CE8" s="4">
        <f>Lineup!$I$1</f>
        <v>148</v>
      </c>
      <c r="CF8" s="5" t="str">
        <f>Lineup!$G$5</f>
        <v>王俊宏</v>
      </c>
      <c r="CG8" s="5" t="str">
        <f>Lineup!$G$4</f>
        <v>桃園</v>
      </c>
    </row>
    <row r="9" spans="1:85" x14ac:dyDescent="0.3">
      <c r="A9" s="43">
        <v>8</v>
      </c>
      <c r="B9" s="4">
        <v>0</v>
      </c>
      <c r="C9" s="4">
        <v>0</v>
      </c>
      <c r="D9" s="4">
        <v>1</v>
      </c>
      <c r="E9" s="4" t="s">
        <v>611</v>
      </c>
      <c r="F9" s="4" t="s">
        <v>343</v>
      </c>
      <c r="G9" s="4">
        <v>8</v>
      </c>
      <c r="H9" s="4">
        <v>5</v>
      </c>
      <c r="I9" s="4">
        <v>3</v>
      </c>
      <c r="J9" s="4">
        <v>1</v>
      </c>
      <c r="K9" s="4">
        <v>128</v>
      </c>
      <c r="L9" s="4" t="s">
        <v>646</v>
      </c>
      <c r="M9" s="4" t="s">
        <v>369</v>
      </c>
      <c r="N9" s="4" t="s">
        <v>649</v>
      </c>
      <c r="O9" s="4">
        <v>68.25</v>
      </c>
      <c r="P9" s="4">
        <v>86.25</v>
      </c>
      <c r="Q9" s="4" t="s">
        <v>109</v>
      </c>
      <c r="R9" s="5" t="s">
        <v>656</v>
      </c>
      <c r="S9" s="4">
        <v>110.25</v>
      </c>
      <c r="T9" s="4">
        <v>127.5</v>
      </c>
      <c r="U9" s="4" t="s">
        <v>574</v>
      </c>
      <c r="AB9" s="4" t="s">
        <v>369</v>
      </c>
      <c r="AM9" s="4">
        <v>1</v>
      </c>
      <c r="AO9" s="4">
        <v>2</v>
      </c>
      <c r="AP9" s="4">
        <v>2</v>
      </c>
      <c r="AQ9" s="4" t="s">
        <v>655</v>
      </c>
      <c r="AS9">
        <v>1</v>
      </c>
      <c r="AT9">
        <v>2</v>
      </c>
      <c r="AU9" s="33">
        <v>138.99999999998977</v>
      </c>
      <c r="AV9" s="36" t="s">
        <v>644</v>
      </c>
      <c r="AW9" s="4">
        <v>127.00000000000706</v>
      </c>
      <c r="AX9" s="4" t="str">
        <f>IFERROR(VLOOKUP(M9,Roster!$L$2:$M$27,2,FALSE),"")</f>
        <v>R</v>
      </c>
      <c r="AY9" s="4" t="str">
        <f t="shared" si="2"/>
        <v>1好2壞</v>
      </c>
      <c r="BI9" s="5" t="str">
        <f>Lineup!$G$2</f>
        <v>20210817</v>
      </c>
      <c r="BJ9" s="4" t="str">
        <f t="shared" si="3"/>
        <v>中中</v>
      </c>
      <c r="BK9" s="4" t="str">
        <f t="shared" si="4"/>
        <v>B1O</v>
      </c>
      <c r="BL9" s="4" t="str">
        <f>IFERROR(VLOOKUP(E9,Roster!$D$2:$E$27,2,FALSE),"")</f>
        <v>L</v>
      </c>
      <c r="BP9" s="49"/>
      <c r="BQ9" s="49"/>
      <c r="BR9" s="49"/>
      <c r="BS9" s="49"/>
      <c r="BT9" s="49"/>
      <c r="BU9" s="49"/>
      <c r="BY9" s="4">
        <f t="shared" si="0"/>
        <v>99.75</v>
      </c>
      <c r="BZ9" s="4">
        <f t="shared" si="1"/>
        <v>118.5</v>
      </c>
      <c r="CD9" s="5" t="str">
        <f>Lineup!$G$1</f>
        <v>一軍例行賽</v>
      </c>
      <c r="CE9" s="4">
        <f>Lineup!$I$1</f>
        <v>148</v>
      </c>
      <c r="CF9" s="5" t="str">
        <f>Lineup!$G$5</f>
        <v>王俊宏</v>
      </c>
      <c r="CG9" s="5" t="str">
        <f>Lineup!$G$4</f>
        <v>桃園</v>
      </c>
    </row>
    <row r="10" spans="1:85" x14ac:dyDescent="0.3">
      <c r="A10" s="43">
        <v>9</v>
      </c>
      <c r="B10" s="4">
        <v>0</v>
      </c>
      <c r="C10" s="4">
        <v>0</v>
      </c>
      <c r="D10" s="4">
        <v>1</v>
      </c>
      <c r="E10" s="4" t="s">
        <v>611</v>
      </c>
      <c r="F10" s="4" t="s">
        <v>343</v>
      </c>
      <c r="G10" s="4">
        <v>9</v>
      </c>
      <c r="H10" s="4">
        <v>5</v>
      </c>
      <c r="I10" s="4">
        <v>4</v>
      </c>
      <c r="J10" s="4">
        <v>1</v>
      </c>
      <c r="L10" s="4" t="s">
        <v>643</v>
      </c>
      <c r="M10" s="4" t="s">
        <v>383</v>
      </c>
      <c r="N10" s="4" t="s">
        <v>642</v>
      </c>
      <c r="O10" s="4">
        <v>40.5</v>
      </c>
      <c r="P10" s="4">
        <v>27.75</v>
      </c>
      <c r="Q10" s="4" t="s">
        <v>641</v>
      </c>
      <c r="AB10" s="4" t="s">
        <v>369</v>
      </c>
      <c r="AO10" s="4">
        <v>0</v>
      </c>
      <c r="AP10" s="4">
        <v>1</v>
      </c>
      <c r="AQ10" s="4" t="s">
        <v>652</v>
      </c>
      <c r="AS10">
        <v>0</v>
      </c>
      <c r="AT10">
        <v>0</v>
      </c>
      <c r="AU10" s="33">
        <v>179.00000000000239</v>
      </c>
      <c r="AV10" s="36" t="s">
        <v>644</v>
      </c>
      <c r="AW10" s="4">
        <v>176.00000000000193</v>
      </c>
      <c r="AX10" s="4" t="str">
        <f>IFERROR(VLOOKUP(M10,Roster!$L$2:$M$27,2,FALSE),"")</f>
        <v>L</v>
      </c>
      <c r="AY10" s="4" t="str">
        <f t="shared" si="2"/>
        <v>0好0壞</v>
      </c>
      <c r="BI10" s="5" t="str">
        <f>Lineup!$G$2</f>
        <v>20210817</v>
      </c>
      <c r="BJ10" s="4" t="str">
        <f t="shared" si="3"/>
        <v>偏內角偏高</v>
      </c>
      <c r="BK10" s="4" t="str">
        <f t="shared" si="4"/>
        <v>1B1O</v>
      </c>
      <c r="BL10" s="4" t="str">
        <f>IFERROR(VLOOKUP(E10,Roster!$D$2:$E$27,2,FALSE),"")</f>
        <v>L</v>
      </c>
      <c r="BP10" s="49"/>
      <c r="BQ10" s="49"/>
      <c r="BR10" s="49"/>
      <c r="BS10" s="49"/>
      <c r="BT10" s="49"/>
      <c r="BU10" s="49"/>
      <c r="BY10" s="4">
        <f t="shared" si="0"/>
        <v>158.25</v>
      </c>
      <c r="BZ10" s="4">
        <f t="shared" si="1"/>
        <v>246</v>
      </c>
      <c r="CD10" s="5" t="str">
        <f>Lineup!$G$1</f>
        <v>一軍例行賽</v>
      </c>
      <c r="CE10" s="4">
        <f>Lineup!$I$1</f>
        <v>148</v>
      </c>
      <c r="CF10" s="5" t="str">
        <f>Lineup!$G$5</f>
        <v>王俊宏</v>
      </c>
      <c r="CG10" s="5" t="str">
        <f>Lineup!$G$4</f>
        <v>桃園</v>
      </c>
    </row>
    <row r="11" spans="1:85" x14ac:dyDescent="0.3">
      <c r="A11" s="43">
        <v>10</v>
      </c>
      <c r="B11" s="4">
        <v>0</v>
      </c>
      <c r="C11" s="4">
        <v>0</v>
      </c>
      <c r="D11" s="4">
        <v>1</v>
      </c>
      <c r="E11" s="4" t="s">
        <v>611</v>
      </c>
      <c r="F11" s="4" t="s">
        <v>343</v>
      </c>
      <c r="G11" s="4">
        <v>10</v>
      </c>
      <c r="H11" s="4">
        <v>5</v>
      </c>
      <c r="I11" s="4">
        <v>5</v>
      </c>
      <c r="J11" s="4">
        <v>1</v>
      </c>
      <c r="K11" s="4">
        <v>127</v>
      </c>
      <c r="L11" s="4" t="s">
        <v>646</v>
      </c>
      <c r="M11" s="4" t="s">
        <v>383</v>
      </c>
      <c r="N11" s="4" t="s">
        <v>642</v>
      </c>
      <c r="O11" s="4">
        <v>95.25</v>
      </c>
      <c r="P11" s="4">
        <v>146.25</v>
      </c>
      <c r="Q11" s="4" t="s">
        <v>641</v>
      </c>
      <c r="AB11" s="4" t="s">
        <v>369</v>
      </c>
      <c r="AO11" s="4">
        <v>0</v>
      </c>
      <c r="AP11" s="4">
        <v>2</v>
      </c>
      <c r="AQ11" s="4" t="s">
        <v>653</v>
      </c>
      <c r="AS11">
        <v>0</v>
      </c>
      <c r="AT11">
        <v>1</v>
      </c>
      <c r="AU11" s="33">
        <v>205.00000000000006</v>
      </c>
      <c r="AV11" s="36" t="s">
        <v>644</v>
      </c>
      <c r="AW11" s="4">
        <v>200.99999999999307</v>
      </c>
      <c r="AX11" s="4" t="str">
        <f>IFERROR(VLOOKUP(M11,Roster!$L$2:$M$27,2,FALSE),"")</f>
        <v>L</v>
      </c>
      <c r="AY11" s="4" t="str">
        <f t="shared" si="2"/>
        <v>0好1壞</v>
      </c>
      <c r="BI11" s="5" t="str">
        <f>Lineup!$G$2</f>
        <v>20210817</v>
      </c>
      <c r="BJ11" s="4" t="str">
        <f t="shared" si="3"/>
        <v>外角偏低</v>
      </c>
      <c r="BK11" s="4" t="str">
        <f t="shared" si="4"/>
        <v>1B1O</v>
      </c>
      <c r="BL11" s="4" t="str">
        <f>IFERROR(VLOOKUP(E11,Roster!$D$2:$E$27,2,FALSE),"")</f>
        <v>L</v>
      </c>
      <c r="BP11" s="49"/>
      <c r="BQ11" s="49"/>
      <c r="BR11" s="49"/>
      <c r="BS11" s="49"/>
      <c r="BT11" s="49"/>
      <c r="BU11" s="49"/>
      <c r="BY11" s="4">
        <f t="shared" si="0"/>
        <v>39.75</v>
      </c>
      <c r="BZ11" s="4">
        <f t="shared" si="1"/>
        <v>246</v>
      </c>
      <c r="CD11" s="5" t="str">
        <f>Lineup!$G$1</f>
        <v>一軍例行賽</v>
      </c>
      <c r="CE11" s="4">
        <f>Lineup!$I$1</f>
        <v>148</v>
      </c>
      <c r="CF11" s="5" t="str">
        <f>Lineup!$G$5</f>
        <v>王俊宏</v>
      </c>
      <c r="CG11" s="5" t="str">
        <f>Lineup!$G$4</f>
        <v>桃園</v>
      </c>
    </row>
    <row r="12" spans="1:85" x14ac:dyDescent="0.3">
      <c r="A12" s="43">
        <v>11</v>
      </c>
      <c r="B12" s="4">
        <v>0</v>
      </c>
      <c r="C12" s="4">
        <v>0</v>
      </c>
      <c r="D12" s="4">
        <v>1</v>
      </c>
      <c r="E12" s="4" t="s">
        <v>611</v>
      </c>
      <c r="F12" s="4" t="s">
        <v>343</v>
      </c>
      <c r="G12" s="4">
        <v>11</v>
      </c>
      <c r="H12" s="4">
        <v>6</v>
      </c>
      <c r="I12" s="4">
        <v>5</v>
      </c>
      <c r="J12" s="4">
        <v>1</v>
      </c>
      <c r="K12" s="4">
        <v>138</v>
      </c>
      <c r="L12" s="4" t="s">
        <v>643</v>
      </c>
      <c r="M12" s="4" t="s">
        <v>383</v>
      </c>
      <c r="N12" s="4" t="s">
        <v>649</v>
      </c>
      <c r="O12" s="4">
        <v>88.5</v>
      </c>
      <c r="P12" s="4">
        <v>73.5</v>
      </c>
      <c r="Q12" s="4" t="s">
        <v>639</v>
      </c>
      <c r="R12" s="5" t="s">
        <v>657</v>
      </c>
      <c r="AB12" s="4" t="s">
        <v>369</v>
      </c>
      <c r="AO12" s="4">
        <v>1</v>
      </c>
      <c r="AP12" s="4">
        <v>2</v>
      </c>
      <c r="AQ12" s="4" t="s">
        <v>654</v>
      </c>
      <c r="AS12">
        <v>0</v>
      </c>
      <c r="AT12">
        <v>2</v>
      </c>
      <c r="AU12" s="33">
        <v>230.99999999999773</v>
      </c>
      <c r="AV12" s="36" t="s">
        <v>644</v>
      </c>
      <c r="AW12" s="4">
        <v>226.00000000000335</v>
      </c>
      <c r="AX12" s="4" t="str">
        <f>IFERROR(VLOOKUP(M12,Roster!$L$2:$M$27,2,FALSE),"")</f>
        <v>L</v>
      </c>
      <c r="AY12" s="4" t="str">
        <f t="shared" si="2"/>
        <v>0好2壞</v>
      </c>
      <c r="BI12" s="5" t="str">
        <f>Lineup!$G$2</f>
        <v>20210817</v>
      </c>
      <c r="BJ12" s="4" t="str">
        <f t="shared" si="3"/>
        <v>外角高</v>
      </c>
      <c r="BK12" s="4" t="str">
        <f t="shared" si="4"/>
        <v>1B1O</v>
      </c>
      <c r="BL12" s="4" t="str">
        <f>IFERROR(VLOOKUP(E12,Roster!$D$2:$E$27,2,FALSE),"")</f>
        <v>L</v>
      </c>
      <c r="BP12" s="49"/>
      <c r="BQ12" s="49"/>
      <c r="BR12" s="49"/>
      <c r="BS12" s="49"/>
      <c r="BT12" s="49"/>
      <c r="BU12" s="49"/>
      <c r="BY12" s="4">
        <f t="shared" si="0"/>
        <v>112.5</v>
      </c>
      <c r="BZ12" s="4">
        <f t="shared" si="1"/>
        <v>246</v>
      </c>
      <c r="CD12" s="5" t="str">
        <f>Lineup!$G$1</f>
        <v>一軍例行賽</v>
      </c>
      <c r="CE12" s="4">
        <f>Lineup!$I$1</f>
        <v>148</v>
      </c>
      <c r="CF12" s="5" t="str">
        <f>Lineup!$G$5</f>
        <v>王俊宏</v>
      </c>
      <c r="CG12" s="5" t="str">
        <f>Lineup!$G$4</f>
        <v>桃園</v>
      </c>
    </row>
    <row r="13" spans="1:85" x14ac:dyDescent="0.3">
      <c r="A13" s="43">
        <v>12</v>
      </c>
      <c r="B13" s="4">
        <v>0</v>
      </c>
      <c r="C13" s="4">
        <v>0</v>
      </c>
      <c r="D13" s="4">
        <v>1</v>
      </c>
      <c r="E13" s="4" t="s">
        <v>611</v>
      </c>
      <c r="F13" s="4" t="s">
        <v>343</v>
      </c>
      <c r="G13" s="4">
        <v>12</v>
      </c>
      <c r="H13" s="4">
        <v>6</v>
      </c>
      <c r="I13" s="4">
        <v>6</v>
      </c>
      <c r="J13" s="4">
        <v>1</v>
      </c>
      <c r="K13" s="4">
        <v>143</v>
      </c>
      <c r="L13" s="4" t="s">
        <v>643</v>
      </c>
      <c r="M13" s="4" t="s">
        <v>383</v>
      </c>
      <c r="N13" s="4" t="s">
        <v>642</v>
      </c>
      <c r="O13" s="4">
        <v>94.5</v>
      </c>
      <c r="P13" s="4">
        <v>48.75</v>
      </c>
      <c r="Q13" s="4" t="s">
        <v>641</v>
      </c>
      <c r="AB13" s="4" t="s">
        <v>369</v>
      </c>
      <c r="AO13" s="4">
        <v>1</v>
      </c>
      <c r="AP13" s="4">
        <v>3</v>
      </c>
      <c r="AQ13" s="4" t="s">
        <v>658</v>
      </c>
      <c r="AS13">
        <v>1</v>
      </c>
      <c r="AT13">
        <v>2</v>
      </c>
      <c r="AU13" s="33">
        <v>260.99999999999284</v>
      </c>
      <c r="AV13" s="36" t="s">
        <v>644</v>
      </c>
      <c r="AW13" s="4">
        <v>256.9999999999954</v>
      </c>
      <c r="AX13" s="4" t="str">
        <f>IFERROR(VLOOKUP(M13,Roster!$L$2:$M$27,2,FALSE),"")</f>
        <v>L</v>
      </c>
      <c r="AY13" s="4" t="str">
        <f t="shared" si="2"/>
        <v>1好2壞</v>
      </c>
      <c r="BI13" s="5" t="str">
        <f>Lineup!$G$2</f>
        <v>20210817</v>
      </c>
      <c r="BJ13" s="4" t="str">
        <f t="shared" si="3"/>
        <v>外角偏高</v>
      </c>
      <c r="BK13" s="4" t="str">
        <f t="shared" si="4"/>
        <v>1B1O</v>
      </c>
      <c r="BL13" s="4" t="str">
        <f>IFERROR(VLOOKUP(E13,Roster!$D$2:$E$27,2,FALSE),"")</f>
        <v>L</v>
      </c>
      <c r="BP13" s="49"/>
      <c r="BQ13" s="49"/>
      <c r="BR13" s="49"/>
      <c r="BS13" s="49"/>
      <c r="BT13" s="49"/>
      <c r="BU13" s="49"/>
      <c r="BY13" s="4">
        <f t="shared" si="0"/>
        <v>137.25</v>
      </c>
      <c r="BZ13" s="4">
        <f t="shared" si="1"/>
        <v>246</v>
      </c>
      <c r="CD13" s="5" t="str">
        <f>Lineup!$G$1</f>
        <v>一軍例行賽</v>
      </c>
      <c r="CE13" s="4">
        <f>Lineup!$I$1</f>
        <v>148</v>
      </c>
      <c r="CF13" s="5" t="str">
        <f>Lineup!$G$5</f>
        <v>王俊宏</v>
      </c>
      <c r="CG13" s="5" t="str">
        <f>Lineup!$G$4</f>
        <v>桃園</v>
      </c>
    </row>
    <row r="14" spans="1:85" x14ac:dyDescent="0.3">
      <c r="A14" s="43">
        <v>13</v>
      </c>
      <c r="B14" s="4">
        <v>0</v>
      </c>
      <c r="C14" s="4">
        <v>0</v>
      </c>
      <c r="D14" s="4">
        <v>1</v>
      </c>
      <c r="E14" s="4" t="s">
        <v>611</v>
      </c>
      <c r="F14" s="4" t="s">
        <v>343</v>
      </c>
      <c r="G14" s="4">
        <v>13</v>
      </c>
      <c r="H14" s="4">
        <v>6</v>
      </c>
      <c r="I14" s="4">
        <v>7</v>
      </c>
      <c r="J14" s="4">
        <v>1</v>
      </c>
      <c r="K14" s="4">
        <v>143</v>
      </c>
      <c r="L14" s="4" t="s">
        <v>643</v>
      </c>
      <c r="M14" s="4" t="s">
        <v>383</v>
      </c>
      <c r="N14" s="4" t="s">
        <v>642</v>
      </c>
      <c r="O14" s="4">
        <v>112.5</v>
      </c>
      <c r="P14" s="4">
        <v>117.75</v>
      </c>
      <c r="Q14" s="4" t="s">
        <v>641</v>
      </c>
      <c r="R14" s="5" t="s">
        <v>660</v>
      </c>
      <c r="AB14" s="4" t="s">
        <v>383</v>
      </c>
      <c r="AC14" s="4" t="s">
        <v>369</v>
      </c>
      <c r="AE14" s="4" t="s">
        <v>661</v>
      </c>
      <c r="AF14" s="4" t="s">
        <v>661</v>
      </c>
      <c r="AG14" s="4" t="s">
        <v>661</v>
      </c>
      <c r="AM14" s="4">
        <v>1</v>
      </c>
      <c r="AO14" s="4">
        <v>1</v>
      </c>
      <c r="AP14" s="4">
        <v>4</v>
      </c>
      <c r="AQ14" s="4" t="s">
        <v>659</v>
      </c>
      <c r="AS14">
        <v>1</v>
      </c>
      <c r="AT14">
        <v>3</v>
      </c>
      <c r="AU14" s="33">
        <v>290.00000000000057</v>
      </c>
      <c r="AV14" s="36" t="s">
        <v>644</v>
      </c>
      <c r="AW14" s="4">
        <v>283.99999999999005</v>
      </c>
      <c r="AX14" s="4" t="str">
        <f>IFERROR(VLOOKUP(M14,Roster!$L$2:$M$27,2,FALSE),"")</f>
        <v>L</v>
      </c>
      <c r="AY14" s="4" t="str">
        <f t="shared" si="2"/>
        <v>1好3壞</v>
      </c>
      <c r="BI14" s="5" t="str">
        <f>Lineup!$G$2</f>
        <v>20210817</v>
      </c>
      <c r="BJ14" s="4" t="str">
        <f t="shared" si="3"/>
        <v>偏外角低</v>
      </c>
      <c r="BK14" s="4" t="str">
        <f t="shared" si="4"/>
        <v>1B1O</v>
      </c>
      <c r="BL14" s="4" t="str">
        <f>IFERROR(VLOOKUP(E14,Roster!$D$2:$E$27,2,FALSE),"")</f>
        <v>L</v>
      </c>
      <c r="BP14" s="49"/>
      <c r="BQ14" s="49"/>
      <c r="BR14" s="49"/>
      <c r="BS14" s="49"/>
      <c r="BT14" s="49"/>
      <c r="BU14" s="49"/>
      <c r="BY14" s="4">
        <f t="shared" si="0"/>
        <v>68.25</v>
      </c>
      <c r="BZ14" s="4">
        <f t="shared" si="1"/>
        <v>246</v>
      </c>
      <c r="CD14" s="5" t="str">
        <f>Lineup!$G$1</f>
        <v>一軍例行賽</v>
      </c>
      <c r="CE14" s="4">
        <f>Lineup!$I$1</f>
        <v>148</v>
      </c>
      <c r="CF14" s="5" t="str">
        <f>Lineup!$G$5</f>
        <v>王俊宏</v>
      </c>
      <c r="CG14" s="5" t="str">
        <f>Lineup!$G$4</f>
        <v>桃園</v>
      </c>
    </row>
    <row r="15" spans="1:85" x14ac:dyDescent="0.3">
      <c r="A15" s="43">
        <v>14</v>
      </c>
      <c r="B15" s="4">
        <v>0</v>
      </c>
      <c r="C15" s="4">
        <v>0</v>
      </c>
      <c r="D15" s="4">
        <v>1</v>
      </c>
      <c r="E15" s="4" t="s">
        <v>611</v>
      </c>
      <c r="F15" s="4" t="s">
        <v>343</v>
      </c>
      <c r="G15" s="4">
        <v>14</v>
      </c>
      <c r="H15" s="4">
        <v>7</v>
      </c>
      <c r="I15" s="4">
        <v>7</v>
      </c>
      <c r="J15" s="4">
        <v>1</v>
      </c>
      <c r="K15" s="4">
        <v>143</v>
      </c>
      <c r="L15" s="4" t="s">
        <v>643</v>
      </c>
      <c r="M15" s="4" t="s">
        <v>266</v>
      </c>
      <c r="N15" s="4" t="s">
        <v>649</v>
      </c>
      <c r="O15" s="4">
        <v>100.5</v>
      </c>
      <c r="P15" s="4">
        <v>105.75</v>
      </c>
      <c r="Q15" s="4" t="s">
        <v>639</v>
      </c>
      <c r="R15" s="5" t="s">
        <v>657</v>
      </c>
      <c r="AB15" s="4" t="s">
        <v>383</v>
      </c>
      <c r="AC15" s="4" t="s">
        <v>369</v>
      </c>
      <c r="AO15" s="4">
        <v>1</v>
      </c>
      <c r="AP15" s="4">
        <v>0</v>
      </c>
      <c r="AQ15" s="4" t="s">
        <v>640</v>
      </c>
      <c r="AS15">
        <v>0</v>
      </c>
      <c r="AT15">
        <v>0</v>
      </c>
      <c r="AU15" s="33">
        <v>334.99999999999801</v>
      </c>
      <c r="AV15" s="36" t="s">
        <v>644</v>
      </c>
      <c r="AW15" s="4">
        <v>328.00000000000011</v>
      </c>
      <c r="AX15" s="4" t="str">
        <f>IFERROR(VLOOKUP(M15,Roster!$L$2:$M$27,2,FALSE),"")</f>
        <v>L</v>
      </c>
      <c r="AY15" s="4" t="str">
        <f t="shared" si="2"/>
        <v>0好0壞</v>
      </c>
      <c r="BI15" s="5" t="str">
        <f>Lineup!$G$2</f>
        <v>20210817</v>
      </c>
      <c r="BJ15" s="4" t="str">
        <f t="shared" si="3"/>
        <v>外角低</v>
      </c>
      <c r="BK15" s="4" t="str">
        <f t="shared" si="4"/>
        <v>12B1O</v>
      </c>
      <c r="BL15" s="4" t="str">
        <f>IFERROR(VLOOKUP(E15,Roster!$D$2:$E$27,2,FALSE),"")</f>
        <v>L</v>
      </c>
      <c r="BP15" s="49"/>
      <c r="BQ15" s="49"/>
      <c r="BR15" s="49"/>
      <c r="BS15" s="49"/>
      <c r="BT15" s="49"/>
      <c r="BU15" s="49"/>
      <c r="BY15" s="4">
        <f t="shared" si="0"/>
        <v>80.25</v>
      </c>
      <c r="BZ15" s="4">
        <f t="shared" si="1"/>
        <v>246</v>
      </c>
      <c r="CD15" s="5" t="str">
        <f>Lineup!$G$1</f>
        <v>一軍例行賽</v>
      </c>
      <c r="CE15" s="4">
        <f>Lineup!$I$1</f>
        <v>148</v>
      </c>
      <c r="CF15" s="5" t="str">
        <f>Lineup!$G$5</f>
        <v>王俊宏</v>
      </c>
      <c r="CG15" s="5" t="str">
        <f>Lineup!$G$4</f>
        <v>桃園</v>
      </c>
    </row>
    <row r="16" spans="1:85" x14ac:dyDescent="0.3">
      <c r="A16" s="43">
        <v>15</v>
      </c>
      <c r="B16" s="4">
        <v>0</v>
      </c>
      <c r="C16" s="4">
        <v>0</v>
      </c>
      <c r="D16" s="4">
        <v>1</v>
      </c>
      <c r="E16" s="4" t="s">
        <v>611</v>
      </c>
      <c r="F16" s="4" t="s">
        <v>343</v>
      </c>
      <c r="G16" s="4">
        <v>14</v>
      </c>
      <c r="H16" s="4">
        <v>7</v>
      </c>
      <c r="I16" s="4">
        <v>7</v>
      </c>
      <c r="J16" s="4">
        <v>1</v>
      </c>
      <c r="L16" s="4" t="s">
        <v>664</v>
      </c>
      <c r="M16" s="4" t="s">
        <v>266</v>
      </c>
      <c r="N16" s="4" t="s">
        <v>642</v>
      </c>
      <c r="O16" s="4">
        <v>90</v>
      </c>
      <c r="P16" s="4">
        <v>103.5</v>
      </c>
      <c r="Q16" s="4" t="s">
        <v>639</v>
      </c>
      <c r="AA16" s="4" t="s">
        <v>663</v>
      </c>
      <c r="AC16" s="4" t="s">
        <v>383</v>
      </c>
      <c r="AD16" s="4" t="s">
        <v>369</v>
      </c>
      <c r="AE16" s="4" t="s">
        <v>661</v>
      </c>
      <c r="AF16" s="4" t="s">
        <v>661</v>
      </c>
      <c r="AG16" s="4" t="s">
        <v>661</v>
      </c>
      <c r="AO16" s="4">
        <v>2</v>
      </c>
      <c r="AP16" s="4">
        <v>0</v>
      </c>
      <c r="AQ16" s="4" t="s">
        <v>662</v>
      </c>
      <c r="AS16">
        <v>1</v>
      </c>
      <c r="AT16">
        <v>0</v>
      </c>
      <c r="AU16" s="33">
        <v>371.00000000000364</v>
      </c>
      <c r="AV16" s="36" t="s">
        <v>644</v>
      </c>
      <c r="AW16" s="4">
        <v>358</v>
      </c>
      <c r="AX16" s="4" t="str">
        <f>IFERROR(VLOOKUP(M16,Roster!$L$2:$M$27,2,FALSE),"")</f>
        <v>L</v>
      </c>
      <c r="AY16" s="4" t="str">
        <f t="shared" si="2"/>
        <v>1好0壞</v>
      </c>
      <c r="BI16" s="5" t="str">
        <f>Lineup!$G$2</f>
        <v>20210817</v>
      </c>
      <c r="BJ16" s="4" t="str">
        <f t="shared" si="3"/>
        <v>外角低</v>
      </c>
      <c r="BK16" s="4" t="str">
        <f t="shared" si="4"/>
        <v>12B1O</v>
      </c>
      <c r="BL16" s="4" t="str">
        <f>IFERROR(VLOOKUP(E16,Roster!$D$2:$E$27,2,FALSE),"")</f>
        <v>L</v>
      </c>
      <c r="BP16" s="49"/>
      <c r="BQ16" s="49"/>
      <c r="BR16" s="49"/>
      <c r="BS16" s="49"/>
      <c r="BT16" s="49"/>
      <c r="BU16" s="49"/>
      <c r="BY16" s="4">
        <f t="shared" si="0"/>
        <v>82.5</v>
      </c>
      <c r="BZ16" s="4">
        <f t="shared" si="1"/>
        <v>246</v>
      </c>
      <c r="CD16" s="5" t="str">
        <f>Lineup!$G$1</f>
        <v>一軍例行賽</v>
      </c>
      <c r="CE16" s="4">
        <f>Lineup!$I$1</f>
        <v>148</v>
      </c>
      <c r="CF16" s="5" t="str">
        <f>Lineup!$G$5</f>
        <v>王俊宏</v>
      </c>
      <c r="CG16" s="5" t="str">
        <f>Lineup!$G$4</f>
        <v>桃園</v>
      </c>
    </row>
    <row r="17" spans="1:85" x14ac:dyDescent="0.3">
      <c r="A17" s="43">
        <v>16</v>
      </c>
      <c r="B17" s="4">
        <v>0</v>
      </c>
      <c r="C17" s="4">
        <v>0</v>
      </c>
      <c r="D17" s="4">
        <v>1</v>
      </c>
      <c r="E17" s="4" t="s">
        <v>611</v>
      </c>
      <c r="F17" s="4" t="s">
        <v>343</v>
      </c>
      <c r="G17" s="4">
        <v>15</v>
      </c>
      <c r="H17" s="4">
        <v>7</v>
      </c>
      <c r="I17" s="4">
        <v>8</v>
      </c>
      <c r="J17" s="4">
        <v>1</v>
      </c>
      <c r="K17" s="4">
        <v>144</v>
      </c>
      <c r="L17" s="4" t="s">
        <v>643</v>
      </c>
      <c r="M17" s="4" t="s">
        <v>266</v>
      </c>
      <c r="N17" s="4" t="s">
        <v>642</v>
      </c>
      <c r="O17" s="4">
        <v>97.5</v>
      </c>
      <c r="P17" s="4">
        <v>13.5</v>
      </c>
      <c r="Q17" s="4" t="s">
        <v>641</v>
      </c>
      <c r="AC17" s="4" t="s">
        <v>383</v>
      </c>
      <c r="AD17" s="4" t="s">
        <v>369</v>
      </c>
      <c r="AO17" s="4">
        <v>2</v>
      </c>
      <c r="AP17" s="4">
        <v>1</v>
      </c>
      <c r="AQ17" s="4" t="s">
        <v>647</v>
      </c>
      <c r="AS17">
        <v>2</v>
      </c>
      <c r="AT17">
        <v>0</v>
      </c>
      <c r="AU17" s="33">
        <v>409.00000000000318</v>
      </c>
      <c r="AV17" s="36" t="s">
        <v>644</v>
      </c>
      <c r="AW17" s="4">
        <v>405.99999999999312</v>
      </c>
      <c r="AX17" s="4" t="str">
        <f>IFERROR(VLOOKUP(M17,Roster!$L$2:$M$27,2,FALSE),"")</f>
        <v>L</v>
      </c>
      <c r="AY17" s="4" t="str">
        <f t="shared" si="2"/>
        <v>2好0壞</v>
      </c>
      <c r="BI17" s="5" t="str">
        <f>Lineup!$G$2</f>
        <v>20210817</v>
      </c>
      <c r="BJ17" s="4" t="str">
        <f t="shared" si="3"/>
        <v>外角偏高</v>
      </c>
      <c r="BK17" s="4" t="str">
        <f t="shared" si="4"/>
        <v>23B1O</v>
      </c>
      <c r="BL17" s="4" t="str">
        <f>IFERROR(VLOOKUP(E17,Roster!$D$2:$E$27,2,FALSE),"")</f>
        <v>L</v>
      </c>
      <c r="BP17" s="49"/>
      <c r="BQ17" s="49"/>
      <c r="BR17" s="49"/>
      <c r="BS17" s="49"/>
      <c r="BT17" s="49"/>
      <c r="BU17" s="49"/>
      <c r="BY17" s="4">
        <f t="shared" si="0"/>
        <v>172.5</v>
      </c>
      <c r="BZ17" s="4">
        <f t="shared" si="1"/>
        <v>246</v>
      </c>
      <c r="CD17" s="5" t="str">
        <f>Lineup!$G$1</f>
        <v>一軍例行賽</v>
      </c>
      <c r="CE17" s="4">
        <f>Lineup!$I$1</f>
        <v>148</v>
      </c>
      <c r="CF17" s="5" t="str">
        <f>Lineup!$G$5</f>
        <v>王俊宏</v>
      </c>
      <c r="CG17" s="5" t="str">
        <f>Lineup!$G$4</f>
        <v>桃園</v>
      </c>
    </row>
    <row r="18" spans="1:85" x14ac:dyDescent="0.3">
      <c r="A18" s="43">
        <v>17</v>
      </c>
      <c r="B18" s="4">
        <v>0</v>
      </c>
      <c r="C18" s="4">
        <v>0</v>
      </c>
      <c r="D18" s="4">
        <v>1</v>
      </c>
      <c r="E18" s="4" t="s">
        <v>611</v>
      </c>
      <c r="F18" s="4" t="s">
        <v>343</v>
      </c>
      <c r="G18" s="4">
        <v>16</v>
      </c>
      <c r="H18" s="4">
        <v>8</v>
      </c>
      <c r="I18" s="4">
        <v>8</v>
      </c>
      <c r="J18" s="4">
        <v>2</v>
      </c>
      <c r="K18" s="4">
        <v>127</v>
      </c>
      <c r="L18" s="4" t="s">
        <v>665</v>
      </c>
      <c r="M18" s="4" t="s">
        <v>266</v>
      </c>
      <c r="N18" s="4" t="s">
        <v>649</v>
      </c>
      <c r="O18" s="4">
        <v>61.5</v>
      </c>
      <c r="P18" s="4">
        <v>109.5</v>
      </c>
      <c r="Q18" s="4" t="s">
        <v>639</v>
      </c>
      <c r="R18" s="5" t="s">
        <v>666</v>
      </c>
      <c r="S18" s="4">
        <v>191.25</v>
      </c>
      <c r="T18" s="4">
        <v>174.75</v>
      </c>
      <c r="U18" s="4" t="s">
        <v>352</v>
      </c>
      <c r="V18" s="4" t="s">
        <v>343</v>
      </c>
      <c r="AB18" s="4" t="s">
        <v>266</v>
      </c>
      <c r="AD18" s="4" t="s">
        <v>383</v>
      </c>
      <c r="AE18" s="4" t="s">
        <v>661</v>
      </c>
      <c r="AF18" s="4" t="s">
        <v>661</v>
      </c>
      <c r="AG18" s="4" t="s">
        <v>661</v>
      </c>
      <c r="AI18" s="4" t="s">
        <v>369</v>
      </c>
      <c r="AK18" s="4">
        <v>1</v>
      </c>
      <c r="AM18" s="4">
        <v>1</v>
      </c>
      <c r="AO18" s="4">
        <v>3</v>
      </c>
      <c r="AP18" s="4">
        <v>1</v>
      </c>
      <c r="AQ18" s="4" t="s">
        <v>648</v>
      </c>
      <c r="AR18" s="4" t="s">
        <v>667</v>
      </c>
      <c r="AS18">
        <v>2</v>
      </c>
      <c r="AT18">
        <v>1</v>
      </c>
      <c r="AU18" s="33">
        <v>443.99999999999267</v>
      </c>
      <c r="AV18" s="36" t="s">
        <v>644</v>
      </c>
      <c r="AW18" s="4">
        <v>433.99999999999432</v>
      </c>
      <c r="AX18" s="4" t="str">
        <f>IFERROR(VLOOKUP(M18,Roster!$L$2:$M$27,2,FALSE),"")</f>
        <v>L</v>
      </c>
      <c r="AY18" s="4" t="str">
        <f t="shared" si="2"/>
        <v>2好1壞</v>
      </c>
      <c r="BI18" s="5" t="str">
        <f>Lineup!$G$2</f>
        <v>20210817</v>
      </c>
      <c r="BJ18" s="4" t="str">
        <f t="shared" si="3"/>
        <v>內角低</v>
      </c>
      <c r="BK18" s="4" t="str">
        <f t="shared" si="4"/>
        <v>23B1O</v>
      </c>
      <c r="BL18" s="4" t="str">
        <f>IFERROR(VLOOKUP(E18,Roster!$D$2:$E$27,2,FALSE),"")</f>
        <v>L</v>
      </c>
      <c r="BP18" s="49"/>
      <c r="BQ18" s="49"/>
      <c r="BR18" s="49"/>
      <c r="BS18" s="49"/>
      <c r="BT18" s="49"/>
      <c r="BU18" s="49"/>
      <c r="BY18" s="4">
        <f t="shared" si="0"/>
        <v>76.5</v>
      </c>
      <c r="BZ18" s="4">
        <f t="shared" si="1"/>
        <v>71.25</v>
      </c>
      <c r="CD18" s="5" t="str">
        <f>Lineup!$G$1</f>
        <v>一軍例行賽</v>
      </c>
      <c r="CE18" s="4">
        <f>Lineup!$I$1</f>
        <v>148</v>
      </c>
      <c r="CF18" s="5" t="str">
        <f>Lineup!$G$5</f>
        <v>王俊宏</v>
      </c>
      <c r="CG18" s="5" t="str">
        <f>Lineup!$G$4</f>
        <v>桃園</v>
      </c>
    </row>
    <row r="19" spans="1:85" x14ac:dyDescent="0.3">
      <c r="A19" s="43">
        <v>18</v>
      </c>
      <c r="B19" s="4">
        <v>0</v>
      </c>
      <c r="C19" s="4">
        <v>0</v>
      </c>
      <c r="D19" s="4">
        <v>1</v>
      </c>
      <c r="E19" s="4" t="s">
        <v>611</v>
      </c>
      <c r="F19" s="4" t="s">
        <v>343</v>
      </c>
      <c r="G19" s="4">
        <v>17</v>
      </c>
      <c r="H19" s="4">
        <v>8</v>
      </c>
      <c r="I19" s="4">
        <v>9</v>
      </c>
      <c r="J19" s="4">
        <v>2</v>
      </c>
      <c r="L19" s="4" t="s">
        <v>643</v>
      </c>
      <c r="M19" s="4" t="s">
        <v>396</v>
      </c>
      <c r="N19" s="4" t="s">
        <v>642</v>
      </c>
      <c r="O19" s="4">
        <v>98.25</v>
      </c>
      <c r="P19" s="4">
        <v>45.75</v>
      </c>
      <c r="Q19" s="4" t="s">
        <v>641</v>
      </c>
      <c r="AB19" s="4" t="s">
        <v>266</v>
      </c>
      <c r="AD19" s="4" t="s">
        <v>383</v>
      </c>
      <c r="AO19" s="4">
        <v>0</v>
      </c>
      <c r="AP19" s="4">
        <v>1</v>
      </c>
      <c r="AQ19" s="4" t="s">
        <v>652</v>
      </c>
      <c r="AS19">
        <v>0</v>
      </c>
      <c r="AT19">
        <v>0</v>
      </c>
      <c r="AU19" s="33">
        <v>559.99999999999477</v>
      </c>
      <c r="AV19" s="36" t="s">
        <v>644</v>
      </c>
      <c r="AW19" s="4">
        <v>557.00000000000398</v>
      </c>
      <c r="AX19" s="4" t="str">
        <f>IFERROR(VLOOKUP(M19,Roster!$L$2:$M$27,2,FALSE),"")</f>
        <v>R</v>
      </c>
      <c r="AY19" s="4" t="str">
        <f t="shared" si="2"/>
        <v>0好0壞</v>
      </c>
      <c r="BI19" s="5" t="str">
        <f>Lineup!$G$2</f>
        <v>20210817</v>
      </c>
      <c r="BJ19" s="4" t="str">
        <f t="shared" si="3"/>
        <v>內角偏高</v>
      </c>
      <c r="BK19" s="4" t="str">
        <f t="shared" si="4"/>
        <v>13B2O</v>
      </c>
      <c r="BL19" s="4" t="str">
        <f>IFERROR(VLOOKUP(E19,Roster!$D$2:$E$27,2,FALSE),"")</f>
        <v>L</v>
      </c>
      <c r="BP19" s="49"/>
      <c r="BQ19" s="49"/>
      <c r="BR19" s="49"/>
      <c r="BS19" s="49"/>
      <c r="BT19" s="49"/>
      <c r="BU19" s="49"/>
      <c r="BY19" s="4">
        <f t="shared" si="0"/>
        <v>140.25</v>
      </c>
      <c r="BZ19" s="4">
        <f t="shared" si="1"/>
        <v>246</v>
      </c>
      <c r="CD19" s="5" t="str">
        <f>Lineup!$G$1</f>
        <v>一軍例行賽</v>
      </c>
      <c r="CE19" s="4">
        <f>Lineup!$I$1</f>
        <v>148</v>
      </c>
      <c r="CF19" s="5" t="str">
        <f>Lineup!$G$5</f>
        <v>王俊宏</v>
      </c>
      <c r="CG19" s="5" t="str">
        <f>Lineup!$G$4</f>
        <v>桃園</v>
      </c>
    </row>
    <row r="20" spans="1:85" x14ac:dyDescent="0.3">
      <c r="A20" s="43">
        <v>19</v>
      </c>
      <c r="B20" s="4">
        <v>0</v>
      </c>
      <c r="C20" s="4">
        <v>0</v>
      </c>
      <c r="D20" s="4">
        <v>1</v>
      </c>
      <c r="E20" s="4" t="s">
        <v>611</v>
      </c>
      <c r="F20" s="4" t="s">
        <v>343</v>
      </c>
      <c r="G20" s="4">
        <v>18</v>
      </c>
      <c r="H20" s="4">
        <v>9</v>
      </c>
      <c r="I20" s="4">
        <v>9</v>
      </c>
      <c r="J20" s="4">
        <v>2</v>
      </c>
      <c r="K20" s="4">
        <v>126</v>
      </c>
      <c r="L20" s="4" t="s">
        <v>646</v>
      </c>
      <c r="M20" s="4" t="s">
        <v>396</v>
      </c>
      <c r="N20" s="4" t="s">
        <v>642</v>
      </c>
      <c r="O20" s="4">
        <v>87</v>
      </c>
      <c r="P20" s="4">
        <v>78</v>
      </c>
      <c r="Q20" s="4" t="s">
        <v>639</v>
      </c>
      <c r="AB20" s="4" t="s">
        <v>266</v>
      </c>
      <c r="AD20" s="4" t="s">
        <v>383</v>
      </c>
      <c r="AO20" s="4">
        <v>1</v>
      </c>
      <c r="AP20" s="4">
        <v>1</v>
      </c>
      <c r="AQ20" s="4" t="s">
        <v>645</v>
      </c>
      <c r="AS20">
        <v>0</v>
      </c>
      <c r="AT20">
        <v>1</v>
      </c>
      <c r="AU20" s="33">
        <v>611.99999999999011</v>
      </c>
      <c r="AV20" s="36" t="s">
        <v>644</v>
      </c>
      <c r="AW20" s="4">
        <v>607.99999999999272</v>
      </c>
      <c r="AX20" s="4" t="str">
        <f>IFERROR(VLOOKUP(M20,Roster!$L$2:$M$27,2,FALSE),"")</f>
        <v>R</v>
      </c>
      <c r="AY20" s="4" t="str">
        <f t="shared" si="2"/>
        <v>0好1壞</v>
      </c>
      <c r="BI20" s="5" t="str">
        <f>Lineup!$G$2</f>
        <v>20210817</v>
      </c>
      <c r="BJ20" s="4" t="str">
        <f t="shared" si="3"/>
        <v>內角高</v>
      </c>
      <c r="BK20" s="4" t="str">
        <f t="shared" si="4"/>
        <v>13B2O</v>
      </c>
      <c r="BL20" s="4" t="str">
        <f>IFERROR(VLOOKUP(E20,Roster!$D$2:$E$27,2,FALSE),"")</f>
        <v>L</v>
      </c>
      <c r="BP20" s="49"/>
      <c r="BQ20" s="49"/>
      <c r="BR20" s="49"/>
      <c r="BS20" s="49"/>
      <c r="BT20" s="49"/>
      <c r="BU20" s="49"/>
      <c r="BY20" s="4">
        <f t="shared" si="0"/>
        <v>108</v>
      </c>
      <c r="BZ20" s="4">
        <f t="shared" si="1"/>
        <v>246</v>
      </c>
      <c r="CD20" s="5" t="str">
        <f>Lineup!$G$1</f>
        <v>一軍例行賽</v>
      </c>
      <c r="CE20" s="4">
        <f>Lineup!$I$1</f>
        <v>148</v>
      </c>
      <c r="CF20" s="5" t="str">
        <f>Lineup!$G$5</f>
        <v>王俊宏</v>
      </c>
      <c r="CG20" s="5" t="str">
        <f>Lineup!$G$4</f>
        <v>桃園</v>
      </c>
    </row>
    <row r="21" spans="1:85" x14ac:dyDescent="0.3">
      <c r="A21" s="43">
        <v>20</v>
      </c>
      <c r="B21" s="4">
        <v>0</v>
      </c>
      <c r="C21" s="4">
        <v>0</v>
      </c>
      <c r="D21" s="4">
        <v>1</v>
      </c>
      <c r="E21" s="4" t="s">
        <v>611</v>
      </c>
      <c r="F21" s="4" t="s">
        <v>343</v>
      </c>
      <c r="G21" s="4">
        <v>19</v>
      </c>
      <c r="H21" s="4">
        <v>9</v>
      </c>
      <c r="I21" s="4">
        <v>10</v>
      </c>
      <c r="J21" s="4">
        <v>2</v>
      </c>
      <c r="K21" s="4">
        <v>120</v>
      </c>
      <c r="L21" s="4" t="s">
        <v>646</v>
      </c>
      <c r="M21" s="4" t="s">
        <v>396</v>
      </c>
      <c r="N21" s="4" t="s">
        <v>642</v>
      </c>
      <c r="O21" s="4">
        <v>97.5</v>
      </c>
      <c r="P21" s="4">
        <v>127.5</v>
      </c>
      <c r="Q21" s="4" t="s">
        <v>641</v>
      </c>
      <c r="AB21" s="4" t="s">
        <v>266</v>
      </c>
      <c r="AD21" s="4" t="s">
        <v>383</v>
      </c>
      <c r="AO21" s="4">
        <v>1</v>
      </c>
      <c r="AP21" s="4">
        <v>2</v>
      </c>
      <c r="AQ21" s="4" t="s">
        <v>654</v>
      </c>
      <c r="AS21">
        <v>1</v>
      </c>
      <c r="AT21">
        <v>1</v>
      </c>
      <c r="AU21" s="33">
        <v>640.00000000000091</v>
      </c>
      <c r="AV21" s="36" t="s">
        <v>644</v>
      </c>
      <c r="AW21" s="4">
        <v>634.99999999999693</v>
      </c>
      <c r="AX21" s="4" t="str">
        <f>IFERROR(VLOOKUP(M21,Roster!$L$2:$M$27,2,FALSE),"")</f>
        <v>R</v>
      </c>
      <c r="AY21" s="4" t="str">
        <f t="shared" si="2"/>
        <v>1好1壞</v>
      </c>
      <c r="BI21" s="5" t="str">
        <f>Lineup!$G$2</f>
        <v>20210817</v>
      </c>
      <c r="BJ21" s="4" t="str">
        <f t="shared" si="3"/>
        <v>內角偏低</v>
      </c>
      <c r="BK21" s="4" t="str">
        <f t="shared" si="4"/>
        <v>13B2O</v>
      </c>
      <c r="BL21" s="4" t="str">
        <f>IFERROR(VLOOKUP(E21,Roster!$D$2:$E$27,2,FALSE),"")</f>
        <v>L</v>
      </c>
      <c r="BP21" s="49"/>
      <c r="BQ21" s="49"/>
      <c r="BR21" s="49"/>
      <c r="BS21" s="49"/>
      <c r="BT21" s="49"/>
      <c r="BU21" s="49"/>
      <c r="BY21" s="4">
        <f t="shared" si="0"/>
        <v>58.5</v>
      </c>
      <c r="BZ21" s="4">
        <f t="shared" si="1"/>
        <v>246</v>
      </c>
      <c r="CD21" s="5" t="str">
        <f>Lineup!$G$1</f>
        <v>一軍例行賽</v>
      </c>
      <c r="CE21" s="4">
        <f>Lineup!$I$1</f>
        <v>148</v>
      </c>
      <c r="CF21" s="5" t="str">
        <f>Lineup!$G$5</f>
        <v>王俊宏</v>
      </c>
      <c r="CG21" s="5" t="str">
        <f>Lineup!$G$4</f>
        <v>桃園</v>
      </c>
    </row>
    <row r="22" spans="1:85" x14ac:dyDescent="0.3">
      <c r="A22" s="4">
        <v>21</v>
      </c>
      <c r="B22" s="4">
        <v>0</v>
      </c>
      <c r="C22" s="4">
        <v>1</v>
      </c>
      <c r="D22" s="4">
        <v>1</v>
      </c>
      <c r="E22" s="4" t="s">
        <v>611</v>
      </c>
      <c r="F22" s="4" t="s">
        <v>343</v>
      </c>
      <c r="G22" s="4">
        <v>18</v>
      </c>
      <c r="H22" s="4">
        <v>7</v>
      </c>
      <c r="I22" s="4">
        <v>11</v>
      </c>
      <c r="J22" s="4">
        <v>2</v>
      </c>
      <c r="K22" s="4">
        <v>126</v>
      </c>
      <c r="L22" s="4" t="s">
        <v>668</v>
      </c>
      <c r="M22" s="4" t="s">
        <v>396</v>
      </c>
      <c r="N22" s="4" t="s">
        <v>642</v>
      </c>
      <c r="O22" s="4">
        <v>39</v>
      </c>
      <c r="P22" s="4">
        <v>96</v>
      </c>
      <c r="Q22" s="4" t="s">
        <v>641</v>
      </c>
      <c r="AA22" s="4" t="s">
        <v>671</v>
      </c>
      <c r="AC22" s="4" t="s">
        <v>266</v>
      </c>
      <c r="AE22" s="4" t="s">
        <v>673</v>
      </c>
      <c r="AF22" s="4" t="s">
        <v>672</v>
      </c>
      <c r="AG22" s="4" t="s">
        <v>672</v>
      </c>
      <c r="AO22" s="4">
        <v>1</v>
      </c>
      <c r="AP22" s="4">
        <v>3</v>
      </c>
      <c r="AQ22" s="4" t="s">
        <v>658</v>
      </c>
      <c r="AS22">
        <v>1</v>
      </c>
      <c r="AT22">
        <v>2</v>
      </c>
      <c r="AU22" s="33">
        <v>684.99999999999841</v>
      </c>
      <c r="AV22" s="36" t="s">
        <v>644</v>
      </c>
      <c r="AW22" s="4">
        <v>672.99999999999648</v>
      </c>
      <c r="AX22" s="4" t="str">
        <f>IFERROR(VLOOKUP(M22,Roster!$L$2:$M$27,2,FALSE),"")</f>
        <v>R</v>
      </c>
      <c r="AY22" s="4" t="str">
        <f t="shared" si="2"/>
        <v>1好2壞</v>
      </c>
      <c r="BI22" s="5" t="str">
        <f>Lineup!$G$2</f>
        <v>20210817</v>
      </c>
      <c r="BJ22" s="4" t="str">
        <f t="shared" si="3"/>
        <v>偏外角中</v>
      </c>
      <c r="BK22" s="4" t="str">
        <f t="shared" si="4"/>
        <v>13B2O</v>
      </c>
      <c r="BL22" s="4" t="str">
        <f>IFERROR(VLOOKUP(E22,Roster!$D$2:$E$27,2,FALSE),"")</f>
        <v>L</v>
      </c>
      <c r="BP22" s="49"/>
      <c r="BQ22" s="49"/>
      <c r="BR22" s="49"/>
      <c r="BS22" s="49"/>
      <c r="BT22" s="49"/>
      <c r="BU22" s="49"/>
      <c r="BY22" s="4">
        <f t="shared" si="0"/>
        <v>90</v>
      </c>
      <c r="BZ22" s="4">
        <f t="shared" si="1"/>
        <v>246</v>
      </c>
      <c r="CD22" s="5" t="str">
        <f>Lineup!$G$1</f>
        <v>一軍例行賽</v>
      </c>
      <c r="CE22" s="4">
        <f>Lineup!$I$1</f>
        <v>148</v>
      </c>
      <c r="CF22" s="5" t="str">
        <f>Lineup!$G$5</f>
        <v>王俊宏</v>
      </c>
      <c r="CG22" s="5" t="str">
        <f>Lineup!$G$4</f>
        <v>桃園</v>
      </c>
    </row>
    <row r="23" spans="1:85" x14ac:dyDescent="0.3">
      <c r="A23" s="4">
        <v>22</v>
      </c>
      <c r="B23" s="4">
        <v>0</v>
      </c>
      <c r="C23" s="4">
        <v>1</v>
      </c>
      <c r="D23" s="4">
        <v>1</v>
      </c>
      <c r="E23" s="4" t="s">
        <v>611</v>
      </c>
      <c r="F23" s="4" t="s">
        <v>343</v>
      </c>
      <c r="G23" s="4">
        <v>19</v>
      </c>
      <c r="H23" s="4">
        <v>8</v>
      </c>
      <c r="I23" s="4">
        <v>11</v>
      </c>
      <c r="J23" s="4">
        <v>2</v>
      </c>
      <c r="K23" s="4">
        <v>127</v>
      </c>
      <c r="L23" s="4" t="s">
        <v>646</v>
      </c>
      <c r="M23" s="4" t="s">
        <v>396</v>
      </c>
      <c r="N23" s="4" t="s">
        <v>642</v>
      </c>
      <c r="O23" s="4">
        <v>97.5</v>
      </c>
      <c r="P23" s="4">
        <v>79.5</v>
      </c>
      <c r="Q23" s="4" t="s">
        <v>639</v>
      </c>
      <c r="AC23" s="4" t="s">
        <v>266</v>
      </c>
      <c r="AO23" s="4">
        <v>2</v>
      </c>
      <c r="AP23" s="4">
        <v>3</v>
      </c>
      <c r="AQ23" s="4" t="s">
        <v>674</v>
      </c>
      <c r="AS23">
        <v>1</v>
      </c>
      <c r="AT23">
        <v>3</v>
      </c>
      <c r="AU23" s="33">
        <v>734.99999999999977</v>
      </c>
      <c r="AV23" s="36" t="s">
        <v>644</v>
      </c>
      <c r="AW23" s="4">
        <v>733.00000000000603</v>
      </c>
      <c r="AX23" s="4" t="str">
        <f>IFERROR(VLOOKUP(M23,Roster!$L$2:$M$27,2,FALSE),"")</f>
        <v>R</v>
      </c>
      <c r="AY23" s="4" t="str">
        <f t="shared" si="2"/>
        <v>1好3壞</v>
      </c>
      <c r="BI23" s="5" t="str">
        <f>Lineup!$G$2</f>
        <v>20210817</v>
      </c>
      <c r="BJ23" s="4" t="str">
        <f t="shared" si="3"/>
        <v>內角高</v>
      </c>
      <c r="BK23" s="4" t="str">
        <f t="shared" si="4"/>
        <v>2B2O</v>
      </c>
      <c r="BL23" s="4" t="str">
        <f>IFERROR(VLOOKUP(E23,Roster!$D$2:$E$27,2,FALSE),"")</f>
        <v>L</v>
      </c>
      <c r="BP23" s="49"/>
      <c r="BQ23" s="49"/>
      <c r="BR23" s="49"/>
      <c r="BS23" s="49"/>
      <c r="BT23" s="49"/>
      <c r="BU23" s="49"/>
      <c r="BY23" s="4">
        <f t="shared" si="0"/>
        <v>106.5</v>
      </c>
      <c r="BZ23" s="4">
        <f t="shared" si="1"/>
        <v>246</v>
      </c>
      <c r="CD23" s="5" t="str">
        <f>Lineup!$G$1</f>
        <v>一軍例行賽</v>
      </c>
      <c r="CE23" s="4">
        <f>Lineup!$I$1</f>
        <v>148</v>
      </c>
      <c r="CF23" s="5" t="str">
        <f>Lineup!$G$5</f>
        <v>王俊宏</v>
      </c>
      <c r="CG23" s="5" t="str">
        <f>Lineup!$G$4</f>
        <v>桃園</v>
      </c>
    </row>
    <row r="24" spans="1:85" x14ac:dyDescent="0.3">
      <c r="A24" s="4">
        <v>23</v>
      </c>
      <c r="B24" s="4">
        <v>0</v>
      </c>
      <c r="C24" s="4">
        <v>1</v>
      </c>
      <c r="D24" s="4">
        <v>1</v>
      </c>
      <c r="E24" s="4" t="s">
        <v>611</v>
      </c>
      <c r="F24" s="4" t="s">
        <v>343</v>
      </c>
      <c r="G24" s="4">
        <v>20</v>
      </c>
      <c r="H24" s="4">
        <v>9</v>
      </c>
      <c r="I24" s="4">
        <v>11</v>
      </c>
      <c r="J24" s="4">
        <v>3</v>
      </c>
      <c r="K24" s="4">
        <v>144</v>
      </c>
      <c r="L24" s="4" t="s">
        <v>643</v>
      </c>
      <c r="M24" s="4" t="s">
        <v>396</v>
      </c>
      <c r="N24" s="4" t="s">
        <v>649</v>
      </c>
      <c r="O24" s="4">
        <v>90</v>
      </c>
      <c r="P24" s="4">
        <v>64.5</v>
      </c>
      <c r="Q24" s="4" t="s">
        <v>639</v>
      </c>
      <c r="R24" s="5" t="s">
        <v>676</v>
      </c>
      <c r="S24" s="4">
        <v>156</v>
      </c>
      <c r="T24" s="4">
        <v>139.5</v>
      </c>
      <c r="U24" s="4" t="s">
        <v>376</v>
      </c>
      <c r="AC24" s="4" t="s">
        <v>266</v>
      </c>
      <c r="AE24" s="4" t="s">
        <v>661</v>
      </c>
      <c r="AF24" s="4" t="s">
        <v>661</v>
      </c>
      <c r="AG24" s="4" t="s">
        <v>661</v>
      </c>
      <c r="AJ24" s="4" t="s">
        <v>396</v>
      </c>
      <c r="AK24" s="4">
        <v>1</v>
      </c>
      <c r="AM24" s="4">
        <v>1</v>
      </c>
      <c r="AO24" s="4">
        <v>3</v>
      </c>
      <c r="AP24" s="4">
        <v>3</v>
      </c>
      <c r="AQ24" s="4" t="s">
        <v>675</v>
      </c>
      <c r="AR24" s="4" t="s">
        <v>677</v>
      </c>
      <c r="AS24">
        <v>2</v>
      </c>
      <c r="AT24">
        <v>3</v>
      </c>
      <c r="AU24" s="33">
        <v>771.99999999999272</v>
      </c>
      <c r="AV24" s="36" t="s">
        <v>644</v>
      </c>
      <c r="AW24" s="4">
        <v>764.0000000000075</v>
      </c>
      <c r="AX24" s="4" t="str">
        <f>IFERROR(VLOOKUP(M24,Roster!$L$2:$M$27,2,FALSE),"")</f>
        <v>R</v>
      </c>
      <c r="AY24" s="4" t="str">
        <f t="shared" si="2"/>
        <v>2好3壞</v>
      </c>
      <c r="BI24" s="5" t="str">
        <f>Lineup!$G$2</f>
        <v>20210817</v>
      </c>
      <c r="BJ24" s="4" t="str">
        <f t="shared" si="3"/>
        <v>內角高</v>
      </c>
      <c r="BK24" s="4" t="str">
        <f t="shared" si="4"/>
        <v>2B2O</v>
      </c>
      <c r="BL24" s="4" t="str">
        <f>IFERROR(VLOOKUP(E24,Roster!$D$2:$E$27,2,FALSE),"")</f>
        <v>L</v>
      </c>
      <c r="BP24" s="49"/>
      <c r="BQ24" s="49"/>
      <c r="BR24" s="49"/>
      <c r="BS24" s="49"/>
      <c r="BT24" s="49"/>
      <c r="BU24" s="49"/>
      <c r="BY24" s="4">
        <f t="shared" si="0"/>
        <v>121.5</v>
      </c>
      <c r="BZ24" s="4">
        <f t="shared" si="1"/>
        <v>106.5</v>
      </c>
      <c r="CD24" s="5" t="str">
        <f>Lineup!$G$1</f>
        <v>一軍例行賽</v>
      </c>
      <c r="CE24" s="4">
        <f>Lineup!$I$1</f>
        <v>148</v>
      </c>
      <c r="CF24" s="5" t="str">
        <f>Lineup!$G$5</f>
        <v>王俊宏</v>
      </c>
      <c r="CG24" s="5" t="str">
        <f>Lineup!$G$4</f>
        <v>桃園</v>
      </c>
    </row>
    <row r="25" spans="1:85" x14ac:dyDescent="0.3">
      <c r="A25" s="4">
        <v>24</v>
      </c>
      <c r="B25" s="4">
        <v>0</v>
      </c>
      <c r="C25" s="4">
        <v>1</v>
      </c>
      <c r="D25" s="4">
        <v>2</v>
      </c>
      <c r="E25" s="4" t="s">
        <v>611</v>
      </c>
      <c r="F25" s="4" t="s">
        <v>343</v>
      </c>
      <c r="G25" s="4">
        <v>21</v>
      </c>
      <c r="H25" s="4">
        <v>10</v>
      </c>
      <c r="I25" s="4">
        <v>11</v>
      </c>
      <c r="J25" s="4">
        <v>0</v>
      </c>
      <c r="L25" s="4" t="s">
        <v>643</v>
      </c>
      <c r="M25" s="4" t="s">
        <v>346</v>
      </c>
      <c r="N25" s="4" t="s">
        <v>642</v>
      </c>
      <c r="O25" s="4">
        <v>105.75</v>
      </c>
      <c r="P25" s="4">
        <v>69</v>
      </c>
      <c r="Q25" s="4" t="s">
        <v>639</v>
      </c>
      <c r="AO25" s="4">
        <v>1</v>
      </c>
      <c r="AP25" s="4">
        <v>0</v>
      </c>
      <c r="AQ25" s="4" t="s">
        <v>640</v>
      </c>
      <c r="AS25">
        <v>0</v>
      </c>
      <c r="AT25">
        <v>0</v>
      </c>
      <c r="AU25" s="33">
        <v>1470.9999999999966</v>
      </c>
      <c r="AV25" s="36" t="s">
        <v>644</v>
      </c>
      <c r="AW25" s="4">
        <v>1467</v>
      </c>
      <c r="AX25" s="4" t="str">
        <f>IFERROR(VLOOKUP(M25,Roster!$L$2:$M$27,2,FALSE),"")</f>
        <v>R</v>
      </c>
      <c r="AY25" s="4" t="str">
        <f t="shared" si="2"/>
        <v>0好0壞</v>
      </c>
      <c r="BI25" s="5" t="str">
        <f>Lineup!$G$2</f>
        <v>20210817</v>
      </c>
      <c r="BJ25" s="4" t="str">
        <f t="shared" si="3"/>
        <v>偏內角高</v>
      </c>
      <c r="BK25" s="4" t="str">
        <f t="shared" si="4"/>
        <v>2B3O</v>
      </c>
      <c r="BL25" s="4" t="str">
        <f>IFERROR(VLOOKUP(E25,Roster!$D$2:$E$27,2,FALSE),"")</f>
        <v>L</v>
      </c>
      <c r="BP25" s="49"/>
      <c r="BQ25" s="49"/>
      <c r="BR25" s="49"/>
      <c r="BS25" s="49"/>
      <c r="BT25" s="49"/>
      <c r="BU25" s="49"/>
      <c r="BY25" s="4">
        <f t="shared" si="0"/>
        <v>117</v>
      </c>
      <c r="BZ25" s="4">
        <f t="shared" si="1"/>
        <v>246</v>
      </c>
      <c r="CD25" s="5" t="str">
        <f>Lineup!$G$1</f>
        <v>一軍例行賽</v>
      </c>
      <c r="CE25" s="4">
        <f>Lineup!$I$1</f>
        <v>148</v>
      </c>
      <c r="CF25" s="5" t="str">
        <f>Lineup!$G$5</f>
        <v>王俊宏</v>
      </c>
      <c r="CG25" s="5" t="str">
        <f>Lineup!$G$4</f>
        <v>桃園</v>
      </c>
    </row>
    <row r="26" spans="1:85" x14ac:dyDescent="0.3">
      <c r="A26" s="4">
        <v>25</v>
      </c>
      <c r="B26" s="4">
        <v>0</v>
      </c>
      <c r="C26" s="4">
        <v>1</v>
      </c>
      <c r="D26" s="4">
        <v>2</v>
      </c>
      <c r="E26" s="4" t="s">
        <v>611</v>
      </c>
      <c r="F26" s="4" t="s">
        <v>343</v>
      </c>
      <c r="G26" s="4">
        <v>22</v>
      </c>
      <c r="H26" s="4">
        <v>11</v>
      </c>
      <c r="I26" s="4">
        <v>11</v>
      </c>
      <c r="J26" s="4">
        <v>0</v>
      </c>
      <c r="K26" s="4">
        <v>122</v>
      </c>
      <c r="L26" s="4" t="s">
        <v>689</v>
      </c>
      <c r="M26" s="4" t="s">
        <v>346</v>
      </c>
      <c r="N26" s="4" t="s">
        <v>649</v>
      </c>
      <c r="O26" s="4">
        <v>93.75</v>
      </c>
      <c r="P26" s="4">
        <v>138.75</v>
      </c>
      <c r="Q26" s="4" t="s">
        <v>639</v>
      </c>
      <c r="R26" s="5" t="s">
        <v>690</v>
      </c>
      <c r="AO26" s="4">
        <v>2</v>
      </c>
      <c r="AP26" s="4">
        <v>0</v>
      </c>
      <c r="AQ26" s="4" t="s">
        <v>662</v>
      </c>
      <c r="AS26">
        <v>1</v>
      </c>
      <c r="AT26">
        <v>0</v>
      </c>
      <c r="AU26" s="33">
        <v>1485.9999999999989</v>
      </c>
      <c r="AV26" s="36" t="s">
        <v>644</v>
      </c>
      <c r="AW26" s="4">
        <v>1481.9999999999918</v>
      </c>
      <c r="AX26" s="4" t="str">
        <f>IFERROR(VLOOKUP(M26,Roster!$L$2:$M$27,2,FALSE),"")</f>
        <v>R</v>
      </c>
      <c r="AY26" s="4" t="str">
        <f t="shared" si="2"/>
        <v>1好0壞</v>
      </c>
      <c r="BI26" s="5" t="str">
        <f>Lineup!$G$2</f>
        <v>20210817</v>
      </c>
      <c r="BJ26" s="4" t="str">
        <f t="shared" si="3"/>
        <v>內角偏低</v>
      </c>
      <c r="BK26" s="4" t="str">
        <f t="shared" si="4"/>
        <v>B0O</v>
      </c>
      <c r="BL26" s="4" t="str">
        <f>IFERROR(VLOOKUP(E26,Roster!$D$2:$E$27,2,FALSE),"")</f>
        <v>L</v>
      </c>
      <c r="BP26" s="49"/>
      <c r="BQ26" s="49"/>
      <c r="BR26" s="49"/>
      <c r="BS26" s="49"/>
      <c r="BT26" s="49"/>
      <c r="BU26" s="49"/>
      <c r="BY26" s="4">
        <f t="shared" si="0"/>
        <v>47.25</v>
      </c>
      <c r="BZ26" s="4">
        <f t="shared" si="1"/>
        <v>246</v>
      </c>
      <c r="CD26" s="5" t="str">
        <f>Lineup!$G$1</f>
        <v>一軍例行賽</v>
      </c>
      <c r="CE26" s="4">
        <f>Lineup!$I$1</f>
        <v>148</v>
      </c>
      <c r="CF26" s="5" t="str">
        <f>Lineup!$G$5</f>
        <v>王俊宏</v>
      </c>
      <c r="CG26" s="5" t="str">
        <f>Lineup!$G$4</f>
        <v>桃園</v>
      </c>
    </row>
    <row r="27" spans="1:85" x14ac:dyDescent="0.3">
      <c r="A27" s="4">
        <v>26</v>
      </c>
      <c r="B27" s="4">
        <v>0</v>
      </c>
      <c r="C27" s="4">
        <v>1</v>
      </c>
      <c r="D27" s="4">
        <v>2</v>
      </c>
      <c r="E27" s="4" t="s">
        <v>611</v>
      </c>
      <c r="F27" s="4" t="s">
        <v>343</v>
      </c>
      <c r="G27" s="4">
        <v>23</v>
      </c>
      <c r="H27" s="4">
        <v>12</v>
      </c>
      <c r="I27" s="4">
        <v>11</v>
      </c>
      <c r="J27" s="4">
        <v>1</v>
      </c>
      <c r="K27" s="4">
        <v>140</v>
      </c>
      <c r="L27" s="4" t="s">
        <v>643</v>
      </c>
      <c r="M27" s="4" t="s">
        <v>346</v>
      </c>
      <c r="N27" s="4" t="s">
        <v>642</v>
      </c>
      <c r="O27" s="4">
        <v>108.75</v>
      </c>
      <c r="P27" s="4">
        <v>120.75</v>
      </c>
      <c r="Q27" s="4" t="s">
        <v>639</v>
      </c>
      <c r="R27" s="5" t="s">
        <v>693</v>
      </c>
      <c r="AH27" s="4" t="s">
        <v>346</v>
      </c>
      <c r="AK27" s="4">
        <v>1</v>
      </c>
      <c r="AM27" s="4">
        <v>1</v>
      </c>
      <c r="AO27" s="4">
        <v>3</v>
      </c>
      <c r="AP27" s="4">
        <v>0</v>
      </c>
      <c r="AQ27" s="4" t="s">
        <v>691</v>
      </c>
      <c r="AR27" s="4" t="s">
        <v>692</v>
      </c>
      <c r="AS27">
        <v>2</v>
      </c>
      <c r="AT27">
        <v>0</v>
      </c>
      <c r="AU27" s="33">
        <v>1507.9999999999895</v>
      </c>
      <c r="AV27" s="36" t="s">
        <v>644</v>
      </c>
      <c r="AW27" s="4">
        <v>1503.0000000000048</v>
      </c>
      <c r="AX27" s="4" t="str">
        <f>IFERROR(VLOOKUP(M27,Roster!$L$2:$M$27,2,FALSE),"")</f>
        <v>R</v>
      </c>
      <c r="AY27" s="4" t="str">
        <f t="shared" si="2"/>
        <v>2好0壞</v>
      </c>
      <c r="BI27" s="5" t="str">
        <f>Lineup!$G$2</f>
        <v>20210817</v>
      </c>
      <c r="BJ27" s="4" t="str">
        <f t="shared" si="3"/>
        <v>偏內角低</v>
      </c>
      <c r="BK27" s="4" t="str">
        <f t="shared" si="4"/>
        <v>B0O</v>
      </c>
      <c r="BL27" s="4" t="str">
        <f>IFERROR(VLOOKUP(E27,Roster!$D$2:$E$27,2,FALSE),"")</f>
        <v>L</v>
      </c>
      <c r="BP27" s="49"/>
      <c r="BQ27" s="49"/>
      <c r="BR27" s="49"/>
      <c r="BS27" s="49"/>
      <c r="BT27" s="49"/>
      <c r="BU27" s="49"/>
      <c r="BY27" s="4">
        <f t="shared" si="0"/>
        <v>65.25</v>
      </c>
      <c r="BZ27" s="4">
        <f t="shared" si="1"/>
        <v>246</v>
      </c>
      <c r="CD27" s="5" t="str">
        <f>Lineup!$G$1</f>
        <v>一軍例行賽</v>
      </c>
      <c r="CE27" s="4">
        <f>Lineup!$I$1</f>
        <v>148</v>
      </c>
      <c r="CF27" s="5" t="str">
        <f>Lineup!$G$5</f>
        <v>王俊宏</v>
      </c>
      <c r="CG27" s="5" t="str">
        <f>Lineup!$G$4</f>
        <v>桃園</v>
      </c>
    </row>
    <row r="28" spans="1:85" x14ac:dyDescent="0.3">
      <c r="A28" s="4">
        <v>27</v>
      </c>
      <c r="B28" s="4">
        <v>0</v>
      </c>
      <c r="C28" s="4">
        <v>1</v>
      </c>
      <c r="D28" s="4">
        <v>2</v>
      </c>
      <c r="E28" s="4" t="s">
        <v>611</v>
      </c>
      <c r="F28" s="4" t="s">
        <v>343</v>
      </c>
      <c r="G28" s="4">
        <v>24</v>
      </c>
      <c r="H28" s="4">
        <v>12</v>
      </c>
      <c r="I28" s="4">
        <v>12</v>
      </c>
      <c r="J28" s="4">
        <v>1</v>
      </c>
      <c r="K28" s="4">
        <v>126</v>
      </c>
      <c r="L28" s="4" t="s">
        <v>646</v>
      </c>
      <c r="M28" s="4" t="s">
        <v>360</v>
      </c>
      <c r="N28" s="4" t="s">
        <v>642</v>
      </c>
      <c r="O28" s="4">
        <v>108.75</v>
      </c>
      <c r="P28" s="4">
        <v>150</v>
      </c>
      <c r="Q28" s="4" t="s">
        <v>641</v>
      </c>
      <c r="AO28" s="4">
        <v>0</v>
      </c>
      <c r="AP28" s="4">
        <v>1</v>
      </c>
      <c r="AQ28" s="4" t="s">
        <v>652</v>
      </c>
      <c r="AS28">
        <v>0</v>
      </c>
      <c r="AT28">
        <v>0</v>
      </c>
      <c r="AU28" s="33">
        <v>1541.9999999999916</v>
      </c>
      <c r="AV28" s="36" t="s">
        <v>644</v>
      </c>
      <c r="AW28" s="4">
        <v>1536.9999999999973</v>
      </c>
      <c r="AX28" s="4" t="str">
        <f>IFERROR(VLOOKUP(M28,Roster!$L$2:$M$27,2,FALSE),"")</f>
        <v>L</v>
      </c>
      <c r="AY28" s="4" t="str">
        <f t="shared" si="2"/>
        <v>0好0壞</v>
      </c>
      <c r="BI28" s="5" t="str">
        <f>Lineup!$G$2</f>
        <v>20210817</v>
      </c>
      <c r="BJ28" s="4" t="str">
        <f t="shared" si="3"/>
        <v>偏外角偏低</v>
      </c>
      <c r="BK28" s="4" t="str">
        <f t="shared" si="4"/>
        <v>B1O</v>
      </c>
      <c r="BL28" s="4" t="str">
        <f>IFERROR(VLOOKUP(E28,Roster!$D$2:$E$27,2,FALSE),"")</f>
        <v>L</v>
      </c>
      <c r="BP28" s="49"/>
      <c r="BQ28" s="49"/>
      <c r="BR28" s="49"/>
      <c r="BS28" s="49"/>
      <c r="BT28" s="49"/>
      <c r="BU28" s="49"/>
      <c r="BY28" s="4">
        <f t="shared" si="0"/>
        <v>36</v>
      </c>
      <c r="BZ28" s="4">
        <f t="shared" si="1"/>
        <v>246</v>
      </c>
      <c r="CD28" s="5" t="str">
        <f>Lineup!$G$1</f>
        <v>一軍例行賽</v>
      </c>
      <c r="CE28" s="4">
        <f>Lineup!$I$1</f>
        <v>148</v>
      </c>
      <c r="CF28" s="5" t="str">
        <f>Lineup!$G$5</f>
        <v>王俊宏</v>
      </c>
      <c r="CG28" s="5" t="str">
        <f>Lineup!$G$4</f>
        <v>桃園</v>
      </c>
    </row>
    <row r="29" spans="1:85" x14ac:dyDescent="0.3">
      <c r="A29" s="4">
        <v>28</v>
      </c>
      <c r="B29" s="4">
        <v>0</v>
      </c>
      <c r="C29" s="4">
        <v>1</v>
      </c>
      <c r="D29" s="4">
        <v>2</v>
      </c>
      <c r="E29" s="4" t="s">
        <v>611</v>
      </c>
      <c r="F29" s="4" t="s">
        <v>343</v>
      </c>
      <c r="G29" s="4">
        <v>25</v>
      </c>
      <c r="H29" s="4">
        <v>13</v>
      </c>
      <c r="I29" s="4">
        <v>12</v>
      </c>
      <c r="J29" s="4">
        <v>1</v>
      </c>
      <c r="K29" s="4">
        <v>138</v>
      </c>
      <c r="L29" s="4" t="s">
        <v>643</v>
      </c>
      <c r="M29" s="4" t="s">
        <v>360</v>
      </c>
      <c r="N29" s="4" t="s">
        <v>642</v>
      </c>
      <c r="O29" s="4">
        <v>97.5</v>
      </c>
      <c r="P29" s="4">
        <v>109.5</v>
      </c>
      <c r="Q29" s="4" t="s">
        <v>639</v>
      </c>
      <c r="AO29" s="4">
        <v>1</v>
      </c>
      <c r="AP29" s="4">
        <v>1</v>
      </c>
      <c r="AQ29" s="4" t="s">
        <v>645</v>
      </c>
      <c r="AS29">
        <v>0</v>
      </c>
      <c r="AT29">
        <v>1</v>
      </c>
      <c r="AU29" s="33">
        <v>1555.999999999997</v>
      </c>
      <c r="AV29" s="36" t="s">
        <v>644</v>
      </c>
      <c r="AW29" s="4">
        <v>1551.9999999999995</v>
      </c>
      <c r="AX29" s="4" t="str">
        <f>IFERROR(VLOOKUP(M29,Roster!$L$2:$M$27,2,FALSE),"")</f>
        <v>L</v>
      </c>
      <c r="AY29" s="4" t="str">
        <f t="shared" si="2"/>
        <v>0好1壞</v>
      </c>
      <c r="BI29" s="5" t="str">
        <f>Lineup!$G$2</f>
        <v>20210817</v>
      </c>
      <c r="BJ29" s="4" t="str">
        <f t="shared" si="3"/>
        <v>外角低</v>
      </c>
      <c r="BK29" s="4" t="str">
        <f t="shared" si="4"/>
        <v>B1O</v>
      </c>
      <c r="BL29" s="4" t="str">
        <f>IFERROR(VLOOKUP(E29,Roster!$D$2:$E$27,2,FALSE),"")</f>
        <v>L</v>
      </c>
      <c r="BP29" s="49"/>
      <c r="BQ29" s="49"/>
      <c r="BR29" s="49"/>
      <c r="BS29" s="49"/>
      <c r="BT29" s="49"/>
      <c r="BU29" s="49"/>
      <c r="BY29" s="4">
        <f t="shared" si="0"/>
        <v>76.5</v>
      </c>
      <c r="BZ29" s="4">
        <f t="shared" si="1"/>
        <v>246</v>
      </c>
      <c r="CD29" s="5" t="str">
        <f>Lineup!$G$1</f>
        <v>一軍例行賽</v>
      </c>
      <c r="CE29" s="4">
        <f>Lineup!$I$1</f>
        <v>148</v>
      </c>
      <c r="CF29" s="5" t="str">
        <f>Lineup!$G$5</f>
        <v>王俊宏</v>
      </c>
      <c r="CG29" s="5" t="str">
        <f>Lineup!$G$4</f>
        <v>桃園</v>
      </c>
    </row>
    <row r="30" spans="1:85" x14ac:dyDescent="0.3">
      <c r="A30" s="4">
        <v>29</v>
      </c>
      <c r="B30" s="4">
        <v>0</v>
      </c>
      <c r="C30" s="4">
        <v>1</v>
      </c>
      <c r="D30" s="4">
        <v>2</v>
      </c>
      <c r="E30" s="4" t="s">
        <v>611</v>
      </c>
      <c r="F30" s="4" t="s">
        <v>343</v>
      </c>
      <c r="G30" s="4">
        <v>26</v>
      </c>
      <c r="H30" s="4">
        <v>13</v>
      </c>
      <c r="I30" s="4">
        <v>13</v>
      </c>
      <c r="J30" s="4">
        <v>1</v>
      </c>
      <c r="K30" s="4">
        <v>138</v>
      </c>
      <c r="L30" s="4" t="s">
        <v>643</v>
      </c>
      <c r="M30" s="4" t="s">
        <v>360</v>
      </c>
      <c r="N30" s="4" t="s">
        <v>642</v>
      </c>
      <c r="O30" s="4">
        <v>112.5</v>
      </c>
      <c r="P30" s="4">
        <v>144.75</v>
      </c>
      <c r="Q30" s="4" t="s">
        <v>641</v>
      </c>
      <c r="AO30" s="4">
        <v>1</v>
      </c>
      <c r="AP30" s="4">
        <v>2</v>
      </c>
      <c r="AQ30" s="4" t="s">
        <v>654</v>
      </c>
      <c r="AS30">
        <v>1</v>
      </c>
      <c r="AT30">
        <v>1</v>
      </c>
      <c r="AU30" s="33">
        <v>1569.9999999999927</v>
      </c>
      <c r="AV30" s="36" t="s">
        <v>644</v>
      </c>
      <c r="AW30" s="4">
        <v>1564.9999999999889</v>
      </c>
      <c r="AX30" s="4" t="str">
        <f>IFERROR(VLOOKUP(M30,Roster!$L$2:$M$27,2,FALSE),"")</f>
        <v>L</v>
      </c>
      <c r="AY30" s="4" t="str">
        <f t="shared" si="2"/>
        <v>1好1壞</v>
      </c>
      <c r="BI30" s="5" t="str">
        <f>Lineup!$G$2</f>
        <v>20210817</v>
      </c>
      <c r="BJ30" s="4" t="str">
        <f t="shared" si="3"/>
        <v>偏外角偏低</v>
      </c>
      <c r="BK30" s="4" t="str">
        <f t="shared" si="4"/>
        <v>B1O</v>
      </c>
      <c r="BL30" s="4" t="str">
        <f>IFERROR(VLOOKUP(E30,Roster!$D$2:$E$27,2,FALSE),"")</f>
        <v>L</v>
      </c>
      <c r="BP30" s="49"/>
      <c r="BQ30" s="49"/>
      <c r="BR30" s="49"/>
      <c r="BS30" s="49"/>
      <c r="BT30" s="49"/>
      <c r="BU30" s="49"/>
      <c r="BY30" s="4">
        <f t="shared" si="0"/>
        <v>41.25</v>
      </c>
      <c r="BZ30" s="4">
        <f t="shared" si="1"/>
        <v>246</v>
      </c>
      <c r="CD30" s="5" t="str">
        <f>Lineup!$G$1</f>
        <v>一軍例行賽</v>
      </c>
      <c r="CE30" s="4">
        <f>Lineup!$I$1</f>
        <v>148</v>
      </c>
      <c r="CF30" s="5" t="str">
        <f>Lineup!$G$5</f>
        <v>王俊宏</v>
      </c>
      <c r="CG30" s="5" t="str">
        <f>Lineup!$G$4</f>
        <v>桃園</v>
      </c>
    </row>
    <row r="31" spans="1:85" x14ac:dyDescent="0.3">
      <c r="A31" s="4">
        <v>30</v>
      </c>
      <c r="B31" s="4">
        <v>0</v>
      </c>
      <c r="C31" s="4">
        <v>1</v>
      </c>
      <c r="D31" s="4">
        <v>2</v>
      </c>
      <c r="E31" s="4" t="s">
        <v>611</v>
      </c>
      <c r="F31" s="4" t="s">
        <v>343</v>
      </c>
      <c r="G31" s="4">
        <v>27</v>
      </c>
      <c r="H31" s="4">
        <v>13</v>
      </c>
      <c r="I31" s="4">
        <v>14</v>
      </c>
      <c r="J31" s="4">
        <v>1</v>
      </c>
      <c r="L31" s="4" t="s">
        <v>643</v>
      </c>
      <c r="M31" s="4" t="s">
        <v>360</v>
      </c>
      <c r="N31" s="4" t="s">
        <v>642</v>
      </c>
      <c r="O31" s="4">
        <v>120</v>
      </c>
      <c r="P31" s="4">
        <v>149.25</v>
      </c>
      <c r="Q31" s="4" t="s">
        <v>641</v>
      </c>
      <c r="AO31" s="4">
        <v>1</v>
      </c>
      <c r="AP31" s="4">
        <v>3</v>
      </c>
      <c r="AQ31" s="4" t="s">
        <v>658</v>
      </c>
      <c r="AS31">
        <v>1</v>
      </c>
      <c r="AT31">
        <v>2</v>
      </c>
      <c r="AU31" s="33">
        <v>1586.0000000000018</v>
      </c>
      <c r="AV31" s="36" t="s">
        <v>644</v>
      </c>
      <c r="AW31" s="4">
        <v>1583.0000000000014</v>
      </c>
      <c r="AX31" s="4" t="str">
        <f>IFERROR(VLOOKUP(M31,Roster!$L$2:$M$27,2,FALSE),"")</f>
        <v>L</v>
      </c>
      <c r="AY31" s="4" t="str">
        <f t="shared" si="2"/>
        <v>1好2壞</v>
      </c>
      <c r="BI31" s="5" t="str">
        <f>Lineup!$G$2</f>
        <v>20210817</v>
      </c>
      <c r="BJ31" s="4" t="str">
        <f t="shared" si="3"/>
        <v>偏外角偏低</v>
      </c>
      <c r="BK31" s="4" t="str">
        <f t="shared" si="4"/>
        <v>B1O</v>
      </c>
      <c r="BL31" s="4" t="str">
        <f>IFERROR(VLOOKUP(E31,Roster!$D$2:$E$27,2,FALSE),"")</f>
        <v>L</v>
      </c>
      <c r="BP31" s="49"/>
      <c r="BQ31" s="49"/>
      <c r="BR31" s="49"/>
      <c r="BS31" s="49"/>
      <c r="BT31" s="49"/>
      <c r="BU31" s="49"/>
      <c r="BY31" s="4">
        <f t="shared" si="0"/>
        <v>36.75</v>
      </c>
      <c r="BZ31" s="4">
        <f t="shared" si="1"/>
        <v>246</v>
      </c>
      <c r="CD31" s="5" t="str">
        <f>Lineup!$G$1</f>
        <v>一軍例行賽</v>
      </c>
      <c r="CE31" s="4">
        <f>Lineup!$I$1</f>
        <v>148</v>
      </c>
      <c r="CF31" s="5" t="str">
        <f>Lineup!$G$5</f>
        <v>王俊宏</v>
      </c>
      <c r="CG31" s="5" t="str">
        <f>Lineup!$G$4</f>
        <v>桃園</v>
      </c>
    </row>
    <row r="32" spans="1:85" x14ac:dyDescent="0.3">
      <c r="A32" s="4">
        <v>31</v>
      </c>
      <c r="B32" s="4">
        <v>0</v>
      </c>
      <c r="C32" s="4">
        <v>2</v>
      </c>
      <c r="D32" s="4">
        <v>2</v>
      </c>
      <c r="E32" s="4" t="s">
        <v>611</v>
      </c>
      <c r="F32" s="4" t="s">
        <v>343</v>
      </c>
      <c r="G32" s="4">
        <v>28</v>
      </c>
      <c r="H32" s="4">
        <v>14</v>
      </c>
      <c r="I32" s="4">
        <v>14</v>
      </c>
      <c r="J32" s="4">
        <v>1</v>
      </c>
      <c r="K32" s="4">
        <v>143</v>
      </c>
      <c r="L32" s="4" t="s">
        <v>643</v>
      </c>
      <c r="M32" s="4" t="s">
        <v>360</v>
      </c>
      <c r="N32" s="4" t="s">
        <v>649</v>
      </c>
      <c r="O32" s="4">
        <v>90</v>
      </c>
      <c r="P32" s="4">
        <v>60.75</v>
      </c>
      <c r="Q32" s="4" t="s">
        <v>109</v>
      </c>
      <c r="R32" s="5" t="s">
        <v>695</v>
      </c>
      <c r="AE32" s="4" t="s">
        <v>360</v>
      </c>
      <c r="AF32" s="4" t="s">
        <v>694</v>
      </c>
      <c r="AG32" s="4" t="s">
        <v>694</v>
      </c>
      <c r="AM32" s="4">
        <v>1</v>
      </c>
      <c r="AO32" s="4">
        <v>2</v>
      </c>
      <c r="AP32" s="4">
        <v>3</v>
      </c>
      <c r="AQ32" s="4" t="s">
        <v>674</v>
      </c>
      <c r="AS32">
        <v>1</v>
      </c>
      <c r="AT32">
        <v>3</v>
      </c>
      <c r="AU32" s="33">
        <v>1622.9999999999948</v>
      </c>
      <c r="AV32" s="36" t="s">
        <v>644</v>
      </c>
      <c r="AW32" s="4">
        <v>1605</v>
      </c>
      <c r="AX32" s="4" t="str">
        <f>IFERROR(VLOOKUP(M32,Roster!$L$2:$M$27,2,FALSE),"")</f>
        <v>L</v>
      </c>
      <c r="AY32" s="4" t="str">
        <f t="shared" si="2"/>
        <v>1好3壞</v>
      </c>
      <c r="BI32" s="5" t="str">
        <f>Lineup!$G$2</f>
        <v>20210817</v>
      </c>
      <c r="BJ32" s="4" t="str">
        <f t="shared" si="3"/>
        <v>外角高</v>
      </c>
      <c r="BK32" s="4" t="str">
        <f t="shared" si="4"/>
        <v>B1O</v>
      </c>
      <c r="BL32" s="4" t="str">
        <f>IFERROR(VLOOKUP(E32,Roster!$D$2:$E$27,2,FALSE),"")</f>
        <v>L</v>
      </c>
      <c r="BP32" s="49"/>
      <c r="BQ32" s="49"/>
      <c r="BR32" s="49"/>
      <c r="BS32" s="49"/>
      <c r="BT32" s="49"/>
      <c r="BU32" s="49"/>
      <c r="BY32" s="4">
        <f t="shared" si="0"/>
        <v>125.25</v>
      </c>
      <c r="BZ32" s="4">
        <f t="shared" si="1"/>
        <v>246</v>
      </c>
      <c r="CD32" s="5" t="str">
        <f>Lineup!$G$1</f>
        <v>一軍例行賽</v>
      </c>
      <c r="CE32" s="4">
        <f>Lineup!$I$1</f>
        <v>148</v>
      </c>
      <c r="CF32" s="5" t="str">
        <f>Lineup!$G$5</f>
        <v>王俊宏</v>
      </c>
      <c r="CG32" s="5" t="str">
        <f>Lineup!$G$4</f>
        <v>桃園</v>
      </c>
    </row>
    <row r="33" spans="1:85" x14ac:dyDescent="0.3">
      <c r="A33" s="4">
        <v>32</v>
      </c>
      <c r="B33" s="4">
        <v>0</v>
      </c>
      <c r="C33" s="4">
        <v>2</v>
      </c>
      <c r="D33" s="4">
        <v>2</v>
      </c>
      <c r="E33" s="4" t="s">
        <v>611</v>
      </c>
      <c r="F33" s="4" t="s">
        <v>343</v>
      </c>
      <c r="G33" s="4">
        <v>29</v>
      </c>
      <c r="H33" s="4">
        <v>15</v>
      </c>
      <c r="I33" s="4">
        <v>14</v>
      </c>
      <c r="J33" s="4">
        <v>1</v>
      </c>
      <c r="L33" s="4" t="s">
        <v>643</v>
      </c>
      <c r="M33" s="4" t="s">
        <v>341</v>
      </c>
      <c r="N33" s="4" t="s">
        <v>649</v>
      </c>
      <c r="O33" s="4">
        <v>90.75</v>
      </c>
      <c r="P33" s="4">
        <v>56.25</v>
      </c>
      <c r="Q33" s="4" t="s">
        <v>639</v>
      </c>
      <c r="R33" s="5" t="s">
        <v>690</v>
      </c>
      <c r="AO33" s="4">
        <v>1</v>
      </c>
      <c r="AP33" s="4">
        <v>0</v>
      </c>
      <c r="AQ33" s="4" t="s">
        <v>640</v>
      </c>
      <c r="AS33">
        <v>0</v>
      </c>
      <c r="AT33">
        <v>0</v>
      </c>
      <c r="AU33" s="33">
        <v>1662.9999999999977</v>
      </c>
      <c r="AV33" s="36" t="s">
        <v>644</v>
      </c>
      <c r="AW33" s="4">
        <v>1660.0000000000068</v>
      </c>
      <c r="AX33" s="4" t="str">
        <f>IFERROR(VLOOKUP(M33,Roster!$L$2:$M$27,2,FALSE),"")</f>
        <v>R</v>
      </c>
      <c r="AY33" s="4" t="str">
        <f t="shared" si="2"/>
        <v>0好0壞</v>
      </c>
      <c r="BI33" s="5" t="str">
        <f>Lineup!$G$2</f>
        <v>20210817</v>
      </c>
      <c r="BJ33" s="4" t="str">
        <f t="shared" si="3"/>
        <v>內角偏高</v>
      </c>
      <c r="BK33" s="4" t="str">
        <f t="shared" si="4"/>
        <v>B1O</v>
      </c>
      <c r="BL33" s="4" t="str">
        <f>IFERROR(VLOOKUP(E33,Roster!$D$2:$E$27,2,FALSE),"")</f>
        <v>L</v>
      </c>
      <c r="BP33" s="49"/>
      <c r="BQ33" s="49"/>
      <c r="BR33" s="49"/>
      <c r="BS33" s="49"/>
      <c r="BT33" s="49"/>
      <c r="BU33" s="49"/>
      <c r="BY33" s="4">
        <f t="shared" si="0"/>
        <v>129.75</v>
      </c>
      <c r="BZ33" s="4">
        <f t="shared" si="1"/>
        <v>246</v>
      </c>
      <c r="CD33" s="5" t="str">
        <f>Lineup!$G$1</f>
        <v>一軍例行賽</v>
      </c>
      <c r="CE33" s="4">
        <f>Lineup!$I$1</f>
        <v>148</v>
      </c>
      <c r="CF33" s="5" t="str">
        <f>Lineup!$G$5</f>
        <v>王俊宏</v>
      </c>
      <c r="CG33" s="5" t="str">
        <f>Lineup!$G$4</f>
        <v>桃園</v>
      </c>
    </row>
    <row r="34" spans="1:85" x14ac:dyDescent="0.3">
      <c r="A34" s="4">
        <v>33</v>
      </c>
      <c r="B34" s="4">
        <v>0</v>
      </c>
      <c r="C34" s="4">
        <v>2</v>
      </c>
      <c r="D34" s="4">
        <v>2</v>
      </c>
      <c r="E34" s="4" t="s">
        <v>611</v>
      </c>
      <c r="F34" s="4" t="s">
        <v>343</v>
      </c>
      <c r="G34" s="4">
        <v>30</v>
      </c>
      <c r="H34" s="4">
        <v>15</v>
      </c>
      <c r="I34" s="4">
        <v>15</v>
      </c>
      <c r="J34" s="4">
        <v>1</v>
      </c>
      <c r="K34" s="4">
        <v>119</v>
      </c>
      <c r="L34" s="4" t="s">
        <v>689</v>
      </c>
      <c r="M34" s="4" t="s">
        <v>341</v>
      </c>
      <c r="N34" s="4" t="s">
        <v>642</v>
      </c>
      <c r="O34" s="4">
        <v>70.5</v>
      </c>
      <c r="P34" s="4">
        <v>60</v>
      </c>
      <c r="Q34" s="4" t="s">
        <v>641</v>
      </c>
      <c r="AO34" s="4">
        <v>1</v>
      </c>
      <c r="AP34" s="4">
        <v>1</v>
      </c>
      <c r="AQ34" s="4" t="s">
        <v>645</v>
      </c>
      <c r="AS34">
        <v>1</v>
      </c>
      <c r="AT34">
        <v>0</v>
      </c>
      <c r="AU34" s="33">
        <v>1678</v>
      </c>
      <c r="AV34" s="36" t="s">
        <v>644</v>
      </c>
      <c r="AW34" s="4">
        <v>1674.0000000000027</v>
      </c>
      <c r="AX34" s="4" t="str">
        <f>IFERROR(VLOOKUP(M34,Roster!$L$2:$M$27,2,FALSE),"")</f>
        <v>R</v>
      </c>
      <c r="AY34" s="4" t="str">
        <f t="shared" si="2"/>
        <v>1好0壞</v>
      </c>
      <c r="BI34" s="5" t="str">
        <f>Lineup!$G$2</f>
        <v>20210817</v>
      </c>
      <c r="BJ34" s="4" t="str">
        <f t="shared" si="3"/>
        <v>中高</v>
      </c>
      <c r="BK34" s="4" t="str">
        <f t="shared" si="4"/>
        <v>B1O</v>
      </c>
      <c r="BL34" s="4" t="str">
        <f>IFERROR(VLOOKUP(E34,Roster!$D$2:$E$27,2,FALSE),"")</f>
        <v>L</v>
      </c>
      <c r="BP34" s="49"/>
      <c r="BQ34" s="49"/>
      <c r="BR34" s="49"/>
      <c r="BS34" s="49"/>
      <c r="BT34" s="49"/>
      <c r="BU34" s="49"/>
      <c r="BY34" s="4">
        <f t="shared" si="0"/>
        <v>126</v>
      </c>
      <c r="BZ34" s="4">
        <f t="shared" si="1"/>
        <v>246</v>
      </c>
      <c r="CD34" s="5" t="str">
        <f>Lineup!$G$1</f>
        <v>一軍例行賽</v>
      </c>
      <c r="CE34" s="4">
        <f>Lineup!$I$1</f>
        <v>148</v>
      </c>
      <c r="CF34" s="5" t="str">
        <f>Lineup!$G$5</f>
        <v>王俊宏</v>
      </c>
      <c r="CG34" s="5" t="str">
        <f>Lineup!$G$4</f>
        <v>桃園</v>
      </c>
    </row>
    <row r="35" spans="1:85" x14ac:dyDescent="0.3">
      <c r="A35" s="4">
        <v>34</v>
      </c>
      <c r="B35" s="4">
        <v>0</v>
      </c>
      <c r="C35" s="4">
        <v>2</v>
      </c>
      <c r="D35" s="4">
        <v>2</v>
      </c>
      <c r="E35" s="4" t="s">
        <v>611</v>
      </c>
      <c r="F35" s="4" t="s">
        <v>343</v>
      </c>
      <c r="G35" s="4">
        <v>31</v>
      </c>
      <c r="H35" s="4">
        <v>15</v>
      </c>
      <c r="I35" s="4">
        <v>16</v>
      </c>
      <c r="J35" s="4">
        <v>1</v>
      </c>
      <c r="K35" s="4">
        <v>121</v>
      </c>
      <c r="L35" s="4" t="s">
        <v>689</v>
      </c>
      <c r="M35" s="4" t="s">
        <v>341</v>
      </c>
      <c r="N35" s="4" t="s">
        <v>642</v>
      </c>
      <c r="O35" s="4">
        <v>114</v>
      </c>
      <c r="P35" s="4">
        <v>129</v>
      </c>
      <c r="Q35" s="4" t="s">
        <v>641</v>
      </c>
      <c r="AO35" s="4">
        <v>1</v>
      </c>
      <c r="AP35" s="4">
        <v>2</v>
      </c>
      <c r="AQ35" s="4" t="s">
        <v>654</v>
      </c>
      <c r="AS35">
        <v>1</v>
      </c>
      <c r="AT35">
        <v>1</v>
      </c>
      <c r="AU35" s="33">
        <v>1695.9999999999934</v>
      </c>
      <c r="AV35" s="36" t="s">
        <v>644</v>
      </c>
      <c r="AW35" s="4">
        <v>1690.9999999999893</v>
      </c>
      <c r="AX35" s="4" t="str">
        <f>IFERROR(VLOOKUP(M35,Roster!$L$2:$M$27,2,FALSE),"")</f>
        <v>R</v>
      </c>
      <c r="AY35" s="4" t="str">
        <f t="shared" si="2"/>
        <v>1好1壞</v>
      </c>
      <c r="BI35" s="5" t="str">
        <f>Lineup!$G$2</f>
        <v>20210817</v>
      </c>
      <c r="BJ35" s="4" t="str">
        <f t="shared" si="3"/>
        <v>偏內角偏低</v>
      </c>
      <c r="BK35" s="4" t="str">
        <f t="shared" si="4"/>
        <v>B1O</v>
      </c>
      <c r="BL35" s="4" t="str">
        <f>IFERROR(VLOOKUP(E35,Roster!$D$2:$E$27,2,FALSE),"")</f>
        <v>L</v>
      </c>
      <c r="BP35" s="49"/>
      <c r="BQ35" s="49"/>
      <c r="BR35" s="49"/>
      <c r="BS35" s="49"/>
      <c r="BT35" s="49"/>
      <c r="BU35" s="49"/>
      <c r="BY35" s="4">
        <f t="shared" si="0"/>
        <v>57</v>
      </c>
      <c r="BZ35" s="4">
        <f t="shared" si="1"/>
        <v>246</v>
      </c>
      <c r="CD35" s="5" t="str">
        <f>Lineup!$G$1</f>
        <v>一軍例行賽</v>
      </c>
      <c r="CE35" s="4">
        <f>Lineup!$I$1</f>
        <v>148</v>
      </c>
      <c r="CF35" s="5" t="str">
        <f>Lineup!$G$5</f>
        <v>王俊宏</v>
      </c>
      <c r="CG35" s="5" t="str">
        <f>Lineup!$G$4</f>
        <v>桃園</v>
      </c>
    </row>
    <row r="36" spans="1:85" x14ac:dyDescent="0.3">
      <c r="A36" s="4">
        <v>35</v>
      </c>
      <c r="B36" s="4">
        <v>0</v>
      </c>
      <c r="C36" s="4">
        <v>2</v>
      </c>
      <c r="D36" s="4">
        <v>2</v>
      </c>
      <c r="E36" s="4" t="s">
        <v>611</v>
      </c>
      <c r="F36" s="4" t="s">
        <v>343</v>
      </c>
      <c r="G36" s="4">
        <v>32</v>
      </c>
      <c r="H36" s="4">
        <v>16</v>
      </c>
      <c r="I36" s="4">
        <v>16</v>
      </c>
      <c r="J36" s="4">
        <v>1</v>
      </c>
      <c r="K36" s="4">
        <v>119</v>
      </c>
      <c r="L36" s="4" t="s">
        <v>689</v>
      </c>
      <c r="M36" s="4" t="s">
        <v>341</v>
      </c>
      <c r="N36" s="4" t="s">
        <v>642</v>
      </c>
      <c r="O36" s="4">
        <v>97.5</v>
      </c>
      <c r="P36" s="4">
        <v>110.25</v>
      </c>
      <c r="Q36" s="4" t="s">
        <v>639</v>
      </c>
      <c r="AO36" s="4">
        <v>2</v>
      </c>
      <c r="AP36" s="4">
        <v>2</v>
      </c>
      <c r="AQ36" s="4" t="s">
        <v>655</v>
      </c>
      <c r="AS36">
        <v>1</v>
      </c>
      <c r="AT36">
        <v>2</v>
      </c>
      <c r="AU36" s="33">
        <v>1713.9999999999961</v>
      </c>
      <c r="AV36" s="36" t="s">
        <v>644</v>
      </c>
      <c r="AW36" s="4">
        <v>1709.9999999999891</v>
      </c>
      <c r="AX36" s="4" t="str">
        <f>IFERROR(VLOOKUP(M36,Roster!$L$2:$M$27,2,FALSE),"")</f>
        <v>R</v>
      </c>
      <c r="AY36" s="4" t="str">
        <f t="shared" si="2"/>
        <v>1好2壞</v>
      </c>
      <c r="BI36" s="5" t="str">
        <f>Lineup!$G$2</f>
        <v>20210817</v>
      </c>
      <c r="BJ36" s="4" t="str">
        <f t="shared" si="3"/>
        <v>內角低</v>
      </c>
      <c r="BK36" s="4" t="str">
        <f t="shared" si="4"/>
        <v>B1O</v>
      </c>
      <c r="BL36" s="4" t="str">
        <f>IFERROR(VLOOKUP(E36,Roster!$D$2:$E$27,2,FALSE),"")</f>
        <v>L</v>
      </c>
      <c r="BP36" s="49"/>
      <c r="BQ36" s="49"/>
      <c r="BR36" s="49"/>
      <c r="BS36" s="49"/>
      <c r="BT36" s="49"/>
      <c r="BU36" s="49"/>
      <c r="BY36" s="4">
        <f t="shared" si="0"/>
        <v>75.75</v>
      </c>
      <c r="BZ36" s="4">
        <f t="shared" si="1"/>
        <v>246</v>
      </c>
      <c r="CD36" s="5" t="str">
        <f>Lineup!$G$1</f>
        <v>一軍例行賽</v>
      </c>
      <c r="CE36" s="4">
        <f>Lineup!$I$1</f>
        <v>148</v>
      </c>
      <c r="CF36" s="5" t="str">
        <f>Lineup!$G$5</f>
        <v>王俊宏</v>
      </c>
      <c r="CG36" s="5" t="str">
        <f>Lineup!$G$4</f>
        <v>桃園</v>
      </c>
    </row>
    <row r="37" spans="1:85" x14ac:dyDescent="0.3">
      <c r="A37" s="4">
        <v>36</v>
      </c>
      <c r="B37" s="4">
        <v>0</v>
      </c>
      <c r="C37" s="4">
        <v>2</v>
      </c>
      <c r="D37" s="4">
        <v>2</v>
      </c>
      <c r="E37" s="4" t="s">
        <v>611</v>
      </c>
      <c r="F37" s="4" t="s">
        <v>343</v>
      </c>
      <c r="G37" s="4">
        <v>33</v>
      </c>
      <c r="H37" s="4">
        <v>17</v>
      </c>
      <c r="I37" s="4">
        <v>16</v>
      </c>
      <c r="J37" s="4">
        <v>1</v>
      </c>
      <c r="K37" s="4">
        <v>142</v>
      </c>
      <c r="L37" s="4" t="s">
        <v>643</v>
      </c>
      <c r="M37" s="4" t="s">
        <v>341</v>
      </c>
      <c r="N37" s="4" t="s">
        <v>649</v>
      </c>
      <c r="O37" s="4">
        <v>91.5</v>
      </c>
      <c r="P37" s="4">
        <v>81.75</v>
      </c>
      <c r="Q37" s="4" t="s">
        <v>639</v>
      </c>
      <c r="R37" s="5" t="s">
        <v>696</v>
      </c>
      <c r="AO37" s="4">
        <v>2</v>
      </c>
      <c r="AP37" s="4">
        <v>2</v>
      </c>
      <c r="AQ37" s="4" t="s">
        <v>655</v>
      </c>
      <c r="AS37">
        <v>2</v>
      </c>
      <c r="AT37">
        <v>2</v>
      </c>
      <c r="AU37" s="33">
        <v>1729.9999999999955</v>
      </c>
      <c r="AV37" s="36" t="s">
        <v>644</v>
      </c>
      <c r="AW37" s="4">
        <v>1725.999999999998</v>
      </c>
      <c r="AX37" s="4" t="str">
        <f>IFERROR(VLOOKUP(M37,Roster!$L$2:$M$27,2,FALSE),"")</f>
        <v>R</v>
      </c>
      <c r="AY37" s="4" t="str">
        <f t="shared" si="2"/>
        <v>2好2壞</v>
      </c>
      <c r="BI37" s="5" t="str">
        <f>Lineup!$G$2</f>
        <v>20210817</v>
      </c>
      <c r="BJ37" s="4" t="str">
        <f t="shared" si="3"/>
        <v>內角中</v>
      </c>
      <c r="BK37" s="4" t="str">
        <f t="shared" si="4"/>
        <v>B1O</v>
      </c>
      <c r="BL37" s="4" t="str">
        <f>IFERROR(VLOOKUP(E37,Roster!$D$2:$E$27,2,FALSE),"")</f>
        <v>L</v>
      </c>
      <c r="BP37" s="49"/>
      <c r="BQ37" s="49"/>
      <c r="BR37" s="49"/>
      <c r="BS37" s="49"/>
      <c r="BT37" s="49"/>
      <c r="BU37" s="49"/>
      <c r="BY37" s="4">
        <f t="shared" si="0"/>
        <v>104.25</v>
      </c>
      <c r="BZ37" s="4">
        <f t="shared" si="1"/>
        <v>246</v>
      </c>
      <c r="CD37" s="5" t="str">
        <f>Lineup!$G$1</f>
        <v>一軍例行賽</v>
      </c>
      <c r="CE37" s="4">
        <f>Lineup!$I$1</f>
        <v>148</v>
      </c>
      <c r="CF37" s="5" t="str">
        <f>Lineup!$G$5</f>
        <v>王俊宏</v>
      </c>
      <c r="CG37" s="5" t="str">
        <f>Lineup!$G$4</f>
        <v>桃園</v>
      </c>
    </row>
    <row r="38" spans="1:85" x14ac:dyDescent="0.3">
      <c r="A38" s="4">
        <v>37</v>
      </c>
      <c r="B38" s="4">
        <v>0</v>
      </c>
      <c r="C38" s="4">
        <v>2</v>
      </c>
      <c r="D38" s="4">
        <v>2</v>
      </c>
      <c r="E38" s="4" t="s">
        <v>611</v>
      </c>
      <c r="F38" s="4" t="s">
        <v>343</v>
      </c>
      <c r="G38" s="4">
        <v>34</v>
      </c>
      <c r="H38" s="4">
        <v>18</v>
      </c>
      <c r="I38" s="4">
        <v>16</v>
      </c>
      <c r="J38" s="4">
        <v>1</v>
      </c>
      <c r="K38" s="4">
        <v>128</v>
      </c>
      <c r="L38" s="4" t="s">
        <v>646</v>
      </c>
      <c r="M38" s="4" t="s">
        <v>341</v>
      </c>
      <c r="N38" s="4" t="s">
        <v>649</v>
      </c>
      <c r="O38" s="4">
        <v>47.25</v>
      </c>
      <c r="P38" s="4">
        <v>113.25</v>
      </c>
      <c r="Q38" s="4" t="s">
        <v>639</v>
      </c>
      <c r="R38" s="5" t="s">
        <v>696</v>
      </c>
      <c r="AO38" s="4">
        <v>2</v>
      </c>
      <c r="AP38" s="4">
        <v>2</v>
      </c>
      <c r="AQ38" s="4" t="s">
        <v>655</v>
      </c>
      <c r="AS38">
        <v>2</v>
      </c>
      <c r="AT38">
        <v>2</v>
      </c>
      <c r="AU38" s="33">
        <v>1755.9999999999932</v>
      </c>
      <c r="AV38" s="36" t="s">
        <v>644</v>
      </c>
      <c r="AW38" s="4">
        <v>1750.9999999999986</v>
      </c>
      <c r="AX38" s="4" t="str">
        <f>IFERROR(VLOOKUP(M38,Roster!$L$2:$M$27,2,FALSE),"")</f>
        <v>R</v>
      </c>
      <c r="AY38" s="4" t="str">
        <f t="shared" si="2"/>
        <v>2好2壞</v>
      </c>
      <c r="BI38" s="5" t="str">
        <f>Lineup!$G$2</f>
        <v>20210817</v>
      </c>
      <c r="BJ38" s="4" t="str">
        <f t="shared" si="3"/>
        <v>外角低</v>
      </c>
      <c r="BK38" s="4" t="str">
        <f t="shared" si="4"/>
        <v>B1O</v>
      </c>
      <c r="BL38" s="4" t="str">
        <f>IFERROR(VLOOKUP(E38,Roster!$D$2:$E$27,2,FALSE),"")</f>
        <v>L</v>
      </c>
      <c r="BP38" s="49"/>
      <c r="BQ38" s="49"/>
      <c r="BR38" s="49"/>
      <c r="BS38" s="49"/>
      <c r="BT38" s="49"/>
      <c r="BU38" s="49"/>
      <c r="BY38" s="4">
        <f t="shared" si="0"/>
        <v>72.75</v>
      </c>
      <c r="BZ38" s="4">
        <f t="shared" si="1"/>
        <v>246</v>
      </c>
      <c r="CD38" s="5" t="str">
        <f>Lineup!$G$1</f>
        <v>一軍例行賽</v>
      </c>
      <c r="CE38" s="4">
        <f>Lineup!$I$1</f>
        <v>148</v>
      </c>
      <c r="CF38" s="5" t="str">
        <f>Lineup!$G$5</f>
        <v>王俊宏</v>
      </c>
      <c r="CG38" s="5" t="str">
        <f>Lineup!$G$4</f>
        <v>桃園</v>
      </c>
    </row>
    <row r="39" spans="1:85" x14ac:dyDescent="0.3">
      <c r="A39" s="4">
        <v>38</v>
      </c>
      <c r="B39" s="4">
        <v>0</v>
      </c>
      <c r="C39" s="4">
        <v>2</v>
      </c>
      <c r="D39" s="4">
        <v>2</v>
      </c>
      <c r="E39" s="4" t="s">
        <v>611</v>
      </c>
      <c r="F39" s="4" t="s">
        <v>343</v>
      </c>
      <c r="G39" s="4">
        <v>35</v>
      </c>
      <c r="H39" s="4">
        <v>18</v>
      </c>
      <c r="I39" s="4">
        <v>17</v>
      </c>
      <c r="J39" s="4">
        <v>1</v>
      </c>
      <c r="K39" s="4">
        <v>141</v>
      </c>
      <c r="L39" s="4" t="s">
        <v>643</v>
      </c>
      <c r="M39" s="4" t="s">
        <v>341</v>
      </c>
      <c r="N39" s="4" t="s">
        <v>642</v>
      </c>
      <c r="O39" s="4">
        <v>110.25</v>
      </c>
      <c r="P39" s="4">
        <v>66.75</v>
      </c>
      <c r="Q39" s="4" t="s">
        <v>641</v>
      </c>
      <c r="AO39" s="4">
        <v>2</v>
      </c>
      <c r="AP39" s="4">
        <v>3</v>
      </c>
      <c r="AQ39" s="4" t="s">
        <v>674</v>
      </c>
      <c r="AS39">
        <v>2</v>
      </c>
      <c r="AT39">
        <v>2</v>
      </c>
      <c r="AU39" s="33">
        <v>1779.9999999999968</v>
      </c>
      <c r="AV39" s="36" t="s">
        <v>644</v>
      </c>
      <c r="AW39" s="4">
        <v>1775.9999999999995</v>
      </c>
      <c r="AX39" s="4" t="str">
        <f>IFERROR(VLOOKUP(M39,Roster!$L$2:$M$27,2,FALSE),"")</f>
        <v>R</v>
      </c>
      <c r="AY39" s="4" t="str">
        <f t="shared" si="2"/>
        <v>2好2壞</v>
      </c>
      <c r="BI39" s="5" t="str">
        <f>Lineup!$G$2</f>
        <v>20210817</v>
      </c>
      <c r="BJ39" s="4" t="str">
        <f t="shared" si="3"/>
        <v>偏內角高</v>
      </c>
      <c r="BK39" s="4" t="str">
        <f t="shared" si="4"/>
        <v>B1O</v>
      </c>
      <c r="BL39" s="4" t="str">
        <f>IFERROR(VLOOKUP(E39,Roster!$D$2:$E$27,2,FALSE),"")</f>
        <v>L</v>
      </c>
      <c r="BP39" s="49"/>
      <c r="BQ39" s="49"/>
      <c r="BR39" s="49"/>
      <c r="BS39" s="49"/>
      <c r="BT39" s="49"/>
      <c r="BU39" s="49"/>
      <c r="BY39" s="4">
        <f t="shared" si="0"/>
        <v>119.25</v>
      </c>
      <c r="BZ39" s="4">
        <f t="shared" si="1"/>
        <v>246</v>
      </c>
      <c r="CD39" s="5" t="str">
        <f>Lineup!$G$1</f>
        <v>一軍例行賽</v>
      </c>
      <c r="CE39" s="4">
        <f>Lineup!$I$1</f>
        <v>148</v>
      </c>
      <c r="CF39" s="5" t="str">
        <f>Lineup!$G$5</f>
        <v>王俊宏</v>
      </c>
      <c r="CG39" s="5" t="str">
        <f>Lineup!$G$4</f>
        <v>桃園</v>
      </c>
    </row>
    <row r="40" spans="1:85" x14ac:dyDescent="0.3">
      <c r="A40" s="4">
        <v>39</v>
      </c>
      <c r="B40" s="4">
        <v>0</v>
      </c>
      <c r="C40" s="4">
        <v>2</v>
      </c>
      <c r="D40" s="4">
        <v>2</v>
      </c>
      <c r="E40" s="4" t="s">
        <v>611</v>
      </c>
      <c r="F40" s="4" t="s">
        <v>343</v>
      </c>
      <c r="G40" s="4">
        <v>36</v>
      </c>
      <c r="H40" s="4">
        <v>19</v>
      </c>
      <c r="I40" s="4">
        <v>17</v>
      </c>
      <c r="J40" s="4">
        <v>2</v>
      </c>
      <c r="K40" s="4">
        <v>137</v>
      </c>
      <c r="L40" s="4" t="s">
        <v>643</v>
      </c>
      <c r="M40" s="4" t="s">
        <v>341</v>
      </c>
      <c r="N40" s="4" t="s">
        <v>649</v>
      </c>
      <c r="O40" s="4">
        <v>89.25</v>
      </c>
      <c r="P40" s="4">
        <v>98.25</v>
      </c>
      <c r="Q40" s="4" t="s">
        <v>639</v>
      </c>
      <c r="R40" s="5" t="s">
        <v>676</v>
      </c>
      <c r="S40" s="4">
        <v>193.5</v>
      </c>
      <c r="T40" s="4">
        <v>178.5</v>
      </c>
      <c r="U40" s="4" t="s">
        <v>352</v>
      </c>
      <c r="AI40" s="4" t="s">
        <v>341</v>
      </c>
      <c r="AK40" s="4">
        <v>1</v>
      </c>
      <c r="AM40" s="4">
        <v>1</v>
      </c>
      <c r="AO40" s="4">
        <v>3</v>
      </c>
      <c r="AP40" s="4">
        <v>3</v>
      </c>
      <c r="AQ40" s="4" t="s">
        <v>675</v>
      </c>
      <c r="AR40" s="4" t="s">
        <v>697</v>
      </c>
      <c r="AS40">
        <v>2</v>
      </c>
      <c r="AT40">
        <v>3</v>
      </c>
      <c r="AU40" s="33">
        <v>1807.0000000000011</v>
      </c>
      <c r="AV40" s="36" t="s">
        <v>644</v>
      </c>
      <c r="AW40" s="4">
        <v>1797.99999999999</v>
      </c>
      <c r="AX40" s="4" t="str">
        <f>IFERROR(VLOOKUP(M40,Roster!$L$2:$M$27,2,FALSE),"")</f>
        <v>R</v>
      </c>
      <c r="AY40" s="4" t="str">
        <f t="shared" si="2"/>
        <v>2好3壞</v>
      </c>
      <c r="BI40" s="5" t="str">
        <f>Lineup!$G$2</f>
        <v>20210817</v>
      </c>
      <c r="BJ40" s="4" t="str">
        <f t="shared" si="3"/>
        <v>內角中</v>
      </c>
      <c r="BK40" s="4" t="str">
        <f t="shared" si="4"/>
        <v>B1O</v>
      </c>
      <c r="BL40" s="4" t="str">
        <f>IFERROR(VLOOKUP(E40,Roster!$D$2:$E$27,2,FALSE),"")</f>
        <v>L</v>
      </c>
      <c r="BP40" s="49"/>
      <c r="BQ40" s="49"/>
      <c r="BR40" s="49"/>
      <c r="BS40" s="49"/>
      <c r="BT40" s="49"/>
      <c r="BU40" s="49"/>
      <c r="BY40" s="4">
        <f t="shared" si="0"/>
        <v>87.75</v>
      </c>
      <c r="BZ40" s="4">
        <f t="shared" si="1"/>
        <v>67.5</v>
      </c>
      <c r="CD40" s="5" t="str">
        <f>Lineup!$G$1</f>
        <v>一軍例行賽</v>
      </c>
      <c r="CE40" s="4">
        <f>Lineup!$I$1</f>
        <v>148</v>
      </c>
      <c r="CF40" s="5" t="str">
        <f>Lineup!$G$5</f>
        <v>王俊宏</v>
      </c>
      <c r="CG40" s="5" t="str">
        <f>Lineup!$G$4</f>
        <v>桃園</v>
      </c>
    </row>
    <row r="41" spans="1:85" x14ac:dyDescent="0.3">
      <c r="A41" s="4">
        <v>40</v>
      </c>
      <c r="B41" s="4">
        <v>0</v>
      </c>
      <c r="C41" s="4">
        <v>2</v>
      </c>
      <c r="D41" s="4">
        <v>2</v>
      </c>
      <c r="E41" s="4" t="s">
        <v>611</v>
      </c>
      <c r="F41" s="4" t="s">
        <v>343</v>
      </c>
      <c r="G41" s="4">
        <v>37</v>
      </c>
      <c r="H41" s="4">
        <v>20</v>
      </c>
      <c r="I41" s="4">
        <v>17</v>
      </c>
      <c r="J41" s="4">
        <v>2</v>
      </c>
      <c r="L41" s="4" t="s">
        <v>643</v>
      </c>
      <c r="M41" s="4" t="s">
        <v>231</v>
      </c>
      <c r="N41" s="4" t="s">
        <v>642</v>
      </c>
      <c r="O41" s="4">
        <v>89.25</v>
      </c>
      <c r="P41" s="4">
        <v>103.5</v>
      </c>
      <c r="Q41" s="4" t="s">
        <v>639</v>
      </c>
      <c r="AO41" s="4">
        <v>1</v>
      </c>
      <c r="AP41" s="4">
        <v>0</v>
      </c>
      <c r="AQ41" s="4" t="s">
        <v>640</v>
      </c>
      <c r="AS41">
        <v>0</v>
      </c>
      <c r="AT41">
        <v>0</v>
      </c>
      <c r="AU41" s="33">
        <v>1840.9999999999936</v>
      </c>
      <c r="AV41" s="36" t="s">
        <v>644</v>
      </c>
      <c r="AW41" s="4">
        <v>1835.9999999999895</v>
      </c>
      <c r="AX41" s="4" t="str">
        <f>IFERROR(VLOOKUP(M41,Roster!$L$2:$M$27,2,FALSE),"")</f>
        <v>L</v>
      </c>
      <c r="AY41" s="4" t="str">
        <f t="shared" si="2"/>
        <v>0好0壞</v>
      </c>
      <c r="BI41" s="5" t="str">
        <f>Lineup!$G$2</f>
        <v>20210817</v>
      </c>
      <c r="BJ41" s="4" t="str">
        <f t="shared" si="3"/>
        <v>外角低</v>
      </c>
      <c r="BK41" s="4" t="str">
        <f t="shared" si="4"/>
        <v>B2O</v>
      </c>
      <c r="BL41" s="4" t="str">
        <f>IFERROR(VLOOKUP(E41,Roster!$D$2:$E$27,2,FALSE),"")</f>
        <v>L</v>
      </c>
      <c r="BP41" s="49"/>
      <c r="BQ41" s="49"/>
      <c r="BR41" s="49"/>
      <c r="BS41" s="49"/>
      <c r="BT41" s="49"/>
      <c r="BU41" s="49"/>
      <c r="BY41" s="4">
        <f t="shared" si="0"/>
        <v>82.5</v>
      </c>
      <c r="BZ41" s="4">
        <f t="shared" si="1"/>
        <v>246</v>
      </c>
      <c r="CD41" s="5" t="str">
        <f>Lineup!$G$1</f>
        <v>一軍例行賽</v>
      </c>
      <c r="CE41" s="4">
        <f>Lineup!$I$1</f>
        <v>148</v>
      </c>
      <c r="CF41" s="5" t="str">
        <f>Lineup!$G$5</f>
        <v>王俊宏</v>
      </c>
      <c r="CG41" s="5" t="str">
        <f>Lineup!$G$4</f>
        <v>桃園</v>
      </c>
    </row>
    <row r="42" spans="1:85" x14ac:dyDescent="0.3">
      <c r="A42" s="4">
        <v>41</v>
      </c>
      <c r="B42" s="4">
        <v>0</v>
      </c>
      <c r="C42" s="4">
        <v>2</v>
      </c>
      <c r="D42" s="4">
        <v>2</v>
      </c>
      <c r="E42" s="4" t="s">
        <v>611</v>
      </c>
      <c r="F42" s="4" t="s">
        <v>343</v>
      </c>
      <c r="G42" s="4">
        <v>38</v>
      </c>
      <c r="H42" s="4">
        <v>21</v>
      </c>
      <c r="I42" s="4">
        <v>17</v>
      </c>
      <c r="J42" s="4">
        <v>2</v>
      </c>
      <c r="K42" s="4">
        <v>122</v>
      </c>
      <c r="L42" s="4" t="s">
        <v>646</v>
      </c>
      <c r="M42" s="4" t="s">
        <v>231</v>
      </c>
      <c r="N42" s="4" t="s">
        <v>649</v>
      </c>
      <c r="O42" s="4">
        <v>90</v>
      </c>
      <c r="P42" s="4">
        <v>110.25</v>
      </c>
      <c r="Q42" s="4" t="s">
        <v>109</v>
      </c>
      <c r="R42" s="5" t="s">
        <v>678</v>
      </c>
      <c r="S42" s="4">
        <v>180</v>
      </c>
      <c r="T42" s="4">
        <v>165.75</v>
      </c>
      <c r="U42" s="4" t="s">
        <v>543</v>
      </c>
      <c r="AB42" s="4" t="s">
        <v>231</v>
      </c>
      <c r="AM42" s="4">
        <v>1</v>
      </c>
      <c r="AO42" s="4">
        <v>2</v>
      </c>
      <c r="AP42" s="4">
        <v>0</v>
      </c>
      <c r="AQ42" s="4" t="s">
        <v>662</v>
      </c>
      <c r="AS42">
        <v>1</v>
      </c>
      <c r="AT42">
        <v>0</v>
      </c>
      <c r="AU42" s="33">
        <v>1861</v>
      </c>
      <c r="AV42" s="36" t="s">
        <v>644</v>
      </c>
      <c r="AW42" s="4">
        <v>1852.9999999999955</v>
      </c>
      <c r="AX42" s="4" t="str">
        <f>IFERROR(VLOOKUP(M42,Roster!$L$2:$M$27,2,FALSE),"")</f>
        <v>L</v>
      </c>
      <c r="AY42" s="4" t="str">
        <f t="shared" si="2"/>
        <v>1好0壞</v>
      </c>
      <c r="BI42" s="5" t="str">
        <f>Lineup!$G$2</f>
        <v>20210817</v>
      </c>
      <c r="BJ42" s="4" t="str">
        <f t="shared" si="3"/>
        <v>外角低</v>
      </c>
      <c r="BK42" s="4" t="str">
        <f t="shared" si="4"/>
        <v>B2O</v>
      </c>
      <c r="BL42" s="4" t="str">
        <f>IFERROR(VLOOKUP(E42,Roster!$D$2:$E$27,2,FALSE),"")</f>
        <v>L</v>
      </c>
      <c r="BP42" s="49"/>
      <c r="BQ42" s="49"/>
      <c r="BR42" s="49"/>
      <c r="BS42" s="49"/>
      <c r="BT42" s="49"/>
      <c r="BU42" s="49"/>
      <c r="BY42" s="4">
        <f t="shared" si="0"/>
        <v>75.75</v>
      </c>
      <c r="BZ42" s="4">
        <f t="shared" si="1"/>
        <v>80.25</v>
      </c>
      <c r="CD42" s="5" t="str">
        <f>Lineup!$G$1</f>
        <v>一軍例行賽</v>
      </c>
      <c r="CE42" s="4">
        <f>Lineup!$I$1</f>
        <v>148</v>
      </c>
      <c r="CF42" s="5" t="str">
        <f>Lineup!$G$5</f>
        <v>王俊宏</v>
      </c>
      <c r="CG42" s="5" t="str">
        <f>Lineup!$G$4</f>
        <v>桃園</v>
      </c>
    </row>
    <row r="43" spans="1:85" x14ac:dyDescent="0.3">
      <c r="A43" s="4">
        <v>42</v>
      </c>
      <c r="B43" s="4">
        <v>0</v>
      </c>
      <c r="C43" s="4">
        <v>2</v>
      </c>
      <c r="D43" s="4">
        <v>2</v>
      </c>
      <c r="E43" s="4" t="s">
        <v>611</v>
      </c>
      <c r="F43" s="4" t="s">
        <v>343</v>
      </c>
      <c r="G43" s="4">
        <v>38</v>
      </c>
      <c r="H43" s="4">
        <v>21</v>
      </c>
      <c r="I43" s="4">
        <v>17</v>
      </c>
      <c r="J43" s="4">
        <v>2</v>
      </c>
      <c r="L43" s="4" t="s">
        <v>664</v>
      </c>
      <c r="M43" s="4" t="s">
        <v>350</v>
      </c>
      <c r="N43" s="4" t="s">
        <v>642</v>
      </c>
      <c r="O43" s="4">
        <v>90.75</v>
      </c>
      <c r="P43" s="4">
        <v>73.5</v>
      </c>
      <c r="Q43" s="4" t="s">
        <v>639</v>
      </c>
      <c r="AA43" s="4" t="s">
        <v>698</v>
      </c>
      <c r="AC43" s="4" t="s">
        <v>231</v>
      </c>
      <c r="AE43" s="4" t="s">
        <v>661</v>
      </c>
      <c r="AF43" s="4" t="s">
        <v>661</v>
      </c>
      <c r="AG43" s="4" t="s">
        <v>661</v>
      </c>
      <c r="AO43" s="4">
        <v>1</v>
      </c>
      <c r="AP43" s="4">
        <v>0</v>
      </c>
      <c r="AQ43" s="4" t="s">
        <v>640</v>
      </c>
      <c r="AS43">
        <v>0</v>
      </c>
      <c r="AT43">
        <v>0</v>
      </c>
      <c r="AU43" s="33">
        <v>1926.0000000000036</v>
      </c>
      <c r="AV43" s="36" t="s">
        <v>644</v>
      </c>
      <c r="AW43" s="4">
        <v>1919.9999999999932</v>
      </c>
      <c r="AX43" s="4" t="str">
        <f>IFERROR(VLOOKUP(M43,Roster!$L$2:$M$27,2,FALSE),"")</f>
        <v>L</v>
      </c>
      <c r="AY43" s="4" t="str">
        <f t="shared" si="2"/>
        <v>0好0壞</v>
      </c>
      <c r="BI43" s="5" t="str">
        <f>Lineup!$G$2</f>
        <v>20210817</v>
      </c>
      <c r="BJ43" s="4" t="str">
        <f t="shared" si="3"/>
        <v>外角高</v>
      </c>
      <c r="BK43" s="4" t="str">
        <f t="shared" si="4"/>
        <v>1B2O</v>
      </c>
      <c r="BL43" s="4" t="str">
        <f>IFERROR(VLOOKUP(E43,Roster!$D$2:$E$27,2,FALSE),"")</f>
        <v>L</v>
      </c>
      <c r="BP43" s="49"/>
      <c r="BQ43" s="49"/>
      <c r="BR43" s="49"/>
      <c r="BS43" s="49"/>
      <c r="BT43" s="49"/>
      <c r="BU43" s="49"/>
      <c r="BY43" s="4">
        <f t="shared" si="0"/>
        <v>112.5</v>
      </c>
      <c r="BZ43" s="4">
        <f t="shared" si="1"/>
        <v>246</v>
      </c>
      <c r="CD43" s="5" t="str">
        <f>Lineup!$G$1</f>
        <v>一軍例行賽</v>
      </c>
      <c r="CE43" s="4">
        <f>Lineup!$I$1</f>
        <v>148</v>
      </c>
      <c r="CF43" s="5" t="str">
        <f>Lineup!$G$5</f>
        <v>王俊宏</v>
      </c>
      <c r="CG43" s="5" t="str">
        <f>Lineup!$G$4</f>
        <v>桃園</v>
      </c>
    </row>
    <row r="44" spans="1:85" x14ac:dyDescent="0.3">
      <c r="A44" s="4">
        <v>43</v>
      </c>
      <c r="B44" s="4">
        <v>0</v>
      </c>
      <c r="C44" s="4">
        <v>2</v>
      </c>
      <c r="D44" s="4">
        <v>2</v>
      </c>
      <c r="E44" s="4" t="s">
        <v>611</v>
      </c>
      <c r="F44" s="4" t="s">
        <v>343</v>
      </c>
      <c r="G44" s="4">
        <v>39</v>
      </c>
      <c r="H44" s="4">
        <v>21</v>
      </c>
      <c r="I44" s="4">
        <v>18</v>
      </c>
      <c r="J44" s="4">
        <v>2</v>
      </c>
      <c r="K44" s="4">
        <v>126</v>
      </c>
      <c r="L44" s="4" t="s">
        <v>646</v>
      </c>
      <c r="M44" s="4" t="s">
        <v>350</v>
      </c>
      <c r="N44" s="4" t="s">
        <v>642</v>
      </c>
      <c r="O44" s="4">
        <v>111.75</v>
      </c>
      <c r="P44" s="4">
        <v>117</v>
      </c>
      <c r="Q44" s="4" t="s">
        <v>641</v>
      </c>
      <c r="AC44" s="4" t="s">
        <v>231</v>
      </c>
      <c r="AO44" s="4">
        <v>1</v>
      </c>
      <c r="AP44" s="4">
        <v>1</v>
      </c>
      <c r="AQ44" s="4" t="s">
        <v>645</v>
      </c>
      <c r="AS44">
        <v>1</v>
      </c>
      <c r="AT44">
        <v>0</v>
      </c>
      <c r="AU44" s="33">
        <v>1959.9999999999961</v>
      </c>
      <c r="AV44" s="36" t="s">
        <v>644</v>
      </c>
      <c r="AW44" s="4">
        <v>1955.9999999999989</v>
      </c>
      <c r="AX44" s="4" t="str">
        <f>IFERROR(VLOOKUP(M44,Roster!$L$2:$M$27,2,FALSE),"")</f>
        <v>L</v>
      </c>
      <c r="AY44" s="4" t="str">
        <f t="shared" si="2"/>
        <v>1好0壞</v>
      </c>
      <c r="BI44" s="5" t="str">
        <f>Lineup!$G$2</f>
        <v>20210817</v>
      </c>
      <c r="BJ44" s="4" t="str">
        <f t="shared" si="3"/>
        <v>偏外角低</v>
      </c>
      <c r="BK44" s="4" t="str">
        <f t="shared" si="4"/>
        <v>2B2O</v>
      </c>
      <c r="BL44" s="4" t="str">
        <f>IFERROR(VLOOKUP(E44,Roster!$D$2:$E$27,2,FALSE),"")</f>
        <v>L</v>
      </c>
      <c r="BP44" s="49"/>
      <c r="BQ44" s="49"/>
      <c r="BR44" s="49"/>
      <c r="BS44" s="49"/>
      <c r="BT44" s="49"/>
      <c r="BU44" s="49"/>
      <c r="BY44" s="4">
        <f t="shared" si="0"/>
        <v>69</v>
      </c>
      <c r="BZ44" s="4">
        <f t="shared" si="1"/>
        <v>246</v>
      </c>
      <c r="CD44" s="5" t="str">
        <f>Lineup!$G$1</f>
        <v>一軍例行賽</v>
      </c>
      <c r="CE44" s="4">
        <f>Lineup!$I$1</f>
        <v>148</v>
      </c>
      <c r="CF44" s="5" t="str">
        <f>Lineup!$G$5</f>
        <v>王俊宏</v>
      </c>
      <c r="CG44" s="5" t="str">
        <f>Lineup!$G$4</f>
        <v>桃園</v>
      </c>
    </row>
    <row r="45" spans="1:85" x14ac:dyDescent="0.3">
      <c r="A45" s="4">
        <v>44</v>
      </c>
      <c r="B45" s="4">
        <v>0</v>
      </c>
      <c r="C45" s="4">
        <v>2</v>
      </c>
      <c r="D45" s="4">
        <v>2</v>
      </c>
      <c r="E45" s="4" t="s">
        <v>611</v>
      </c>
      <c r="F45" s="4" t="s">
        <v>343</v>
      </c>
      <c r="G45" s="4">
        <v>40</v>
      </c>
      <c r="H45" s="4">
        <v>22</v>
      </c>
      <c r="I45" s="4">
        <v>18</v>
      </c>
      <c r="J45" s="4">
        <v>2</v>
      </c>
      <c r="K45" s="4">
        <v>142</v>
      </c>
      <c r="L45" s="4" t="s">
        <v>643</v>
      </c>
      <c r="M45" s="4" t="s">
        <v>350</v>
      </c>
      <c r="N45" s="4" t="s">
        <v>649</v>
      </c>
      <c r="O45" s="4">
        <v>55.5</v>
      </c>
      <c r="P45" s="4">
        <v>51.75</v>
      </c>
      <c r="Q45" s="4" t="s">
        <v>639</v>
      </c>
      <c r="R45" s="5" t="s">
        <v>657</v>
      </c>
      <c r="AC45" s="4" t="s">
        <v>231</v>
      </c>
      <c r="AO45" s="4">
        <v>2</v>
      </c>
      <c r="AP45" s="4">
        <v>1</v>
      </c>
      <c r="AQ45" s="4" t="s">
        <v>647</v>
      </c>
      <c r="AS45">
        <v>1</v>
      </c>
      <c r="AT45">
        <v>1</v>
      </c>
      <c r="AU45" s="33">
        <v>1985.9999999999939</v>
      </c>
      <c r="AV45" s="36" t="s">
        <v>644</v>
      </c>
      <c r="AW45" s="4">
        <v>1981.9999999999964</v>
      </c>
      <c r="AX45" s="4" t="str">
        <f>IFERROR(VLOOKUP(M45,Roster!$L$2:$M$27,2,FALSE),"")</f>
        <v>L</v>
      </c>
      <c r="AY45" s="4" t="str">
        <f t="shared" si="2"/>
        <v>1好1壞</v>
      </c>
      <c r="BI45" s="5" t="str">
        <f>Lineup!$G$2</f>
        <v>20210817</v>
      </c>
      <c r="BJ45" s="4" t="str">
        <f t="shared" si="3"/>
        <v>內角偏高</v>
      </c>
      <c r="BK45" s="4" t="str">
        <f t="shared" si="4"/>
        <v>2B2O</v>
      </c>
      <c r="BL45" s="4" t="str">
        <f>IFERROR(VLOOKUP(E45,Roster!$D$2:$E$27,2,FALSE),"")</f>
        <v>L</v>
      </c>
      <c r="BP45" s="49"/>
      <c r="BQ45" s="49"/>
      <c r="BR45" s="49"/>
      <c r="BS45" s="49"/>
      <c r="BT45" s="49"/>
      <c r="BU45" s="49"/>
      <c r="BY45" s="4">
        <f t="shared" si="0"/>
        <v>134.25</v>
      </c>
      <c r="BZ45" s="4">
        <f t="shared" si="1"/>
        <v>246</v>
      </c>
      <c r="CD45" s="5" t="str">
        <f>Lineup!$G$1</f>
        <v>一軍例行賽</v>
      </c>
      <c r="CE45" s="4">
        <f>Lineup!$I$1</f>
        <v>148</v>
      </c>
      <c r="CF45" s="5" t="str">
        <f>Lineup!$G$5</f>
        <v>王俊宏</v>
      </c>
      <c r="CG45" s="5" t="str">
        <f>Lineup!$G$4</f>
        <v>桃園</v>
      </c>
    </row>
    <row r="46" spans="1:85" x14ac:dyDescent="0.3">
      <c r="A46" s="4">
        <v>45</v>
      </c>
      <c r="B46" s="4">
        <v>0</v>
      </c>
      <c r="C46" s="4">
        <v>2</v>
      </c>
      <c r="D46" s="4">
        <v>2</v>
      </c>
      <c r="E46" s="4" t="s">
        <v>611</v>
      </c>
      <c r="F46" s="4" t="s">
        <v>343</v>
      </c>
      <c r="G46" s="4">
        <v>41</v>
      </c>
      <c r="H46" s="4">
        <v>22</v>
      </c>
      <c r="I46" s="4">
        <v>19</v>
      </c>
      <c r="J46" s="4">
        <v>2</v>
      </c>
      <c r="K46" s="4">
        <v>138</v>
      </c>
      <c r="L46" s="4" t="s">
        <v>643</v>
      </c>
      <c r="M46" s="4" t="s">
        <v>350</v>
      </c>
      <c r="N46" s="4" t="s">
        <v>642</v>
      </c>
      <c r="O46" s="4">
        <v>45</v>
      </c>
      <c r="P46" s="4">
        <v>121.5</v>
      </c>
      <c r="Q46" s="4" t="s">
        <v>641</v>
      </c>
      <c r="AC46" s="4" t="s">
        <v>231</v>
      </c>
      <c r="AO46" s="4">
        <v>2</v>
      </c>
      <c r="AP46" s="4">
        <v>2</v>
      </c>
      <c r="AQ46" s="4" t="s">
        <v>655</v>
      </c>
      <c r="AS46">
        <v>2</v>
      </c>
      <c r="AT46">
        <v>1</v>
      </c>
      <c r="AU46" s="33">
        <v>2014.999999999992</v>
      </c>
      <c r="AV46" s="36" t="s">
        <v>644</v>
      </c>
      <c r="AW46" s="4">
        <v>2009.9999999999977</v>
      </c>
      <c r="AX46" s="4" t="str">
        <f>IFERROR(VLOOKUP(M46,Roster!$L$2:$M$27,2,FALSE),"")</f>
        <v>L</v>
      </c>
      <c r="AY46" s="4" t="str">
        <f t="shared" si="2"/>
        <v>2好1壞</v>
      </c>
      <c r="BI46" s="5" t="str">
        <f>Lineup!$G$2</f>
        <v>20210817</v>
      </c>
      <c r="BJ46" s="4" t="str">
        <f t="shared" si="3"/>
        <v>偏內角低</v>
      </c>
      <c r="BK46" s="4" t="str">
        <f t="shared" si="4"/>
        <v>2B2O</v>
      </c>
      <c r="BL46" s="4" t="str">
        <f>IFERROR(VLOOKUP(E46,Roster!$D$2:$E$27,2,FALSE),"")</f>
        <v>L</v>
      </c>
      <c r="BP46" s="49"/>
      <c r="BQ46" s="49"/>
      <c r="BR46" s="49"/>
      <c r="BS46" s="49"/>
      <c r="BT46" s="49"/>
      <c r="BU46" s="49"/>
      <c r="BY46" s="4">
        <f t="shared" si="0"/>
        <v>64.5</v>
      </c>
      <c r="BZ46" s="4">
        <f t="shared" si="1"/>
        <v>246</v>
      </c>
      <c r="CD46" s="5" t="str">
        <f>Lineup!$G$1</f>
        <v>一軍例行賽</v>
      </c>
      <c r="CE46" s="4">
        <f>Lineup!$I$1</f>
        <v>148</v>
      </c>
      <c r="CF46" s="5" t="str">
        <f>Lineup!$G$5</f>
        <v>王俊宏</v>
      </c>
      <c r="CG46" s="5" t="str">
        <f>Lineup!$G$4</f>
        <v>桃園</v>
      </c>
    </row>
    <row r="47" spans="1:85" x14ac:dyDescent="0.3">
      <c r="A47" s="4">
        <v>46</v>
      </c>
      <c r="B47" s="4">
        <v>0</v>
      </c>
      <c r="C47" s="4">
        <v>2</v>
      </c>
      <c r="D47" s="4">
        <v>2</v>
      </c>
      <c r="E47" s="4" t="s">
        <v>611</v>
      </c>
      <c r="F47" s="4" t="s">
        <v>343</v>
      </c>
      <c r="G47" s="4">
        <v>42</v>
      </c>
      <c r="H47" s="4">
        <v>23</v>
      </c>
      <c r="I47" s="4">
        <v>19</v>
      </c>
      <c r="J47" s="4">
        <v>2</v>
      </c>
      <c r="K47" s="4">
        <v>126</v>
      </c>
      <c r="L47" s="4" t="s">
        <v>646</v>
      </c>
      <c r="M47" s="4" t="s">
        <v>350</v>
      </c>
      <c r="N47" s="4" t="s">
        <v>649</v>
      </c>
      <c r="O47" s="4">
        <v>97.5</v>
      </c>
      <c r="P47" s="4">
        <v>123</v>
      </c>
      <c r="Q47" s="4" t="s">
        <v>639</v>
      </c>
      <c r="R47" s="5" t="s">
        <v>696</v>
      </c>
      <c r="AC47" s="4" t="s">
        <v>231</v>
      </c>
      <c r="AO47" s="4">
        <v>2</v>
      </c>
      <c r="AP47" s="4">
        <v>2</v>
      </c>
      <c r="AQ47" s="4" t="s">
        <v>655</v>
      </c>
      <c r="AS47">
        <v>2</v>
      </c>
      <c r="AT47">
        <v>2</v>
      </c>
      <c r="AU47" s="33">
        <v>2040.9999999999993</v>
      </c>
      <c r="AV47" s="36" t="s">
        <v>644</v>
      </c>
      <c r="AW47" s="4">
        <v>2035.9999999999952</v>
      </c>
      <c r="AX47" s="4" t="str">
        <f>IFERROR(VLOOKUP(M47,Roster!$L$2:$M$27,2,FALSE),"")</f>
        <v>L</v>
      </c>
      <c r="AY47" s="4" t="str">
        <f t="shared" si="2"/>
        <v>2好2壞</v>
      </c>
      <c r="BI47" s="5" t="str">
        <f>Lineup!$G$2</f>
        <v>20210817</v>
      </c>
      <c r="BJ47" s="4" t="str">
        <f t="shared" si="3"/>
        <v>外角低</v>
      </c>
      <c r="BK47" s="4" t="str">
        <f t="shared" si="4"/>
        <v>2B2O</v>
      </c>
      <c r="BL47" s="4" t="str">
        <f>IFERROR(VLOOKUP(E47,Roster!$D$2:$E$27,2,FALSE),"")</f>
        <v>L</v>
      </c>
      <c r="BP47" s="49"/>
      <c r="BQ47" s="49"/>
      <c r="BR47" s="49"/>
      <c r="BS47" s="49"/>
      <c r="BT47" s="49"/>
      <c r="BU47" s="49"/>
      <c r="BY47" s="4">
        <f t="shared" si="0"/>
        <v>63</v>
      </c>
      <c r="BZ47" s="4">
        <f t="shared" si="1"/>
        <v>246</v>
      </c>
      <c r="CD47" s="5" t="str">
        <f>Lineup!$G$1</f>
        <v>一軍例行賽</v>
      </c>
      <c r="CE47" s="4">
        <f>Lineup!$I$1</f>
        <v>148</v>
      </c>
      <c r="CF47" s="5" t="str">
        <f>Lineup!$G$5</f>
        <v>王俊宏</v>
      </c>
      <c r="CG47" s="5" t="str">
        <f>Lineup!$G$4</f>
        <v>桃園</v>
      </c>
    </row>
    <row r="48" spans="1:85" x14ac:dyDescent="0.3">
      <c r="A48" s="4">
        <v>47</v>
      </c>
      <c r="B48" s="4">
        <v>0</v>
      </c>
      <c r="C48" s="4">
        <v>3</v>
      </c>
      <c r="D48" s="4">
        <v>2</v>
      </c>
      <c r="E48" s="4" t="s">
        <v>611</v>
      </c>
      <c r="F48" s="4" t="s">
        <v>343</v>
      </c>
      <c r="G48" s="4">
        <v>43</v>
      </c>
      <c r="H48" s="4">
        <v>24</v>
      </c>
      <c r="I48" s="4">
        <v>19</v>
      </c>
      <c r="J48" s="4">
        <v>2</v>
      </c>
      <c r="K48" s="4">
        <v>143</v>
      </c>
      <c r="L48" s="4" t="s">
        <v>643</v>
      </c>
      <c r="M48" s="4" t="s">
        <v>350</v>
      </c>
      <c r="N48" s="4" t="s">
        <v>649</v>
      </c>
      <c r="O48" s="4">
        <v>90</v>
      </c>
      <c r="P48" s="4">
        <v>78</v>
      </c>
      <c r="Q48" s="4" t="s">
        <v>639</v>
      </c>
      <c r="R48" s="5" t="s">
        <v>656</v>
      </c>
      <c r="S48" s="4">
        <v>170.25</v>
      </c>
      <c r="T48" s="4">
        <v>135.75</v>
      </c>
      <c r="U48" s="4" t="s">
        <v>571</v>
      </c>
      <c r="AB48" s="4" t="s">
        <v>350</v>
      </c>
      <c r="AE48" s="4" t="s">
        <v>699</v>
      </c>
      <c r="AF48" s="4" t="s">
        <v>661</v>
      </c>
      <c r="AG48" s="4" t="s">
        <v>661</v>
      </c>
      <c r="AM48" s="4">
        <v>1</v>
      </c>
      <c r="AO48" s="4">
        <v>3</v>
      </c>
      <c r="AP48" s="4">
        <v>2</v>
      </c>
      <c r="AQ48" s="4" t="s">
        <v>683</v>
      </c>
      <c r="AS48">
        <v>2</v>
      </c>
      <c r="AT48">
        <v>2</v>
      </c>
      <c r="AU48" s="33">
        <v>2079.9999999999959</v>
      </c>
      <c r="AV48" s="36" t="s">
        <v>644</v>
      </c>
      <c r="AW48" s="4">
        <v>2066.9999999999968</v>
      </c>
      <c r="AX48" s="4" t="str">
        <f>IFERROR(VLOOKUP(M48,Roster!$L$2:$M$27,2,FALSE),"")</f>
        <v>L</v>
      </c>
      <c r="AY48" s="4" t="str">
        <f t="shared" si="2"/>
        <v>2好2壞</v>
      </c>
      <c r="BI48" s="5" t="str">
        <f>Lineup!$G$2</f>
        <v>20210817</v>
      </c>
      <c r="BJ48" s="4" t="str">
        <f t="shared" si="3"/>
        <v>外角高</v>
      </c>
      <c r="BK48" s="4" t="str">
        <f t="shared" si="4"/>
        <v>2B2O</v>
      </c>
      <c r="BL48" s="4" t="str">
        <f>IFERROR(VLOOKUP(E48,Roster!$D$2:$E$27,2,FALSE),"")</f>
        <v>L</v>
      </c>
      <c r="BP48" s="49"/>
      <c r="BQ48" s="49"/>
      <c r="BR48" s="49"/>
      <c r="BS48" s="49"/>
      <c r="BT48" s="49"/>
      <c r="BU48" s="49"/>
      <c r="BY48" s="4">
        <f t="shared" si="0"/>
        <v>108</v>
      </c>
      <c r="BZ48" s="4">
        <f t="shared" si="1"/>
        <v>110.25</v>
      </c>
      <c r="CD48" s="5" t="str">
        <f>Lineup!$G$1</f>
        <v>一軍例行賽</v>
      </c>
      <c r="CE48" s="4">
        <f>Lineup!$I$1</f>
        <v>148</v>
      </c>
      <c r="CF48" s="5" t="str">
        <f>Lineup!$G$5</f>
        <v>王俊宏</v>
      </c>
      <c r="CG48" s="5" t="str">
        <f>Lineup!$G$4</f>
        <v>桃園</v>
      </c>
    </row>
    <row r="49" spans="1:85" x14ac:dyDescent="0.3">
      <c r="A49" s="4">
        <v>48</v>
      </c>
      <c r="B49" s="4">
        <v>0</v>
      </c>
      <c r="C49" s="4">
        <v>3</v>
      </c>
      <c r="D49" s="4">
        <v>2</v>
      </c>
      <c r="E49" s="4" t="s">
        <v>611</v>
      </c>
      <c r="F49" s="4" t="s">
        <v>343</v>
      </c>
      <c r="G49" s="4">
        <v>44</v>
      </c>
      <c r="H49" s="4">
        <v>24</v>
      </c>
      <c r="I49" s="4">
        <v>20</v>
      </c>
      <c r="J49" s="4">
        <v>2</v>
      </c>
      <c r="L49" s="4" t="s">
        <v>643</v>
      </c>
      <c r="M49" s="4" t="s">
        <v>369</v>
      </c>
      <c r="N49" s="4" t="s">
        <v>642</v>
      </c>
      <c r="O49" s="4">
        <v>18</v>
      </c>
      <c r="P49" s="4">
        <v>66.75</v>
      </c>
      <c r="Q49" s="4" t="s">
        <v>641</v>
      </c>
      <c r="AB49" s="4" t="s">
        <v>350</v>
      </c>
      <c r="AO49" s="4">
        <v>0</v>
      </c>
      <c r="AP49" s="4">
        <v>1</v>
      </c>
      <c r="AQ49" s="4" t="s">
        <v>652</v>
      </c>
      <c r="AS49">
        <v>0</v>
      </c>
      <c r="AT49">
        <v>0</v>
      </c>
      <c r="AU49" s="33">
        <v>2157.9999999999982</v>
      </c>
      <c r="AV49" s="36" t="s">
        <v>644</v>
      </c>
      <c r="AW49" s="4">
        <v>2154.9999999999977</v>
      </c>
      <c r="AX49" s="4" t="str">
        <f>IFERROR(VLOOKUP(M49,Roster!$L$2:$M$27,2,FALSE),"")</f>
        <v>R</v>
      </c>
      <c r="AY49" s="4" t="str">
        <f t="shared" si="2"/>
        <v>0好0壞</v>
      </c>
      <c r="BI49" s="5" t="str">
        <f>Lineup!$G$2</f>
        <v>20210817</v>
      </c>
      <c r="BJ49" s="4" t="str">
        <f t="shared" si="3"/>
        <v>偏外角高</v>
      </c>
      <c r="BK49" s="4" t="str">
        <f t="shared" si="4"/>
        <v>1B2O</v>
      </c>
      <c r="BL49" s="4" t="str">
        <f>IFERROR(VLOOKUP(E49,Roster!$D$2:$E$27,2,FALSE),"")</f>
        <v>L</v>
      </c>
      <c r="BP49" s="49"/>
      <c r="BQ49" s="49"/>
      <c r="BR49" s="49"/>
      <c r="BS49" s="49"/>
      <c r="BT49" s="49"/>
      <c r="BU49" s="49"/>
      <c r="BY49" s="4">
        <f t="shared" si="0"/>
        <v>119.25</v>
      </c>
      <c r="BZ49" s="4">
        <f t="shared" si="1"/>
        <v>246</v>
      </c>
      <c r="CD49" s="5" t="str">
        <f>Lineup!$G$1</f>
        <v>一軍例行賽</v>
      </c>
      <c r="CE49" s="4">
        <f>Lineup!$I$1</f>
        <v>148</v>
      </c>
      <c r="CF49" s="5" t="str">
        <f>Lineup!$G$5</f>
        <v>王俊宏</v>
      </c>
      <c r="CG49" s="5" t="str">
        <f>Lineup!$G$4</f>
        <v>桃園</v>
      </c>
    </row>
    <row r="50" spans="1:85" x14ac:dyDescent="0.3">
      <c r="A50" s="4">
        <v>49</v>
      </c>
      <c r="B50" s="4">
        <v>0</v>
      </c>
      <c r="C50" s="4">
        <v>3</v>
      </c>
      <c r="D50" s="4">
        <v>2</v>
      </c>
      <c r="E50" s="4" t="s">
        <v>611</v>
      </c>
      <c r="F50" s="4" t="s">
        <v>343</v>
      </c>
      <c r="G50" s="4">
        <v>45</v>
      </c>
      <c r="H50" s="4">
        <v>25</v>
      </c>
      <c r="I50" s="4">
        <v>20</v>
      </c>
      <c r="J50" s="4">
        <v>2</v>
      </c>
      <c r="K50" s="4">
        <v>118</v>
      </c>
      <c r="L50" s="4" t="s">
        <v>646</v>
      </c>
      <c r="M50" s="4" t="s">
        <v>369</v>
      </c>
      <c r="N50" s="4" t="s">
        <v>649</v>
      </c>
      <c r="O50" s="4">
        <v>63.75</v>
      </c>
      <c r="P50" s="4">
        <v>85.5</v>
      </c>
      <c r="Q50" s="4" t="s">
        <v>639</v>
      </c>
      <c r="R50" s="5" t="s">
        <v>700</v>
      </c>
      <c r="S50" s="4">
        <v>81.75</v>
      </c>
      <c r="T50" s="4">
        <v>121.5</v>
      </c>
      <c r="U50" s="4" t="s">
        <v>588</v>
      </c>
      <c r="AC50" s="4" t="s">
        <v>369</v>
      </c>
      <c r="AD50" s="4" t="s">
        <v>350</v>
      </c>
      <c r="AE50" s="4" t="s">
        <v>661</v>
      </c>
      <c r="AF50" s="4" t="s">
        <v>661</v>
      </c>
      <c r="AG50" s="4" t="s">
        <v>661</v>
      </c>
      <c r="AM50" s="4">
        <v>1</v>
      </c>
      <c r="AO50" s="4">
        <v>1</v>
      </c>
      <c r="AP50" s="4">
        <v>1</v>
      </c>
      <c r="AQ50" s="4" t="s">
        <v>645</v>
      </c>
      <c r="AS50">
        <v>0</v>
      </c>
      <c r="AT50">
        <v>1</v>
      </c>
      <c r="AU50" s="33">
        <v>2214.9999999999977</v>
      </c>
      <c r="AV50" s="36" t="s">
        <v>644</v>
      </c>
      <c r="AW50" s="4">
        <v>2201.0000000000018</v>
      </c>
      <c r="AX50" s="4" t="str">
        <f>IFERROR(VLOOKUP(M50,Roster!$L$2:$M$27,2,FALSE),"")</f>
        <v>R</v>
      </c>
      <c r="AY50" s="4" t="str">
        <f t="shared" si="2"/>
        <v>0好1壞</v>
      </c>
      <c r="BI50" s="5" t="str">
        <f>Lineup!$G$2</f>
        <v>20210817</v>
      </c>
      <c r="BJ50" s="4" t="str">
        <f t="shared" si="3"/>
        <v>外角中</v>
      </c>
      <c r="BK50" s="4" t="str">
        <f t="shared" si="4"/>
        <v>1B2O</v>
      </c>
      <c r="BL50" s="4" t="str">
        <f>IFERROR(VLOOKUP(E50,Roster!$D$2:$E$27,2,FALSE),"")</f>
        <v>L</v>
      </c>
      <c r="BP50" s="49"/>
      <c r="BQ50" s="49"/>
      <c r="BR50" s="49"/>
      <c r="BS50" s="49"/>
      <c r="BT50" s="49"/>
      <c r="BU50" s="49"/>
      <c r="BY50" s="4">
        <f t="shared" si="0"/>
        <v>100.5</v>
      </c>
      <c r="BZ50" s="4">
        <f t="shared" si="1"/>
        <v>124.5</v>
      </c>
      <c r="CD50" s="5" t="str">
        <f>Lineup!$G$1</f>
        <v>一軍例行賽</v>
      </c>
      <c r="CE50" s="4">
        <f>Lineup!$I$1</f>
        <v>148</v>
      </c>
      <c r="CF50" s="5" t="str">
        <f>Lineup!$G$5</f>
        <v>王俊宏</v>
      </c>
      <c r="CG50" s="5" t="str">
        <f>Lineup!$G$4</f>
        <v>桃園</v>
      </c>
    </row>
    <row r="51" spans="1:85" x14ac:dyDescent="0.3">
      <c r="A51" s="4">
        <v>50</v>
      </c>
      <c r="B51" s="4">
        <v>0</v>
      </c>
      <c r="C51" s="4">
        <v>3</v>
      </c>
      <c r="D51" s="4">
        <v>2</v>
      </c>
      <c r="E51" s="4" t="s">
        <v>611</v>
      </c>
      <c r="F51" s="4" t="s">
        <v>343</v>
      </c>
      <c r="G51" s="4">
        <v>46</v>
      </c>
      <c r="H51" s="4">
        <v>26</v>
      </c>
      <c r="I51" s="4">
        <v>20</v>
      </c>
      <c r="J51" s="4">
        <v>2</v>
      </c>
      <c r="K51" s="4">
        <v>120</v>
      </c>
      <c r="L51" s="4" t="s">
        <v>646</v>
      </c>
      <c r="M51" s="4" t="s">
        <v>383</v>
      </c>
      <c r="N51" s="4" t="s">
        <v>649</v>
      </c>
      <c r="O51" s="4">
        <v>111.75</v>
      </c>
      <c r="P51" s="4">
        <v>114.75</v>
      </c>
      <c r="Q51" s="4" t="s">
        <v>639</v>
      </c>
      <c r="R51" s="5" t="s">
        <v>657</v>
      </c>
      <c r="AC51" s="4" t="s">
        <v>369</v>
      </c>
      <c r="AD51" s="4" t="s">
        <v>350</v>
      </c>
      <c r="AO51" s="4">
        <v>1</v>
      </c>
      <c r="AP51" s="4">
        <v>0</v>
      </c>
      <c r="AQ51" s="4" t="s">
        <v>640</v>
      </c>
      <c r="AS51">
        <v>0</v>
      </c>
      <c r="AT51">
        <v>0</v>
      </c>
      <c r="AU51" s="33">
        <v>2300.999999999995</v>
      </c>
      <c r="AV51" s="36" t="s">
        <v>644</v>
      </c>
      <c r="AW51" s="4">
        <v>2297.0000000000073</v>
      </c>
      <c r="AX51" s="4" t="str">
        <f>IFERROR(VLOOKUP(M51,Roster!$L$2:$M$27,2,FALSE),"")</f>
        <v>L</v>
      </c>
      <c r="AY51" s="4" t="str">
        <f t="shared" si="2"/>
        <v>0好0壞</v>
      </c>
      <c r="BI51" s="5" t="str">
        <f>Lineup!$G$2</f>
        <v>20210817</v>
      </c>
      <c r="BJ51" s="4" t="str">
        <f t="shared" si="3"/>
        <v>偏外角低</v>
      </c>
      <c r="BK51" s="4" t="str">
        <f t="shared" si="4"/>
        <v>23B2O</v>
      </c>
      <c r="BL51" s="4" t="str">
        <f>IFERROR(VLOOKUP(E51,Roster!$D$2:$E$27,2,FALSE),"")</f>
        <v>L</v>
      </c>
      <c r="BP51" s="49"/>
      <c r="BQ51" s="49"/>
      <c r="BR51" s="49"/>
      <c r="BS51" s="49"/>
      <c r="BT51" s="49"/>
      <c r="BU51" s="49"/>
      <c r="BY51" s="4">
        <f t="shared" si="0"/>
        <v>71.25</v>
      </c>
      <c r="BZ51" s="4">
        <f t="shared" si="1"/>
        <v>246</v>
      </c>
      <c r="CD51" s="5" t="str">
        <f>Lineup!$G$1</f>
        <v>一軍例行賽</v>
      </c>
      <c r="CE51" s="4">
        <f>Lineup!$I$1</f>
        <v>148</v>
      </c>
      <c r="CF51" s="5" t="str">
        <f>Lineup!$G$5</f>
        <v>王俊宏</v>
      </c>
      <c r="CG51" s="5" t="str">
        <f>Lineup!$G$4</f>
        <v>桃園</v>
      </c>
    </row>
    <row r="52" spans="1:85" x14ac:dyDescent="0.3">
      <c r="A52" s="4">
        <v>51</v>
      </c>
      <c r="B52" s="4">
        <v>0</v>
      </c>
      <c r="C52" s="4">
        <v>3</v>
      </c>
      <c r="D52" s="4">
        <v>2</v>
      </c>
      <c r="E52" s="4" t="s">
        <v>611</v>
      </c>
      <c r="F52" s="4" t="s">
        <v>343</v>
      </c>
      <c r="G52" s="4">
        <v>47</v>
      </c>
      <c r="H52" s="4">
        <v>27</v>
      </c>
      <c r="I52" s="4">
        <v>20</v>
      </c>
      <c r="J52" s="4">
        <v>2</v>
      </c>
      <c r="K52" s="4">
        <v>128</v>
      </c>
      <c r="L52" s="4" t="s">
        <v>665</v>
      </c>
      <c r="M52" s="4" t="s">
        <v>383</v>
      </c>
      <c r="N52" s="4" t="s">
        <v>649</v>
      </c>
      <c r="O52" s="4">
        <v>103.5</v>
      </c>
      <c r="P52" s="4">
        <v>73.5</v>
      </c>
      <c r="Q52" s="4" t="s">
        <v>639</v>
      </c>
      <c r="R52" s="5" t="s">
        <v>690</v>
      </c>
      <c r="AC52" s="4" t="s">
        <v>369</v>
      </c>
      <c r="AD52" s="4" t="s">
        <v>350</v>
      </c>
      <c r="AO52" s="4">
        <v>2</v>
      </c>
      <c r="AP52" s="4">
        <v>0</v>
      </c>
      <c r="AQ52" s="4" t="s">
        <v>662</v>
      </c>
      <c r="AS52">
        <v>1</v>
      </c>
      <c r="AT52">
        <v>0</v>
      </c>
      <c r="AU52" s="33">
        <v>2331</v>
      </c>
      <c r="AV52" s="36" t="s">
        <v>644</v>
      </c>
      <c r="AW52" s="4">
        <v>2327.0000000000023</v>
      </c>
      <c r="AX52" s="4" t="str">
        <f>IFERROR(VLOOKUP(M52,Roster!$L$2:$M$27,2,FALSE),"")</f>
        <v>L</v>
      </c>
      <c r="AY52" s="4" t="str">
        <f t="shared" si="2"/>
        <v>1好0壞</v>
      </c>
      <c r="BI52" s="5" t="str">
        <f>Lineup!$G$2</f>
        <v>20210817</v>
      </c>
      <c r="BJ52" s="4" t="str">
        <f t="shared" si="3"/>
        <v>偏外角高</v>
      </c>
      <c r="BK52" s="4" t="str">
        <f t="shared" si="4"/>
        <v>23B2O</v>
      </c>
      <c r="BL52" s="4" t="str">
        <f>IFERROR(VLOOKUP(E52,Roster!$D$2:$E$27,2,FALSE),"")</f>
        <v>L</v>
      </c>
      <c r="BP52" s="49"/>
      <c r="BQ52" s="49"/>
      <c r="BR52" s="49"/>
      <c r="BS52" s="49"/>
      <c r="BT52" s="49"/>
      <c r="BU52" s="49"/>
      <c r="BY52" s="4">
        <f t="shared" si="0"/>
        <v>112.5</v>
      </c>
      <c r="BZ52" s="4">
        <f t="shared" si="1"/>
        <v>246</v>
      </c>
      <c r="CD52" s="5" t="str">
        <f>Lineup!$G$1</f>
        <v>一軍例行賽</v>
      </c>
      <c r="CE52" s="4">
        <f>Lineup!$I$1</f>
        <v>148</v>
      </c>
      <c r="CF52" s="5" t="str">
        <f>Lineup!$G$5</f>
        <v>王俊宏</v>
      </c>
      <c r="CG52" s="5" t="str">
        <f>Lineup!$G$4</f>
        <v>桃園</v>
      </c>
    </row>
    <row r="53" spans="1:85" x14ac:dyDescent="0.3">
      <c r="A53" s="4">
        <v>52</v>
      </c>
      <c r="B53" s="4">
        <v>0</v>
      </c>
      <c r="C53" s="4">
        <v>3</v>
      </c>
      <c r="D53" s="4">
        <v>2</v>
      </c>
      <c r="E53" s="4" t="s">
        <v>611</v>
      </c>
      <c r="F53" s="4" t="s">
        <v>343</v>
      </c>
      <c r="G53" s="4">
        <v>48</v>
      </c>
      <c r="H53" s="4">
        <v>27</v>
      </c>
      <c r="I53" s="4">
        <v>21</v>
      </c>
      <c r="J53" s="4">
        <v>2</v>
      </c>
      <c r="K53" s="4">
        <v>143</v>
      </c>
      <c r="L53" s="4" t="s">
        <v>643</v>
      </c>
      <c r="M53" s="4" t="s">
        <v>383</v>
      </c>
      <c r="N53" s="4" t="s">
        <v>642</v>
      </c>
      <c r="O53" s="4">
        <v>124.5</v>
      </c>
      <c r="P53" s="4">
        <v>96</v>
      </c>
      <c r="Q53" s="4" t="s">
        <v>641</v>
      </c>
      <c r="AC53" s="4" t="s">
        <v>369</v>
      </c>
      <c r="AD53" s="4" t="s">
        <v>350</v>
      </c>
      <c r="AO53" s="4">
        <v>2</v>
      </c>
      <c r="AP53" s="4">
        <v>1</v>
      </c>
      <c r="AQ53" s="4" t="s">
        <v>647</v>
      </c>
      <c r="AS53">
        <v>2</v>
      </c>
      <c r="AT53">
        <v>0</v>
      </c>
      <c r="AU53" s="33">
        <v>2361.0000000000045</v>
      </c>
      <c r="AV53" s="36" t="s">
        <v>644</v>
      </c>
      <c r="AW53" s="4">
        <v>2356.0000000000005</v>
      </c>
      <c r="AX53" s="4" t="str">
        <f>IFERROR(VLOOKUP(M53,Roster!$L$2:$M$27,2,FALSE),"")</f>
        <v>L</v>
      </c>
      <c r="AY53" s="4" t="str">
        <f t="shared" si="2"/>
        <v>2好0壞</v>
      </c>
      <c r="BI53" s="5" t="str">
        <f>Lineup!$G$2</f>
        <v>20210817</v>
      </c>
      <c r="BJ53" s="4" t="str">
        <f t="shared" si="3"/>
        <v>偏外角中</v>
      </c>
      <c r="BK53" s="4" t="str">
        <f t="shared" si="4"/>
        <v>23B2O</v>
      </c>
      <c r="BL53" s="4" t="str">
        <f>IFERROR(VLOOKUP(E53,Roster!$D$2:$E$27,2,FALSE),"")</f>
        <v>L</v>
      </c>
      <c r="BP53" s="49"/>
      <c r="BQ53" s="49"/>
      <c r="BR53" s="49"/>
      <c r="BS53" s="49"/>
      <c r="BT53" s="49"/>
      <c r="BU53" s="49"/>
      <c r="BY53" s="4">
        <f t="shared" si="0"/>
        <v>90</v>
      </c>
      <c r="BZ53" s="4">
        <f t="shared" si="1"/>
        <v>246</v>
      </c>
      <c r="CD53" s="5" t="str">
        <f>Lineup!$G$1</f>
        <v>一軍例行賽</v>
      </c>
      <c r="CE53" s="4">
        <f>Lineup!$I$1</f>
        <v>148</v>
      </c>
      <c r="CF53" s="5" t="str">
        <f>Lineup!$G$5</f>
        <v>王俊宏</v>
      </c>
      <c r="CG53" s="5" t="str">
        <f>Lineup!$G$4</f>
        <v>桃園</v>
      </c>
    </row>
    <row r="54" spans="1:85" x14ac:dyDescent="0.3">
      <c r="A54" s="4">
        <v>53</v>
      </c>
      <c r="B54" s="4">
        <v>0</v>
      </c>
      <c r="C54" s="4">
        <v>3</v>
      </c>
      <c r="D54" s="4">
        <v>2</v>
      </c>
      <c r="E54" s="4" t="s">
        <v>611</v>
      </c>
      <c r="F54" s="4" t="s">
        <v>343</v>
      </c>
      <c r="G54" s="4">
        <v>49</v>
      </c>
      <c r="H54" s="4">
        <v>28</v>
      </c>
      <c r="I54" s="4">
        <v>21</v>
      </c>
      <c r="J54" s="4">
        <v>3</v>
      </c>
      <c r="K54" s="4">
        <v>122</v>
      </c>
      <c r="L54" s="4" t="s">
        <v>646</v>
      </c>
      <c r="M54" s="4" t="s">
        <v>383</v>
      </c>
      <c r="N54" s="4" t="s">
        <v>649</v>
      </c>
      <c r="O54" s="4">
        <v>84</v>
      </c>
      <c r="P54" s="4">
        <v>72.75</v>
      </c>
      <c r="Q54" s="4" t="s">
        <v>639</v>
      </c>
      <c r="R54" s="5" t="s">
        <v>685</v>
      </c>
      <c r="AC54" s="4" t="s">
        <v>369</v>
      </c>
      <c r="AD54" s="4" t="s">
        <v>350</v>
      </c>
      <c r="AJ54" s="4" t="s">
        <v>383</v>
      </c>
      <c r="AK54" s="4">
        <v>1</v>
      </c>
      <c r="AM54" s="4">
        <v>1</v>
      </c>
      <c r="AO54" s="4">
        <v>3</v>
      </c>
      <c r="AP54" s="4">
        <v>1</v>
      </c>
      <c r="AQ54" s="4" t="s">
        <v>648</v>
      </c>
      <c r="AR54" s="4" t="s">
        <v>701</v>
      </c>
      <c r="AS54">
        <v>2</v>
      </c>
      <c r="AT54">
        <v>1</v>
      </c>
      <c r="AU54" s="33">
        <v>2385.9999999999955</v>
      </c>
      <c r="AV54" s="36" t="s">
        <v>644</v>
      </c>
      <c r="AW54" s="4">
        <v>2380.9999999999918</v>
      </c>
      <c r="AX54" s="4" t="str">
        <f>IFERROR(VLOOKUP(M54,Roster!$L$2:$M$27,2,FALSE),"")</f>
        <v>L</v>
      </c>
      <c r="AY54" s="4" t="str">
        <f t="shared" si="2"/>
        <v>2好1壞</v>
      </c>
      <c r="BI54" s="5" t="str">
        <f>Lineup!$G$2</f>
        <v>20210817</v>
      </c>
      <c r="BJ54" s="4" t="str">
        <f t="shared" si="3"/>
        <v>中高</v>
      </c>
      <c r="BK54" s="4" t="str">
        <f t="shared" si="4"/>
        <v>23B2O</v>
      </c>
      <c r="BL54" s="4" t="str">
        <f>IFERROR(VLOOKUP(E54,Roster!$D$2:$E$27,2,FALSE),"")</f>
        <v>L</v>
      </c>
      <c r="BP54" s="49"/>
      <c r="BQ54" s="49"/>
      <c r="BR54" s="49"/>
      <c r="BS54" s="49"/>
      <c r="BT54" s="49"/>
      <c r="BU54" s="49"/>
      <c r="BY54" s="4">
        <f t="shared" si="0"/>
        <v>113.25</v>
      </c>
      <c r="BZ54" s="4">
        <f t="shared" si="1"/>
        <v>246</v>
      </c>
      <c r="CD54" s="5" t="str">
        <f>Lineup!$G$1</f>
        <v>一軍例行賽</v>
      </c>
      <c r="CE54" s="4">
        <f>Lineup!$I$1</f>
        <v>148</v>
      </c>
      <c r="CF54" s="5" t="str">
        <f>Lineup!$G$5</f>
        <v>王俊宏</v>
      </c>
      <c r="CG54" s="5" t="str">
        <f>Lineup!$G$4</f>
        <v>桃園</v>
      </c>
    </row>
    <row r="55" spans="1:85" x14ac:dyDescent="0.3">
      <c r="A55" s="4">
        <v>54</v>
      </c>
      <c r="B55" s="4">
        <v>1</v>
      </c>
      <c r="C55" s="4">
        <v>3</v>
      </c>
      <c r="D55" s="4">
        <v>3</v>
      </c>
      <c r="E55" s="4" t="s">
        <v>611</v>
      </c>
      <c r="F55" s="4" t="s">
        <v>343</v>
      </c>
      <c r="G55" s="4">
        <v>50</v>
      </c>
      <c r="H55" s="4">
        <v>29</v>
      </c>
      <c r="I55" s="4">
        <v>21</v>
      </c>
      <c r="J55" s="4">
        <v>0</v>
      </c>
      <c r="K55" s="4">
        <v>116</v>
      </c>
      <c r="L55" s="4" t="s">
        <v>646</v>
      </c>
      <c r="M55" s="4" t="s">
        <v>266</v>
      </c>
      <c r="N55" s="4" t="s">
        <v>679</v>
      </c>
      <c r="O55" s="4">
        <v>84.75</v>
      </c>
      <c r="P55" s="4">
        <v>91.5</v>
      </c>
      <c r="Q55" s="4" t="s">
        <v>639</v>
      </c>
      <c r="R55" s="5" t="s">
        <v>656</v>
      </c>
      <c r="S55" s="4">
        <v>149.25</v>
      </c>
      <c r="T55" s="4">
        <v>190.5</v>
      </c>
      <c r="U55" s="4" t="s">
        <v>535</v>
      </c>
      <c r="AB55" s="4" t="s">
        <v>266</v>
      </c>
      <c r="AM55" s="4">
        <v>1</v>
      </c>
      <c r="AO55" s="4">
        <v>1</v>
      </c>
      <c r="AP55" s="4">
        <v>0</v>
      </c>
      <c r="AQ55" s="4" t="s">
        <v>640</v>
      </c>
      <c r="AS55">
        <v>0</v>
      </c>
      <c r="AT55">
        <v>0</v>
      </c>
      <c r="AU55" s="33">
        <v>3383.0000000000045</v>
      </c>
      <c r="AV55" s="36" t="s">
        <v>644</v>
      </c>
      <c r="AW55" s="4">
        <v>3371.9999999999995</v>
      </c>
      <c r="AX55" s="4" t="str">
        <f>IFERROR(VLOOKUP(M55,Roster!$L$2:$M$27,2,FALSE),"")</f>
        <v>L</v>
      </c>
      <c r="AY55" s="4" t="str">
        <f t="shared" si="2"/>
        <v>0好0壞</v>
      </c>
      <c r="BI55" s="5" t="str">
        <f>Lineup!$G$2</f>
        <v>20210817</v>
      </c>
      <c r="BJ55" s="4" t="str">
        <f t="shared" si="3"/>
        <v>外角中</v>
      </c>
      <c r="BK55" s="4" t="str">
        <f t="shared" si="4"/>
        <v>23B3O</v>
      </c>
      <c r="BL55" s="4" t="str">
        <f>IFERROR(VLOOKUP(E55,Roster!$D$2:$E$27,2,FALSE),"")</f>
        <v>L</v>
      </c>
      <c r="BP55" s="49"/>
      <c r="BQ55" s="49"/>
      <c r="BR55" s="49"/>
      <c r="BS55" s="49"/>
      <c r="BT55" s="49"/>
      <c r="BU55" s="49"/>
      <c r="BY55" s="4">
        <f t="shared" si="0"/>
        <v>94.5</v>
      </c>
      <c r="BZ55" s="4">
        <f t="shared" si="1"/>
        <v>55.5</v>
      </c>
      <c r="CD55" s="5" t="str">
        <f>Lineup!$G$1</f>
        <v>一軍例行賽</v>
      </c>
      <c r="CE55" s="4">
        <f>Lineup!$I$1</f>
        <v>148</v>
      </c>
      <c r="CF55" s="5" t="str">
        <f>Lineup!$G$5</f>
        <v>王俊宏</v>
      </c>
      <c r="CG55" s="5" t="str">
        <f>Lineup!$G$4</f>
        <v>桃園</v>
      </c>
    </row>
    <row r="56" spans="1:85" x14ac:dyDescent="0.3">
      <c r="A56" s="4">
        <v>55</v>
      </c>
      <c r="B56" s="4">
        <v>1</v>
      </c>
      <c r="C56" s="4">
        <v>3</v>
      </c>
      <c r="D56" s="4">
        <v>3</v>
      </c>
      <c r="E56" s="4" t="s">
        <v>611</v>
      </c>
      <c r="F56" s="4" t="s">
        <v>343</v>
      </c>
      <c r="G56" s="4">
        <v>51</v>
      </c>
      <c r="H56" s="4">
        <v>29</v>
      </c>
      <c r="I56" s="4">
        <v>22</v>
      </c>
      <c r="J56" s="4">
        <v>0</v>
      </c>
      <c r="K56" s="4">
        <v>134</v>
      </c>
      <c r="L56" s="4" t="s">
        <v>646</v>
      </c>
      <c r="M56" s="4" t="s">
        <v>396</v>
      </c>
      <c r="N56" s="4" t="s">
        <v>642</v>
      </c>
      <c r="O56" s="4">
        <v>32.25</v>
      </c>
      <c r="P56" s="4">
        <v>105.75</v>
      </c>
      <c r="Q56" s="4" t="s">
        <v>641</v>
      </c>
      <c r="AB56" s="4" t="s">
        <v>266</v>
      </c>
      <c r="AO56" s="4">
        <v>0</v>
      </c>
      <c r="AP56" s="4">
        <v>1</v>
      </c>
      <c r="AQ56" s="4" t="s">
        <v>652</v>
      </c>
      <c r="AS56">
        <v>0</v>
      </c>
      <c r="AT56">
        <v>0</v>
      </c>
      <c r="AU56" s="33">
        <v>3429.9999999999959</v>
      </c>
      <c r="AV56" s="36" t="s">
        <v>644</v>
      </c>
      <c r="AW56" s="4">
        <v>3428.0000000000018</v>
      </c>
      <c r="AX56" s="4" t="str">
        <f>IFERROR(VLOOKUP(M56,Roster!$L$2:$M$27,2,FALSE),"")</f>
        <v>R</v>
      </c>
      <c r="AY56" s="4" t="str">
        <f t="shared" si="2"/>
        <v>0好0壞</v>
      </c>
      <c r="BI56" s="5" t="str">
        <f>Lineup!$G$2</f>
        <v>20210817</v>
      </c>
      <c r="BJ56" s="4" t="str">
        <f t="shared" si="3"/>
        <v>偏外角低</v>
      </c>
      <c r="BK56" s="4" t="str">
        <f t="shared" si="4"/>
        <v>1B0O</v>
      </c>
      <c r="BL56" s="4" t="str">
        <f>IFERROR(VLOOKUP(E56,Roster!$D$2:$E$27,2,FALSE),"")</f>
        <v>L</v>
      </c>
      <c r="BP56" s="49"/>
      <c r="BQ56" s="49"/>
      <c r="BR56" s="49"/>
      <c r="BS56" s="49"/>
      <c r="BT56" s="49"/>
      <c r="BU56" s="49"/>
      <c r="BY56" s="4">
        <f t="shared" si="0"/>
        <v>80.25</v>
      </c>
      <c r="BZ56" s="4">
        <f t="shared" si="1"/>
        <v>246</v>
      </c>
      <c r="CD56" s="5" t="str">
        <f>Lineup!$G$1</f>
        <v>一軍例行賽</v>
      </c>
      <c r="CE56" s="4">
        <f>Lineup!$I$1</f>
        <v>148</v>
      </c>
      <c r="CF56" s="5" t="str">
        <f>Lineup!$G$5</f>
        <v>王俊宏</v>
      </c>
      <c r="CG56" s="5" t="str">
        <f>Lineup!$G$4</f>
        <v>桃園</v>
      </c>
    </row>
    <row r="57" spans="1:85" x14ac:dyDescent="0.3">
      <c r="A57" s="4">
        <v>56</v>
      </c>
      <c r="B57" s="4">
        <v>1</v>
      </c>
      <c r="C57" s="4">
        <v>3</v>
      </c>
      <c r="D57" s="4">
        <v>3</v>
      </c>
      <c r="E57" s="4" t="s">
        <v>611</v>
      </c>
      <c r="F57" s="4" t="s">
        <v>343</v>
      </c>
      <c r="G57" s="4">
        <v>52</v>
      </c>
      <c r="H57" s="4">
        <v>30</v>
      </c>
      <c r="I57" s="4">
        <v>22</v>
      </c>
      <c r="J57" s="4">
        <v>0</v>
      </c>
      <c r="K57" s="4">
        <v>125</v>
      </c>
      <c r="L57" s="4" t="s">
        <v>665</v>
      </c>
      <c r="M57" s="4" t="s">
        <v>396</v>
      </c>
      <c r="N57" s="4" t="s">
        <v>649</v>
      </c>
      <c r="O57" s="4">
        <v>91.5</v>
      </c>
      <c r="P57" s="4">
        <v>115.5</v>
      </c>
      <c r="Q57" s="4" t="s">
        <v>639</v>
      </c>
      <c r="R57" s="5" t="s">
        <v>690</v>
      </c>
      <c r="AB57" s="4" t="s">
        <v>266</v>
      </c>
      <c r="AO57" s="4">
        <v>1</v>
      </c>
      <c r="AP57" s="4">
        <v>1</v>
      </c>
      <c r="AQ57" s="4" t="s">
        <v>645</v>
      </c>
      <c r="AS57">
        <v>0</v>
      </c>
      <c r="AT57">
        <v>1</v>
      </c>
      <c r="AU57" s="33">
        <v>3456.0000000000032</v>
      </c>
      <c r="AV57" s="36" t="s">
        <v>644</v>
      </c>
      <c r="AW57" s="4">
        <v>3452.0000000000055</v>
      </c>
      <c r="AX57" s="4" t="str">
        <f>IFERROR(VLOOKUP(M57,Roster!$L$2:$M$27,2,FALSE),"")</f>
        <v>R</v>
      </c>
      <c r="AY57" s="4" t="str">
        <f t="shared" si="2"/>
        <v>0好1壞</v>
      </c>
      <c r="BI57" s="5" t="str">
        <f>Lineup!$G$2</f>
        <v>20210817</v>
      </c>
      <c r="BJ57" s="4" t="str">
        <f t="shared" si="3"/>
        <v>內角低</v>
      </c>
      <c r="BK57" s="4" t="str">
        <f t="shared" si="4"/>
        <v>1B0O</v>
      </c>
      <c r="BL57" s="4" t="str">
        <f>IFERROR(VLOOKUP(E57,Roster!$D$2:$E$27,2,FALSE),"")</f>
        <v>L</v>
      </c>
      <c r="BP57" s="49"/>
      <c r="BQ57" s="49"/>
      <c r="BR57" s="49"/>
      <c r="BS57" s="49"/>
      <c r="BT57" s="49"/>
      <c r="BU57" s="49"/>
      <c r="BY57" s="4">
        <f t="shared" si="0"/>
        <v>70.5</v>
      </c>
      <c r="BZ57" s="4">
        <f t="shared" si="1"/>
        <v>246</v>
      </c>
      <c r="CD57" s="5" t="str">
        <f>Lineup!$G$1</f>
        <v>一軍例行賽</v>
      </c>
      <c r="CE57" s="4">
        <f>Lineup!$I$1</f>
        <v>148</v>
      </c>
      <c r="CF57" s="5" t="str">
        <f>Lineup!$G$5</f>
        <v>王俊宏</v>
      </c>
      <c r="CG57" s="5" t="str">
        <f>Lineup!$G$4</f>
        <v>桃園</v>
      </c>
    </row>
    <row r="58" spans="1:85" x14ac:dyDescent="0.3">
      <c r="A58" s="4">
        <v>57</v>
      </c>
      <c r="B58" s="4">
        <v>1</v>
      </c>
      <c r="C58" s="4">
        <v>3</v>
      </c>
      <c r="D58" s="4">
        <v>3</v>
      </c>
      <c r="E58" s="4" t="s">
        <v>611</v>
      </c>
      <c r="F58" s="4" t="s">
        <v>343</v>
      </c>
      <c r="G58" s="4">
        <v>53</v>
      </c>
      <c r="H58" s="4">
        <v>31</v>
      </c>
      <c r="I58" s="4">
        <v>22</v>
      </c>
      <c r="J58" s="4">
        <v>0</v>
      </c>
      <c r="K58" s="4">
        <v>125</v>
      </c>
      <c r="L58" s="4" t="s">
        <v>665</v>
      </c>
      <c r="M58" s="4" t="s">
        <v>396</v>
      </c>
      <c r="N58" s="4" t="s">
        <v>649</v>
      </c>
      <c r="O58" s="4">
        <v>67.5</v>
      </c>
      <c r="P58" s="4">
        <v>135.75</v>
      </c>
      <c r="Q58" s="4" t="s">
        <v>639</v>
      </c>
      <c r="R58" s="5" t="s">
        <v>690</v>
      </c>
      <c r="AB58" s="4" t="s">
        <v>266</v>
      </c>
      <c r="AO58" s="4">
        <v>2</v>
      </c>
      <c r="AP58" s="4">
        <v>1</v>
      </c>
      <c r="AQ58" s="4" t="s">
        <v>647</v>
      </c>
      <c r="AS58">
        <v>1</v>
      </c>
      <c r="AT58">
        <v>1</v>
      </c>
      <c r="AU58" s="33">
        <v>3479.9999999999973</v>
      </c>
      <c r="AV58" s="36" t="s">
        <v>644</v>
      </c>
      <c r="AW58" s="4">
        <v>3475.0000000000027</v>
      </c>
      <c r="AX58" s="4" t="str">
        <f>IFERROR(VLOOKUP(M58,Roster!$L$2:$M$27,2,FALSE),"")</f>
        <v>R</v>
      </c>
      <c r="AY58" s="4" t="str">
        <f t="shared" si="2"/>
        <v>1好1壞</v>
      </c>
      <c r="BI58" s="5" t="str">
        <f>Lineup!$G$2</f>
        <v>20210817</v>
      </c>
      <c r="BJ58" s="4" t="str">
        <f t="shared" si="3"/>
        <v>中偏低</v>
      </c>
      <c r="BK58" s="4" t="str">
        <f t="shared" si="4"/>
        <v>1B0O</v>
      </c>
      <c r="BL58" s="4" t="str">
        <f>IFERROR(VLOOKUP(E58,Roster!$D$2:$E$27,2,FALSE),"")</f>
        <v>L</v>
      </c>
      <c r="BP58" s="49"/>
      <c r="BQ58" s="49"/>
      <c r="BR58" s="49"/>
      <c r="BS58" s="49"/>
      <c r="BT58" s="49"/>
      <c r="BU58" s="49"/>
      <c r="BY58" s="4">
        <f t="shared" si="0"/>
        <v>50.25</v>
      </c>
      <c r="BZ58" s="4">
        <f t="shared" si="1"/>
        <v>246</v>
      </c>
      <c r="CD58" s="5" t="str">
        <f>Lineup!$G$1</f>
        <v>一軍例行賽</v>
      </c>
      <c r="CE58" s="4">
        <f>Lineup!$I$1</f>
        <v>148</v>
      </c>
      <c r="CF58" s="5" t="str">
        <f>Lineup!$G$5</f>
        <v>王俊宏</v>
      </c>
      <c r="CG58" s="5" t="str">
        <f>Lineup!$G$4</f>
        <v>桃園</v>
      </c>
    </row>
    <row r="59" spans="1:85" x14ac:dyDescent="0.3">
      <c r="A59" s="4">
        <v>58</v>
      </c>
      <c r="B59" s="4">
        <v>1</v>
      </c>
      <c r="C59" s="4">
        <v>3</v>
      </c>
      <c r="D59" s="4">
        <v>3</v>
      </c>
      <c r="E59" s="4" t="s">
        <v>611</v>
      </c>
      <c r="F59" s="4" t="s">
        <v>343</v>
      </c>
      <c r="G59" s="4">
        <v>54</v>
      </c>
      <c r="H59" s="4">
        <v>32</v>
      </c>
      <c r="I59" s="4">
        <v>22</v>
      </c>
      <c r="J59" s="4">
        <v>1</v>
      </c>
      <c r="K59" s="4">
        <v>140</v>
      </c>
      <c r="L59" s="4" t="s">
        <v>643</v>
      </c>
      <c r="M59" s="4" t="s">
        <v>396</v>
      </c>
      <c r="N59" s="4" t="s">
        <v>649</v>
      </c>
      <c r="O59" s="4">
        <v>94.5</v>
      </c>
      <c r="P59" s="4">
        <v>67.5</v>
      </c>
      <c r="Q59" s="4" t="s">
        <v>639</v>
      </c>
      <c r="R59" s="5" t="s">
        <v>676</v>
      </c>
      <c r="S59" s="4">
        <v>181.5</v>
      </c>
      <c r="T59" s="4">
        <v>50.25</v>
      </c>
      <c r="U59" s="4" t="s">
        <v>571</v>
      </c>
      <c r="AB59" s="4" t="s">
        <v>266</v>
      </c>
      <c r="AE59" s="4" t="s">
        <v>661</v>
      </c>
      <c r="AF59" s="4" t="s">
        <v>661</v>
      </c>
      <c r="AG59" s="4" t="s">
        <v>661</v>
      </c>
      <c r="AH59" s="4" t="s">
        <v>396</v>
      </c>
      <c r="AK59" s="4">
        <v>1</v>
      </c>
      <c r="AM59" s="4">
        <v>1</v>
      </c>
      <c r="AO59" s="4">
        <v>3</v>
      </c>
      <c r="AP59" s="4">
        <v>1</v>
      </c>
      <c r="AQ59" s="4" t="s">
        <v>648</v>
      </c>
      <c r="AR59" s="4" t="s">
        <v>677</v>
      </c>
      <c r="AS59">
        <v>2</v>
      </c>
      <c r="AT59">
        <v>1</v>
      </c>
      <c r="AU59" s="33">
        <v>3516.0000000000027</v>
      </c>
      <c r="AV59" s="36" t="s">
        <v>644</v>
      </c>
      <c r="AW59" s="4">
        <v>3506.9999999999918</v>
      </c>
      <c r="AX59" s="4" t="str">
        <f>IFERROR(VLOOKUP(M59,Roster!$L$2:$M$27,2,FALSE),"")</f>
        <v>R</v>
      </c>
      <c r="AY59" s="4" t="str">
        <f t="shared" si="2"/>
        <v>2好1壞</v>
      </c>
      <c r="BI59" s="5" t="str">
        <f>Lineup!$G$2</f>
        <v>20210817</v>
      </c>
      <c r="BJ59" s="4" t="str">
        <f t="shared" si="3"/>
        <v>內角高</v>
      </c>
      <c r="BK59" s="4" t="str">
        <f t="shared" si="4"/>
        <v>1B0O</v>
      </c>
      <c r="BL59" s="4" t="str">
        <f>IFERROR(VLOOKUP(E59,Roster!$D$2:$E$27,2,FALSE),"")</f>
        <v>L</v>
      </c>
      <c r="BP59" s="49"/>
      <c r="BQ59" s="49"/>
      <c r="BR59" s="49"/>
      <c r="BS59" s="49"/>
      <c r="BT59" s="49"/>
      <c r="BU59" s="49"/>
      <c r="BY59" s="4">
        <f t="shared" si="0"/>
        <v>118.5</v>
      </c>
      <c r="BZ59" s="4">
        <f t="shared" si="1"/>
        <v>195.75</v>
      </c>
      <c r="CD59" s="5" t="str">
        <f>Lineup!$G$1</f>
        <v>一軍例行賽</v>
      </c>
      <c r="CE59" s="4">
        <f>Lineup!$I$1</f>
        <v>148</v>
      </c>
      <c r="CF59" s="5" t="str">
        <f>Lineup!$G$5</f>
        <v>王俊宏</v>
      </c>
      <c r="CG59" s="5" t="str">
        <f>Lineup!$G$4</f>
        <v>桃園</v>
      </c>
    </row>
    <row r="60" spans="1:85" x14ac:dyDescent="0.3">
      <c r="A60" s="4">
        <v>59</v>
      </c>
      <c r="B60" s="4">
        <v>1</v>
      </c>
      <c r="C60" s="4">
        <v>3</v>
      </c>
      <c r="D60" s="4">
        <v>3</v>
      </c>
      <c r="E60" s="4" t="s">
        <v>611</v>
      </c>
      <c r="F60" s="4" t="s">
        <v>343</v>
      </c>
      <c r="G60" s="4">
        <v>55</v>
      </c>
      <c r="H60" s="4">
        <v>32</v>
      </c>
      <c r="I60" s="4">
        <v>23</v>
      </c>
      <c r="J60" s="4">
        <v>1</v>
      </c>
      <c r="L60" s="4" t="s">
        <v>643</v>
      </c>
      <c r="M60" s="4" t="s">
        <v>346</v>
      </c>
      <c r="N60" s="4" t="s">
        <v>642</v>
      </c>
      <c r="O60" s="4">
        <v>97.5</v>
      </c>
      <c r="P60" s="4">
        <v>45</v>
      </c>
      <c r="Q60" s="4" t="s">
        <v>641</v>
      </c>
      <c r="AB60" s="4" t="s">
        <v>266</v>
      </c>
      <c r="AO60" s="4">
        <v>0</v>
      </c>
      <c r="AP60" s="4">
        <v>1</v>
      </c>
      <c r="AQ60" s="4" t="s">
        <v>652</v>
      </c>
      <c r="AS60">
        <v>0</v>
      </c>
      <c r="AT60">
        <v>0</v>
      </c>
      <c r="AU60" s="33">
        <v>3558</v>
      </c>
      <c r="AV60" s="36" t="s">
        <v>644</v>
      </c>
      <c r="AW60" s="4">
        <v>3554.9999999999995</v>
      </c>
      <c r="AX60" s="4" t="str">
        <f>IFERROR(VLOOKUP(M60,Roster!$L$2:$M$27,2,FALSE),"")</f>
        <v>R</v>
      </c>
      <c r="AY60" s="4" t="str">
        <f t="shared" si="2"/>
        <v>0好0壞</v>
      </c>
      <c r="BI60" s="5" t="str">
        <f>Lineup!$G$2</f>
        <v>20210817</v>
      </c>
      <c r="BJ60" s="4" t="str">
        <f t="shared" si="3"/>
        <v>內角偏高</v>
      </c>
      <c r="BK60" s="4" t="str">
        <f t="shared" si="4"/>
        <v>1B1O</v>
      </c>
      <c r="BL60" s="4" t="str">
        <f>IFERROR(VLOOKUP(E60,Roster!$D$2:$E$27,2,FALSE),"")</f>
        <v>L</v>
      </c>
      <c r="BP60" s="49"/>
      <c r="BQ60" s="49"/>
      <c r="BR60" s="49"/>
      <c r="BS60" s="49"/>
      <c r="BT60" s="49"/>
      <c r="BU60" s="49"/>
      <c r="BY60" s="4">
        <f t="shared" si="0"/>
        <v>141</v>
      </c>
      <c r="BZ60" s="4">
        <f t="shared" si="1"/>
        <v>246</v>
      </c>
      <c r="CD60" s="5" t="str">
        <f>Lineup!$G$1</f>
        <v>一軍例行賽</v>
      </c>
      <c r="CE60" s="4">
        <f>Lineup!$I$1</f>
        <v>148</v>
      </c>
      <c r="CF60" s="5" t="str">
        <f>Lineup!$G$5</f>
        <v>王俊宏</v>
      </c>
      <c r="CG60" s="5" t="str">
        <f>Lineup!$G$4</f>
        <v>桃園</v>
      </c>
    </row>
    <row r="61" spans="1:85" x14ac:dyDescent="0.3">
      <c r="A61" s="4">
        <v>60</v>
      </c>
      <c r="B61" s="4">
        <v>1</v>
      </c>
      <c r="C61" s="4">
        <v>3</v>
      </c>
      <c r="D61" s="4">
        <v>3</v>
      </c>
      <c r="E61" s="4" t="s">
        <v>611</v>
      </c>
      <c r="F61" s="4" t="s">
        <v>343</v>
      </c>
      <c r="G61" s="4">
        <v>56</v>
      </c>
      <c r="H61" s="4">
        <v>32</v>
      </c>
      <c r="I61" s="4">
        <v>24</v>
      </c>
      <c r="J61" s="4">
        <v>1</v>
      </c>
      <c r="K61" s="4">
        <v>125</v>
      </c>
      <c r="L61" s="4" t="s">
        <v>665</v>
      </c>
      <c r="M61" s="4" t="s">
        <v>346</v>
      </c>
      <c r="N61" s="4" t="s">
        <v>642</v>
      </c>
      <c r="O61" s="4">
        <v>116.25</v>
      </c>
      <c r="P61" s="4">
        <v>131.25</v>
      </c>
      <c r="Q61" s="4" t="s">
        <v>641</v>
      </c>
      <c r="AB61" s="4" t="s">
        <v>266</v>
      </c>
      <c r="AO61" s="4">
        <v>0</v>
      </c>
      <c r="AP61" s="4">
        <v>2</v>
      </c>
      <c r="AQ61" s="4" t="s">
        <v>653</v>
      </c>
      <c r="AS61">
        <v>0</v>
      </c>
      <c r="AT61">
        <v>1</v>
      </c>
      <c r="AU61" s="33">
        <v>3582.9999999999909</v>
      </c>
      <c r="AV61" s="36" t="s">
        <v>644</v>
      </c>
      <c r="AW61" s="4">
        <v>3578.9999999999936</v>
      </c>
      <c r="AX61" s="4" t="str">
        <f>IFERROR(VLOOKUP(M61,Roster!$L$2:$M$27,2,FALSE),"")</f>
        <v>R</v>
      </c>
      <c r="AY61" s="4" t="str">
        <f t="shared" si="2"/>
        <v>0好1壞</v>
      </c>
      <c r="BI61" s="5" t="str">
        <f>Lineup!$G$2</f>
        <v>20210817</v>
      </c>
      <c r="BJ61" s="4" t="str">
        <f t="shared" si="3"/>
        <v>偏內角偏低</v>
      </c>
      <c r="BK61" s="4" t="str">
        <f t="shared" si="4"/>
        <v>1B1O</v>
      </c>
      <c r="BL61" s="4" t="str">
        <f>IFERROR(VLOOKUP(E61,Roster!$D$2:$E$27,2,FALSE),"")</f>
        <v>L</v>
      </c>
      <c r="BP61" s="49"/>
      <c r="BQ61" s="49"/>
      <c r="BR61" s="49"/>
      <c r="BS61" s="49"/>
      <c r="BT61" s="49"/>
      <c r="BU61" s="49"/>
      <c r="BY61" s="4">
        <f t="shared" si="0"/>
        <v>54.75</v>
      </c>
      <c r="BZ61" s="4">
        <f t="shared" si="1"/>
        <v>246</v>
      </c>
      <c r="CD61" s="5" t="str">
        <f>Lineup!$G$1</f>
        <v>一軍例行賽</v>
      </c>
      <c r="CE61" s="4">
        <f>Lineup!$I$1</f>
        <v>148</v>
      </c>
      <c r="CF61" s="5" t="str">
        <f>Lineup!$G$5</f>
        <v>王俊宏</v>
      </c>
      <c r="CG61" s="5" t="str">
        <f>Lineup!$G$4</f>
        <v>桃園</v>
      </c>
    </row>
    <row r="62" spans="1:85" x14ac:dyDescent="0.3">
      <c r="A62" s="4">
        <v>61</v>
      </c>
      <c r="B62" s="4">
        <v>1</v>
      </c>
      <c r="C62" s="4">
        <v>5</v>
      </c>
      <c r="D62" s="4">
        <v>3</v>
      </c>
      <c r="E62" s="4" t="s">
        <v>611</v>
      </c>
      <c r="F62" s="4" t="s">
        <v>343</v>
      </c>
      <c r="G62" s="4">
        <v>57</v>
      </c>
      <c r="H62" s="4">
        <v>33</v>
      </c>
      <c r="I62" s="4">
        <v>24</v>
      </c>
      <c r="J62" s="4">
        <v>1</v>
      </c>
      <c r="K62" s="4">
        <v>141</v>
      </c>
      <c r="L62" s="4" t="s">
        <v>643</v>
      </c>
      <c r="M62" s="4" t="s">
        <v>346</v>
      </c>
      <c r="N62" s="4" t="s">
        <v>649</v>
      </c>
      <c r="O62" s="4">
        <v>67.5</v>
      </c>
      <c r="P62" s="4">
        <v>86.25</v>
      </c>
      <c r="Q62" s="4" t="s">
        <v>639</v>
      </c>
      <c r="R62" s="5" t="s">
        <v>695</v>
      </c>
      <c r="AE62" s="4" t="s">
        <v>707</v>
      </c>
      <c r="AF62" s="4" t="s">
        <v>661</v>
      </c>
      <c r="AG62" s="4" t="s">
        <v>661</v>
      </c>
      <c r="AM62" s="4">
        <v>1</v>
      </c>
      <c r="AO62" s="4">
        <v>1</v>
      </c>
      <c r="AP62" s="4">
        <v>2</v>
      </c>
      <c r="AQ62" s="4" t="s">
        <v>654</v>
      </c>
      <c r="AS62">
        <v>0</v>
      </c>
      <c r="AT62">
        <v>2</v>
      </c>
      <c r="AU62" s="33">
        <v>3618.9999999999964</v>
      </c>
      <c r="AV62" s="36" t="s">
        <v>644</v>
      </c>
      <c r="AW62" s="4">
        <v>3605.0000000000009</v>
      </c>
      <c r="AX62" s="4" t="str">
        <f>IFERROR(VLOOKUP(M62,Roster!$L$2:$M$27,2,FALSE),"")</f>
        <v>R</v>
      </c>
      <c r="AY62" s="4" t="str">
        <f t="shared" si="2"/>
        <v>0好2壞</v>
      </c>
      <c r="BI62" s="5" t="str">
        <f>Lineup!$G$2</f>
        <v>20210817</v>
      </c>
      <c r="BJ62" s="4" t="str">
        <f t="shared" si="3"/>
        <v>中中</v>
      </c>
      <c r="BK62" s="4" t="str">
        <f t="shared" si="4"/>
        <v>1B1O</v>
      </c>
      <c r="BL62" s="4" t="str">
        <f>IFERROR(VLOOKUP(E62,Roster!$D$2:$E$27,2,FALSE),"")</f>
        <v>L</v>
      </c>
      <c r="BP62" s="49"/>
      <c r="BQ62" s="49"/>
      <c r="BR62" s="49"/>
      <c r="BS62" s="49"/>
      <c r="BT62" s="49"/>
      <c r="BU62" s="49"/>
      <c r="BY62" s="4">
        <f t="shared" si="0"/>
        <v>99.75</v>
      </c>
      <c r="BZ62" s="4">
        <f t="shared" si="1"/>
        <v>246</v>
      </c>
      <c r="CD62" s="5" t="str">
        <f>Lineup!$G$1</f>
        <v>一軍例行賽</v>
      </c>
      <c r="CE62" s="4">
        <f>Lineup!$I$1</f>
        <v>148</v>
      </c>
      <c r="CF62" s="5" t="str">
        <f>Lineup!$G$5</f>
        <v>王俊宏</v>
      </c>
      <c r="CG62" s="5" t="str">
        <f>Lineup!$G$4</f>
        <v>桃園</v>
      </c>
    </row>
    <row r="63" spans="1:85" x14ac:dyDescent="0.3">
      <c r="A63" s="4">
        <v>62</v>
      </c>
      <c r="B63" s="4">
        <v>1</v>
      </c>
      <c r="C63" s="4">
        <v>5</v>
      </c>
      <c r="D63" s="4">
        <v>3</v>
      </c>
      <c r="E63" s="4" t="s">
        <v>433</v>
      </c>
      <c r="F63" s="4" t="s">
        <v>343</v>
      </c>
      <c r="G63" s="4">
        <v>1</v>
      </c>
      <c r="H63" s="4">
        <v>0</v>
      </c>
      <c r="I63" s="4">
        <v>1</v>
      </c>
      <c r="J63" s="4">
        <v>1</v>
      </c>
      <c r="L63" s="4" t="s">
        <v>643</v>
      </c>
      <c r="M63" s="4" t="s">
        <v>360</v>
      </c>
      <c r="N63" s="4" t="s">
        <v>642</v>
      </c>
      <c r="O63" s="4">
        <v>79.5</v>
      </c>
      <c r="P63" s="4">
        <v>128.25</v>
      </c>
      <c r="Q63" s="4" t="s">
        <v>641</v>
      </c>
      <c r="AO63" s="4">
        <v>0</v>
      </c>
      <c r="AP63" s="4">
        <v>1</v>
      </c>
      <c r="AQ63" s="4" t="s">
        <v>652</v>
      </c>
      <c r="AS63">
        <v>0</v>
      </c>
      <c r="AT63">
        <v>0</v>
      </c>
      <c r="AU63" s="33">
        <v>3814.9999999999955</v>
      </c>
      <c r="AV63" s="36" t="s">
        <v>644</v>
      </c>
      <c r="AW63" s="4">
        <v>3811.0000000000073</v>
      </c>
      <c r="AX63" s="4" t="str">
        <f>IFERROR(VLOOKUP(M63,Roster!$L$2:$M$27,2,FALSE),"")</f>
        <v>L</v>
      </c>
      <c r="AY63" s="4" t="str">
        <f t="shared" si="2"/>
        <v>0好0壞</v>
      </c>
      <c r="BI63" s="5" t="str">
        <f>Lineup!$G$2</f>
        <v>20210817</v>
      </c>
      <c r="BJ63" s="4" t="str">
        <f t="shared" ref="BJ63:BJ67" si="5">IF(AX63="R",IF(O63&lt;46.8,"偏外角",IF(O63&lt;65.5,"外角",IF(O63&lt;84.4,"中",IF(O63 &lt; 103.2,"內角","偏內角"))))&amp;IF(P63&lt;57,"偏高",IF(P63&lt;79.8,"高",IF(P63&lt;102.7,"中",IF(P63 &lt; 125.5,"低","偏低")))),IF(O63&lt;46.8,"偏內角",IF(O63&lt;65.5,"內角",IF(O63&lt;84.4,"中",IF(O63 &lt; 103.2,"外角","偏外角"))))&amp;IF(P63&lt;57,"偏高",IF(P63&lt;79.8,"高",IF(P63&lt;102.7,"中",IF(P63 &lt; 125.5,"低","偏低"))))
)</f>
        <v>中偏低</v>
      </c>
      <c r="BK63" s="4" t="str">
        <f t="shared" si="4"/>
        <v>B1O</v>
      </c>
      <c r="BL63" s="4" t="str">
        <f>IFERROR(VLOOKUP(E63,Roster!$D$2:$E$27,2,FALSE),"")</f>
        <v>L</v>
      </c>
      <c r="BP63" s="49"/>
      <c r="BQ63" s="49"/>
      <c r="BR63" s="49"/>
      <c r="BS63" s="49"/>
      <c r="BT63" s="49"/>
      <c r="BU63" s="49"/>
      <c r="BY63" s="4">
        <f t="shared" ref="BY63:BY122" si="6">186-P63</f>
        <v>57.75</v>
      </c>
      <c r="BZ63" s="4">
        <f t="shared" ref="BZ63:BZ122" si="7">246-T63</f>
        <v>246</v>
      </c>
      <c r="CD63" s="5" t="str">
        <f>Lineup!$G$1</f>
        <v>一軍例行賽</v>
      </c>
      <c r="CE63" s="4">
        <f>Lineup!$I$1</f>
        <v>148</v>
      </c>
      <c r="CF63" s="5" t="str">
        <f>Lineup!$G$5</f>
        <v>王俊宏</v>
      </c>
      <c r="CG63" s="5" t="str">
        <f>Lineup!$G$4</f>
        <v>桃園</v>
      </c>
    </row>
    <row r="64" spans="1:85" x14ac:dyDescent="0.3">
      <c r="A64" s="4">
        <v>63</v>
      </c>
      <c r="B64" s="4">
        <v>1</v>
      </c>
      <c r="C64" s="4">
        <v>5</v>
      </c>
      <c r="D64" s="4">
        <v>3</v>
      </c>
      <c r="E64" s="4" t="s">
        <v>433</v>
      </c>
      <c r="F64" s="4" t="s">
        <v>343</v>
      </c>
      <c r="G64" s="4">
        <v>2</v>
      </c>
      <c r="H64" s="4">
        <v>1</v>
      </c>
      <c r="I64" s="4">
        <v>1</v>
      </c>
      <c r="J64" s="4">
        <v>1</v>
      </c>
      <c r="K64" s="4">
        <v>142</v>
      </c>
      <c r="L64" s="4" t="s">
        <v>643</v>
      </c>
      <c r="M64" s="4" t="s">
        <v>360</v>
      </c>
      <c r="N64" s="4" t="s">
        <v>642</v>
      </c>
      <c r="O64" s="4">
        <v>97.5</v>
      </c>
      <c r="P64" s="4">
        <v>104.25</v>
      </c>
      <c r="Q64" s="4" t="s">
        <v>639</v>
      </c>
      <c r="AO64" s="4">
        <v>1</v>
      </c>
      <c r="AP64" s="4">
        <v>1</v>
      </c>
      <c r="AQ64" s="4" t="s">
        <v>645</v>
      </c>
      <c r="AS64">
        <v>0</v>
      </c>
      <c r="AT64">
        <v>1</v>
      </c>
      <c r="AU64" s="33">
        <v>3834.9999999999918</v>
      </c>
      <c r="AV64" s="36" t="s">
        <v>644</v>
      </c>
      <c r="AW64" s="4">
        <v>3832.0000000000009</v>
      </c>
      <c r="AX64" s="4" t="str">
        <f>IFERROR(VLOOKUP(M64,Roster!$L$2:$M$27,2,FALSE),"")</f>
        <v>L</v>
      </c>
      <c r="AY64" s="4" t="str">
        <f t="shared" si="2"/>
        <v>0好1壞</v>
      </c>
      <c r="BI64" s="5" t="str">
        <f>Lineup!$G$2</f>
        <v>20210817</v>
      </c>
      <c r="BJ64" s="4" t="str">
        <f t="shared" si="5"/>
        <v>外角低</v>
      </c>
      <c r="BK64" s="4" t="str">
        <f t="shared" si="4"/>
        <v>B1O</v>
      </c>
      <c r="BL64" s="4" t="str">
        <f>IFERROR(VLOOKUP(E64,Roster!$D$2:$E$27,2,FALSE),"")</f>
        <v>L</v>
      </c>
      <c r="BP64" s="49"/>
      <c r="BQ64" s="49"/>
      <c r="BR64" s="49"/>
      <c r="BS64" s="49"/>
      <c r="BT64" s="49"/>
      <c r="BU64" s="49"/>
      <c r="BY64" s="4">
        <f t="shared" si="6"/>
        <v>81.75</v>
      </c>
      <c r="BZ64" s="4">
        <f t="shared" si="7"/>
        <v>246</v>
      </c>
      <c r="CD64" s="5" t="str">
        <f>Lineup!$G$1</f>
        <v>一軍例行賽</v>
      </c>
      <c r="CE64" s="4">
        <f>Lineup!$I$1</f>
        <v>148</v>
      </c>
      <c r="CF64" s="5" t="str">
        <f>Lineup!$G$5</f>
        <v>王俊宏</v>
      </c>
      <c r="CG64" s="5" t="str">
        <f>Lineup!$G$4</f>
        <v>桃園</v>
      </c>
    </row>
    <row r="65" spans="1:85" x14ac:dyDescent="0.3">
      <c r="A65" s="4">
        <v>64</v>
      </c>
      <c r="B65" s="4">
        <v>1</v>
      </c>
      <c r="C65" s="4">
        <v>5</v>
      </c>
      <c r="D65" s="4">
        <v>3</v>
      </c>
      <c r="E65" s="4" t="s">
        <v>433</v>
      </c>
      <c r="F65" s="4" t="s">
        <v>343</v>
      </c>
      <c r="G65" s="4">
        <v>3</v>
      </c>
      <c r="H65" s="4">
        <v>2</v>
      </c>
      <c r="I65" s="4">
        <v>1</v>
      </c>
      <c r="J65" s="4">
        <v>1</v>
      </c>
      <c r="K65" s="4">
        <v>145</v>
      </c>
      <c r="L65" s="4" t="s">
        <v>643</v>
      </c>
      <c r="M65" s="4" t="s">
        <v>360</v>
      </c>
      <c r="N65" s="4" t="s">
        <v>649</v>
      </c>
      <c r="O65" s="4">
        <v>67.5</v>
      </c>
      <c r="P65" s="4">
        <v>87</v>
      </c>
      <c r="Q65" s="4" t="s">
        <v>109</v>
      </c>
      <c r="R65" s="5" t="s">
        <v>656</v>
      </c>
      <c r="S65" s="4">
        <v>204.75</v>
      </c>
      <c r="T65" s="4">
        <v>90.75</v>
      </c>
      <c r="U65" s="4" t="s">
        <v>571</v>
      </c>
      <c r="AB65" s="4" t="s">
        <v>360</v>
      </c>
      <c r="AM65" s="4">
        <v>1</v>
      </c>
      <c r="AO65" s="4">
        <v>2</v>
      </c>
      <c r="AP65" s="4">
        <v>1</v>
      </c>
      <c r="AQ65" s="4" t="s">
        <v>647</v>
      </c>
      <c r="AS65">
        <v>1</v>
      </c>
      <c r="AT65">
        <v>1</v>
      </c>
      <c r="AU65" s="33">
        <v>3860.9999999999895</v>
      </c>
      <c r="AV65" s="36" t="s">
        <v>644</v>
      </c>
      <c r="AW65" s="4">
        <v>3851.0000000000009</v>
      </c>
      <c r="AX65" s="4" t="str">
        <f>IFERROR(VLOOKUP(M65,Roster!$L$2:$M$27,2,FALSE),"")</f>
        <v>L</v>
      </c>
      <c r="AY65" s="4" t="str">
        <f t="shared" si="2"/>
        <v>1好1壞</v>
      </c>
      <c r="BI65" s="5" t="str">
        <f>Lineup!$G$2</f>
        <v>20210817</v>
      </c>
      <c r="BJ65" s="4" t="str">
        <f t="shared" si="5"/>
        <v>中中</v>
      </c>
      <c r="BK65" s="4" t="str">
        <f t="shared" si="4"/>
        <v>B1O</v>
      </c>
      <c r="BL65" s="4" t="str">
        <f>IFERROR(VLOOKUP(E65,Roster!$D$2:$E$27,2,FALSE),"")</f>
        <v>L</v>
      </c>
      <c r="BP65" s="49"/>
      <c r="BQ65" s="49"/>
      <c r="BR65" s="49"/>
      <c r="BS65" s="49"/>
      <c r="BT65" s="49"/>
      <c r="BU65" s="49"/>
      <c r="BY65" s="4">
        <f t="shared" si="6"/>
        <v>99</v>
      </c>
      <c r="BZ65" s="4">
        <f t="shared" si="7"/>
        <v>155.25</v>
      </c>
      <c r="CD65" s="5" t="str">
        <f>Lineup!$G$1</f>
        <v>一軍例行賽</v>
      </c>
      <c r="CE65" s="4">
        <f>Lineup!$I$1</f>
        <v>148</v>
      </c>
      <c r="CF65" s="5" t="str">
        <f>Lineup!$G$5</f>
        <v>王俊宏</v>
      </c>
      <c r="CG65" s="5" t="str">
        <f>Lineup!$G$4</f>
        <v>桃園</v>
      </c>
    </row>
    <row r="66" spans="1:85" x14ac:dyDescent="0.3">
      <c r="A66" s="4">
        <v>65</v>
      </c>
      <c r="B66" s="4">
        <v>1</v>
      </c>
      <c r="C66" s="4">
        <v>5</v>
      </c>
      <c r="D66" s="4">
        <v>3</v>
      </c>
      <c r="E66" s="4" t="s">
        <v>433</v>
      </c>
      <c r="F66" s="4" t="s">
        <v>343</v>
      </c>
      <c r="G66" s="4">
        <v>4</v>
      </c>
      <c r="H66" s="4">
        <v>3</v>
      </c>
      <c r="I66" s="4">
        <v>1</v>
      </c>
      <c r="J66" s="4">
        <v>1</v>
      </c>
      <c r="L66" s="4" t="s">
        <v>643</v>
      </c>
      <c r="M66" s="4" t="s">
        <v>341</v>
      </c>
      <c r="N66" s="4" t="s">
        <v>642</v>
      </c>
      <c r="O66" s="4">
        <v>43.5</v>
      </c>
      <c r="P66" s="4">
        <v>109.5</v>
      </c>
      <c r="Q66" s="4" t="s">
        <v>639</v>
      </c>
      <c r="AB66" s="4" t="s">
        <v>360</v>
      </c>
      <c r="AO66" s="4">
        <v>1</v>
      </c>
      <c r="AP66" s="4">
        <v>0</v>
      </c>
      <c r="AQ66" s="4" t="s">
        <v>640</v>
      </c>
      <c r="AS66">
        <v>0</v>
      </c>
      <c r="AT66">
        <v>0</v>
      </c>
      <c r="AU66" s="33">
        <v>3906.0000000000064</v>
      </c>
      <c r="AV66" s="36" t="s">
        <v>644</v>
      </c>
      <c r="AW66" s="4">
        <v>3898.0000000000018</v>
      </c>
      <c r="AX66" s="4" t="str">
        <f>IFERROR(VLOOKUP(M66,Roster!$L$2:$M$27,2,FALSE),"")</f>
        <v>R</v>
      </c>
      <c r="AY66" s="4" t="str">
        <f t="shared" si="2"/>
        <v>0好0壞</v>
      </c>
      <c r="BI66" s="5" t="str">
        <f>Lineup!$G$2</f>
        <v>20210817</v>
      </c>
      <c r="BJ66" s="4" t="str">
        <f t="shared" si="5"/>
        <v>偏外角低</v>
      </c>
      <c r="BK66" s="4" t="str">
        <f t="shared" si="4"/>
        <v>1B1O</v>
      </c>
      <c r="BL66" s="4" t="str">
        <f>IFERROR(VLOOKUP(E66,Roster!$D$2:$E$27,2,FALSE),"")</f>
        <v>L</v>
      </c>
      <c r="BP66" s="49"/>
      <c r="BQ66" s="49"/>
      <c r="BR66" s="49"/>
      <c r="BS66" s="49"/>
      <c r="BT66" s="49"/>
      <c r="BU66" s="49"/>
      <c r="BY66" s="4">
        <f t="shared" si="6"/>
        <v>76.5</v>
      </c>
      <c r="BZ66" s="4">
        <f t="shared" si="7"/>
        <v>246</v>
      </c>
      <c r="CD66" s="5" t="str">
        <f>Lineup!$G$1</f>
        <v>一軍例行賽</v>
      </c>
      <c r="CE66" s="4">
        <f>Lineup!$I$1</f>
        <v>148</v>
      </c>
      <c r="CF66" s="5" t="str">
        <f>Lineup!$G$5</f>
        <v>王俊宏</v>
      </c>
      <c r="CG66" s="5" t="str">
        <f>Lineup!$G$4</f>
        <v>桃園</v>
      </c>
    </row>
    <row r="67" spans="1:85" x14ac:dyDescent="0.3">
      <c r="A67" s="4">
        <v>66</v>
      </c>
      <c r="B67" s="4">
        <v>1</v>
      </c>
      <c r="C67" s="4">
        <v>5</v>
      </c>
      <c r="D67" s="4">
        <v>3</v>
      </c>
      <c r="E67" s="4" t="s">
        <v>433</v>
      </c>
      <c r="F67" s="4" t="s">
        <v>343</v>
      </c>
      <c r="G67" s="4">
        <v>5</v>
      </c>
      <c r="H67" s="4">
        <v>4</v>
      </c>
      <c r="I67" s="4">
        <v>1</v>
      </c>
      <c r="J67" s="4">
        <v>1</v>
      </c>
      <c r="K67" s="4">
        <v>144</v>
      </c>
      <c r="L67" s="4" t="s">
        <v>643</v>
      </c>
      <c r="M67" s="4" t="s">
        <v>341</v>
      </c>
      <c r="N67" s="4" t="s">
        <v>649</v>
      </c>
      <c r="O67" s="4">
        <v>104.25</v>
      </c>
      <c r="P67" s="4">
        <v>108</v>
      </c>
      <c r="Q67" s="4" t="s">
        <v>639</v>
      </c>
      <c r="R67" s="5" t="s">
        <v>657</v>
      </c>
      <c r="AB67" s="4" t="s">
        <v>360</v>
      </c>
      <c r="AO67" s="4">
        <v>2</v>
      </c>
      <c r="AP67" s="4">
        <v>0</v>
      </c>
      <c r="AQ67" s="4" t="s">
        <v>662</v>
      </c>
      <c r="AS67">
        <v>1</v>
      </c>
      <c r="AT67">
        <v>0</v>
      </c>
      <c r="AU67" s="33">
        <v>3934.999999999995</v>
      </c>
      <c r="AV67" s="36" t="s">
        <v>644</v>
      </c>
      <c r="AW67" s="4">
        <v>3929.0000000000036</v>
      </c>
      <c r="AX67" s="4" t="str">
        <f>IFERROR(VLOOKUP(M67,Roster!$L$2:$M$27,2,FALSE),"")</f>
        <v>R</v>
      </c>
      <c r="AY67" s="4" t="str">
        <f t="shared" ref="AY67:AY130" si="8">IF(M67=M66,AS67&amp;"好"&amp;AT67&amp;"壞","0好0壞")</f>
        <v>1好0壞</v>
      </c>
      <c r="BI67" s="5" t="str">
        <f>Lineup!$G$2</f>
        <v>20210817</v>
      </c>
      <c r="BJ67" s="4" t="str">
        <f t="shared" si="5"/>
        <v>偏內角低</v>
      </c>
      <c r="BK67" s="4" t="str">
        <f t="shared" ref="BK67:BK130" si="9">IF(AB66&lt;&gt;"","1","")&amp;IF(AC66&lt;&gt;"","2","")&amp;IF(AD66&lt;&gt;"","3","")&amp;"B"&amp;J66&amp;"O"</f>
        <v>1B1O</v>
      </c>
      <c r="BL67" s="4" t="str">
        <f>IFERROR(VLOOKUP(E67,Roster!$D$2:$E$27,2,FALSE),"")</f>
        <v>L</v>
      </c>
      <c r="BP67" s="49"/>
      <c r="BQ67" s="49"/>
      <c r="BR67" s="49"/>
      <c r="BS67" s="49"/>
      <c r="BT67" s="49"/>
      <c r="BU67" s="49"/>
      <c r="BY67" s="4">
        <f t="shared" si="6"/>
        <v>78</v>
      </c>
      <c r="BZ67" s="4">
        <f t="shared" si="7"/>
        <v>246</v>
      </c>
      <c r="CD67" s="5" t="str">
        <f>Lineup!$G$1</f>
        <v>一軍例行賽</v>
      </c>
      <c r="CE67" s="4">
        <f>Lineup!$I$1</f>
        <v>148</v>
      </c>
      <c r="CF67" s="5" t="str">
        <f>Lineup!$G$5</f>
        <v>王俊宏</v>
      </c>
      <c r="CG67" s="5" t="str">
        <f>Lineup!$G$4</f>
        <v>桃園</v>
      </c>
    </row>
    <row r="68" spans="1:85" x14ac:dyDescent="0.3">
      <c r="A68" s="4">
        <v>67</v>
      </c>
      <c r="B68" s="4">
        <v>1</v>
      </c>
      <c r="C68" s="4">
        <v>5</v>
      </c>
      <c r="D68" s="4">
        <v>3</v>
      </c>
      <c r="E68" s="4" t="s">
        <v>433</v>
      </c>
      <c r="F68" s="4" t="s">
        <v>343</v>
      </c>
      <c r="G68" s="4">
        <v>6</v>
      </c>
      <c r="H68" s="4">
        <v>5</v>
      </c>
      <c r="I68" s="4">
        <v>1</v>
      </c>
      <c r="J68" s="4">
        <v>1</v>
      </c>
      <c r="K68" s="4">
        <v>147</v>
      </c>
      <c r="L68" s="4" t="s">
        <v>643</v>
      </c>
      <c r="M68" s="4" t="s">
        <v>341</v>
      </c>
      <c r="N68" s="4" t="s">
        <v>649</v>
      </c>
      <c r="O68" s="4">
        <v>103.5</v>
      </c>
      <c r="P68" s="4">
        <v>99</v>
      </c>
      <c r="Q68" s="4" t="s">
        <v>639</v>
      </c>
      <c r="R68" s="5" t="s">
        <v>696</v>
      </c>
      <c r="AB68" s="4" t="s">
        <v>360</v>
      </c>
      <c r="AO68" s="4">
        <v>2</v>
      </c>
      <c r="AP68" s="4">
        <v>0</v>
      </c>
      <c r="AQ68" s="4" t="s">
        <v>662</v>
      </c>
      <c r="AS68">
        <v>2</v>
      </c>
      <c r="AT68">
        <v>0</v>
      </c>
      <c r="AU68" s="33">
        <v>3977.0000000000014</v>
      </c>
      <c r="AV68" s="36" t="s">
        <v>644</v>
      </c>
      <c r="AW68" s="4">
        <v>3967.0000000000032</v>
      </c>
      <c r="AX68" s="4" t="str">
        <f>IFERROR(VLOOKUP(M68,Roster!$L$2:$M$27,2,FALSE),"")</f>
        <v>R</v>
      </c>
      <c r="AY68" s="4" t="str">
        <f t="shared" si="8"/>
        <v>2好0壞</v>
      </c>
      <c r="BI68" s="5" t="str">
        <f>Lineup!$G$2</f>
        <v>20210817</v>
      </c>
      <c r="BJ68" s="4" t="str">
        <f t="shared" ref="BJ68:BJ123" si="10">IF(AX68="R",IF(O68&lt;46.8,"偏外角",IF(O68&lt;65.5,"外角",IF(O68&lt;84.4,"中",IF(O68 &lt; 103.2,"內角","偏內角"))))&amp;IF(P68&lt;57,"偏高",IF(P68&lt;79.8,"高",IF(P68&lt;102.7,"中",IF(P68 &lt; 125.5,"低","偏低")))),IF(O68&lt;46.8,"偏內角",IF(O68&lt;65.5,"內角",IF(O68&lt;84.4,"中",IF(O68 &lt; 103.2,"外角","偏外角"))))&amp;IF(P68&lt;57,"偏高",IF(P68&lt;79.8,"高",IF(P68&lt;102.7,"中",IF(P68 &lt; 125.5,"低","偏低"))))
)</f>
        <v>偏內角中</v>
      </c>
      <c r="BK68" s="4" t="str">
        <f t="shared" si="9"/>
        <v>1B1O</v>
      </c>
      <c r="BL68" s="4" t="str">
        <f>IFERROR(VLOOKUP(E68,Roster!$D$2:$E$27,2,FALSE),"")</f>
        <v>L</v>
      </c>
      <c r="BP68" s="49"/>
      <c r="BQ68" s="49"/>
      <c r="BR68" s="49"/>
      <c r="BS68" s="49"/>
      <c r="BT68" s="49"/>
      <c r="BU68" s="49"/>
      <c r="BY68" s="4">
        <f t="shared" si="6"/>
        <v>87</v>
      </c>
      <c r="BZ68" s="4">
        <f t="shared" si="7"/>
        <v>246</v>
      </c>
      <c r="CD68" s="5" t="str">
        <f>Lineup!$G$1</f>
        <v>一軍例行賽</v>
      </c>
      <c r="CE68" s="4">
        <f>Lineup!$I$1</f>
        <v>148</v>
      </c>
      <c r="CF68" s="5" t="str">
        <f>Lineup!$G$5</f>
        <v>王俊宏</v>
      </c>
      <c r="CG68" s="5" t="str">
        <f>Lineup!$G$4</f>
        <v>桃園</v>
      </c>
    </row>
    <row r="69" spans="1:85" x14ac:dyDescent="0.3">
      <c r="A69" s="4">
        <v>68</v>
      </c>
      <c r="B69" s="4">
        <v>1</v>
      </c>
      <c r="C69" s="4">
        <v>5</v>
      </c>
      <c r="D69" s="4">
        <v>3</v>
      </c>
      <c r="E69" s="4" t="s">
        <v>433</v>
      </c>
      <c r="F69" s="4" t="s">
        <v>343</v>
      </c>
      <c r="G69" s="4">
        <v>7</v>
      </c>
      <c r="H69" s="4">
        <v>5</v>
      </c>
      <c r="I69" s="4">
        <v>2</v>
      </c>
      <c r="J69" s="4">
        <v>1</v>
      </c>
      <c r="K69" s="4">
        <v>138</v>
      </c>
      <c r="L69" s="4" t="s">
        <v>643</v>
      </c>
      <c r="M69" s="4" t="s">
        <v>341</v>
      </c>
      <c r="N69" s="4" t="s">
        <v>642</v>
      </c>
      <c r="O69" s="4">
        <v>51</v>
      </c>
      <c r="P69" s="4">
        <v>107.25</v>
      </c>
      <c r="Q69" s="4" t="s">
        <v>641</v>
      </c>
      <c r="AB69" s="4" t="s">
        <v>360</v>
      </c>
      <c r="AO69" s="4">
        <v>2</v>
      </c>
      <c r="AP69" s="4">
        <v>1</v>
      </c>
      <c r="AQ69" s="4" t="s">
        <v>647</v>
      </c>
      <c r="AS69">
        <v>2</v>
      </c>
      <c r="AT69">
        <v>0</v>
      </c>
      <c r="AU69" s="33">
        <v>4036.9999999999914</v>
      </c>
      <c r="AV69" s="36" t="s">
        <v>644</v>
      </c>
      <c r="AW69" s="4">
        <v>4031</v>
      </c>
      <c r="AX69" s="4" t="str">
        <f>IFERROR(VLOOKUP(M69,Roster!$L$2:$M$27,2,FALSE),"")</f>
        <v>R</v>
      </c>
      <c r="AY69" s="4" t="str">
        <f t="shared" si="8"/>
        <v>2好0壞</v>
      </c>
      <c r="BI69" s="5" t="str">
        <f>Lineup!$G$2</f>
        <v>20210817</v>
      </c>
      <c r="BJ69" s="4" t="str">
        <f t="shared" si="10"/>
        <v>外角低</v>
      </c>
      <c r="BK69" s="4" t="str">
        <f t="shared" si="9"/>
        <v>1B1O</v>
      </c>
      <c r="BL69" s="4" t="str">
        <f>IFERROR(VLOOKUP(E69,Roster!$D$2:$E$27,2,FALSE),"")</f>
        <v>L</v>
      </c>
      <c r="BP69" s="49"/>
      <c r="BQ69" s="49"/>
      <c r="BR69" s="49"/>
      <c r="BS69" s="49"/>
      <c r="BT69" s="49"/>
      <c r="BU69" s="49"/>
      <c r="BY69" s="4">
        <f t="shared" si="6"/>
        <v>78.75</v>
      </c>
      <c r="BZ69" s="4">
        <f t="shared" si="7"/>
        <v>246</v>
      </c>
      <c r="CD69" s="5" t="str">
        <f>Lineup!$G$1</f>
        <v>一軍例行賽</v>
      </c>
      <c r="CE69" s="4">
        <f>Lineup!$I$1</f>
        <v>148</v>
      </c>
      <c r="CF69" s="5" t="str">
        <f>Lineup!$G$5</f>
        <v>王俊宏</v>
      </c>
      <c r="CG69" s="5" t="str">
        <f>Lineup!$G$4</f>
        <v>桃園</v>
      </c>
    </row>
    <row r="70" spans="1:85" x14ac:dyDescent="0.3">
      <c r="A70" s="4">
        <v>69</v>
      </c>
      <c r="B70" s="4">
        <v>1</v>
      </c>
      <c r="C70" s="4">
        <v>5</v>
      </c>
      <c r="D70" s="4">
        <v>3</v>
      </c>
      <c r="E70" s="4" t="s">
        <v>433</v>
      </c>
      <c r="F70" s="4" t="s">
        <v>343</v>
      </c>
      <c r="G70" s="4">
        <v>7</v>
      </c>
      <c r="H70" s="4">
        <v>5</v>
      </c>
      <c r="I70" s="4">
        <v>2</v>
      </c>
      <c r="J70" s="4">
        <v>1</v>
      </c>
      <c r="L70" s="4" t="s">
        <v>664</v>
      </c>
      <c r="M70" s="4" t="s">
        <v>341</v>
      </c>
      <c r="N70" s="4" t="s">
        <v>642</v>
      </c>
      <c r="AA70" s="4" t="s">
        <v>708</v>
      </c>
      <c r="AC70" s="4" t="s">
        <v>360</v>
      </c>
      <c r="AE70" s="4" t="s">
        <v>661</v>
      </c>
      <c r="AF70" s="4" t="s">
        <v>661</v>
      </c>
      <c r="AG70" s="4" t="s">
        <v>661</v>
      </c>
      <c r="AO70" s="4">
        <v>2</v>
      </c>
      <c r="AP70" s="4">
        <v>1</v>
      </c>
      <c r="AQ70" s="4" t="s">
        <v>647</v>
      </c>
      <c r="AS70">
        <v>2</v>
      </c>
      <c r="AT70">
        <v>1</v>
      </c>
      <c r="AU70" s="33">
        <v>4074.9999999999909</v>
      </c>
      <c r="AV70" s="36" t="s">
        <v>644</v>
      </c>
      <c r="AW70" s="4">
        <v>4065.9999999999991</v>
      </c>
      <c r="AX70" s="4" t="str">
        <f>IFERROR(VLOOKUP(M70,Roster!$L$2:$M$27,2,FALSE),"")</f>
        <v>R</v>
      </c>
      <c r="AY70" s="4" t="str">
        <f t="shared" si="8"/>
        <v>2好1壞</v>
      </c>
      <c r="BI70" s="5" t="str">
        <f>Lineup!$G$2</f>
        <v>20210817</v>
      </c>
      <c r="BJ70" s="4" t="str">
        <f t="shared" si="10"/>
        <v>偏外角偏高</v>
      </c>
      <c r="BK70" s="4" t="str">
        <f t="shared" si="9"/>
        <v>1B1O</v>
      </c>
      <c r="BL70" s="4" t="str">
        <f>IFERROR(VLOOKUP(E70,Roster!$D$2:$E$27,2,FALSE),"")</f>
        <v>L</v>
      </c>
      <c r="BP70" s="49"/>
      <c r="BQ70" s="49"/>
      <c r="BR70" s="49"/>
      <c r="BS70" s="49"/>
      <c r="BT70" s="49"/>
      <c r="BU70" s="49"/>
      <c r="BY70" s="4">
        <f t="shared" si="6"/>
        <v>186</v>
      </c>
      <c r="BZ70" s="4">
        <f t="shared" si="7"/>
        <v>246</v>
      </c>
      <c r="CD70" s="5" t="str">
        <f>Lineup!$G$1</f>
        <v>一軍例行賽</v>
      </c>
      <c r="CE70" s="4">
        <f>Lineup!$I$1</f>
        <v>148</v>
      </c>
      <c r="CF70" s="5" t="str">
        <f>Lineup!$G$5</f>
        <v>王俊宏</v>
      </c>
      <c r="CG70" s="5" t="str">
        <f>Lineup!$G$4</f>
        <v>桃園</v>
      </c>
    </row>
    <row r="71" spans="1:85" x14ac:dyDescent="0.3">
      <c r="A71" s="4">
        <v>70</v>
      </c>
      <c r="B71" s="4">
        <v>1</v>
      </c>
      <c r="C71" s="4">
        <v>5</v>
      </c>
      <c r="D71" s="4">
        <v>3</v>
      </c>
      <c r="E71" s="4" t="s">
        <v>433</v>
      </c>
      <c r="F71" s="4" t="s">
        <v>343</v>
      </c>
      <c r="G71" s="4">
        <v>8</v>
      </c>
      <c r="H71" s="4">
        <v>6</v>
      </c>
      <c r="I71" s="4">
        <v>2</v>
      </c>
      <c r="J71" s="4">
        <v>1</v>
      </c>
      <c r="K71" s="4">
        <v>141</v>
      </c>
      <c r="L71" s="4" t="s">
        <v>643</v>
      </c>
      <c r="M71" s="4" t="s">
        <v>341</v>
      </c>
      <c r="N71" s="4" t="s">
        <v>649</v>
      </c>
      <c r="O71" s="4">
        <v>54</v>
      </c>
      <c r="P71" s="4">
        <v>92.25</v>
      </c>
      <c r="Q71" s="4" t="s">
        <v>639</v>
      </c>
      <c r="R71" s="5" t="s">
        <v>656</v>
      </c>
      <c r="S71" s="4">
        <v>128.25</v>
      </c>
      <c r="T71" s="4">
        <v>147</v>
      </c>
      <c r="U71" s="4" t="s">
        <v>588</v>
      </c>
      <c r="AB71" s="4" t="s">
        <v>341</v>
      </c>
      <c r="AD71" s="4" t="s">
        <v>360</v>
      </c>
      <c r="AE71" s="4" t="s">
        <v>661</v>
      </c>
      <c r="AF71" s="4" t="s">
        <v>661</v>
      </c>
      <c r="AG71" s="4" t="s">
        <v>661</v>
      </c>
      <c r="AM71" s="4">
        <v>1</v>
      </c>
      <c r="AO71" s="4">
        <v>3</v>
      </c>
      <c r="AP71" s="4">
        <v>1</v>
      </c>
      <c r="AQ71" s="4" t="s">
        <v>648</v>
      </c>
      <c r="AS71">
        <v>2</v>
      </c>
      <c r="AT71">
        <v>1</v>
      </c>
      <c r="AU71" s="33">
        <v>4139.0000000000073</v>
      </c>
      <c r="AV71" s="36" t="s">
        <v>644</v>
      </c>
      <c r="AW71" s="4">
        <v>4125.9999999999991</v>
      </c>
      <c r="AX71" s="4" t="str">
        <f>IFERROR(VLOOKUP(M71,Roster!$L$2:$M$27,2,FALSE),"")</f>
        <v>R</v>
      </c>
      <c r="AY71" s="4" t="str">
        <f t="shared" si="8"/>
        <v>2好1壞</v>
      </c>
      <c r="BI71" s="5" t="str">
        <f>Lineup!$G$2</f>
        <v>20210817</v>
      </c>
      <c r="BJ71" s="4" t="str">
        <f t="shared" si="10"/>
        <v>外角中</v>
      </c>
      <c r="BK71" s="4" t="str">
        <f t="shared" si="9"/>
        <v>2B1O</v>
      </c>
      <c r="BL71" s="4" t="str">
        <f>IFERROR(VLOOKUP(E71,Roster!$D$2:$E$27,2,FALSE),"")</f>
        <v>L</v>
      </c>
      <c r="BP71" s="49"/>
      <c r="BQ71" s="49"/>
      <c r="BR71" s="49"/>
      <c r="BS71" s="49"/>
      <c r="BT71" s="49"/>
      <c r="BU71" s="49"/>
      <c r="BY71" s="4">
        <f t="shared" si="6"/>
        <v>93.75</v>
      </c>
      <c r="BZ71" s="4">
        <f t="shared" si="7"/>
        <v>99</v>
      </c>
      <c r="CD71" s="5" t="str">
        <f>Lineup!$G$1</f>
        <v>一軍例行賽</v>
      </c>
      <c r="CE71" s="4">
        <f>Lineup!$I$1</f>
        <v>148</v>
      </c>
      <c r="CF71" s="5" t="str">
        <f>Lineup!$G$5</f>
        <v>王俊宏</v>
      </c>
      <c r="CG71" s="5" t="str">
        <f>Lineup!$G$4</f>
        <v>桃園</v>
      </c>
    </row>
    <row r="72" spans="1:85" x14ac:dyDescent="0.3">
      <c r="A72" s="4">
        <v>71</v>
      </c>
      <c r="B72" s="4">
        <v>1</v>
      </c>
      <c r="C72" s="4">
        <v>6</v>
      </c>
      <c r="D72" s="4">
        <v>3</v>
      </c>
      <c r="E72" s="4" t="s">
        <v>433</v>
      </c>
      <c r="F72" s="4" t="s">
        <v>343</v>
      </c>
      <c r="G72" s="4">
        <v>9</v>
      </c>
      <c r="H72" s="4">
        <v>7</v>
      </c>
      <c r="I72" s="4">
        <v>2</v>
      </c>
      <c r="J72" s="4">
        <v>2</v>
      </c>
      <c r="L72" s="4" t="s">
        <v>643</v>
      </c>
      <c r="M72" s="4" t="s">
        <v>231</v>
      </c>
      <c r="N72" s="4" t="s">
        <v>679</v>
      </c>
      <c r="O72" s="4">
        <v>97.5</v>
      </c>
      <c r="P72" s="4">
        <v>86.25</v>
      </c>
      <c r="Q72" s="4" t="s">
        <v>639</v>
      </c>
      <c r="R72" s="5" t="s">
        <v>709</v>
      </c>
      <c r="AC72" s="4" t="s">
        <v>341</v>
      </c>
      <c r="AE72" s="4" t="s">
        <v>711</v>
      </c>
      <c r="AF72" s="4" t="s">
        <v>661</v>
      </c>
      <c r="AG72" s="4" t="s">
        <v>661</v>
      </c>
      <c r="AI72" s="4" t="s">
        <v>231</v>
      </c>
      <c r="AK72" s="4">
        <v>1</v>
      </c>
      <c r="AM72" s="4">
        <v>1</v>
      </c>
      <c r="AO72" s="4">
        <v>1</v>
      </c>
      <c r="AP72" s="4">
        <v>0</v>
      </c>
      <c r="AQ72" s="4" t="s">
        <v>640</v>
      </c>
      <c r="AR72" s="4" t="s">
        <v>710</v>
      </c>
      <c r="AS72">
        <v>0</v>
      </c>
      <c r="AT72">
        <v>0</v>
      </c>
      <c r="AU72" s="33">
        <v>4207.0000000000018</v>
      </c>
      <c r="AV72" s="36" t="s">
        <v>644</v>
      </c>
      <c r="AW72" s="4">
        <v>4198.0000000000009</v>
      </c>
      <c r="AX72" s="4" t="str">
        <f>IFERROR(VLOOKUP(M72,Roster!$L$2:$M$27,2,FALSE),"")</f>
        <v>L</v>
      </c>
      <c r="AY72" s="4" t="str">
        <f t="shared" si="8"/>
        <v>0好0壞</v>
      </c>
      <c r="BI72" s="5" t="str">
        <f>Lineup!$G$2</f>
        <v>20210817</v>
      </c>
      <c r="BJ72" s="4" t="str">
        <f t="shared" si="10"/>
        <v>外角中</v>
      </c>
      <c r="BK72" s="4" t="str">
        <f t="shared" si="9"/>
        <v>13B1O</v>
      </c>
      <c r="BL72" s="4" t="str">
        <f>IFERROR(VLOOKUP(E72,Roster!$D$2:$E$27,2,FALSE),"")</f>
        <v>L</v>
      </c>
      <c r="BP72" s="49"/>
      <c r="BQ72" s="49"/>
      <c r="BR72" s="49"/>
      <c r="BS72" s="49"/>
      <c r="BT72" s="49"/>
      <c r="BU72" s="49"/>
      <c r="BY72" s="4">
        <f t="shared" si="6"/>
        <v>99.75</v>
      </c>
      <c r="BZ72" s="4">
        <f t="shared" si="7"/>
        <v>246</v>
      </c>
      <c r="CD72" s="5" t="str">
        <f>Lineup!$G$1</f>
        <v>一軍例行賽</v>
      </c>
      <c r="CE72" s="4">
        <f>Lineup!$I$1</f>
        <v>148</v>
      </c>
      <c r="CF72" s="5" t="str">
        <f>Lineup!$G$5</f>
        <v>王俊宏</v>
      </c>
      <c r="CG72" s="5" t="str">
        <f>Lineup!$G$4</f>
        <v>桃園</v>
      </c>
    </row>
    <row r="73" spans="1:85" x14ac:dyDescent="0.3">
      <c r="A73" s="4">
        <v>72</v>
      </c>
      <c r="B73" s="4">
        <v>1</v>
      </c>
      <c r="C73" s="4">
        <v>6</v>
      </c>
      <c r="D73" s="4">
        <v>3</v>
      </c>
      <c r="E73" s="4" t="s">
        <v>433</v>
      </c>
      <c r="F73" s="4" t="s">
        <v>343</v>
      </c>
      <c r="G73" s="4">
        <v>10</v>
      </c>
      <c r="H73" s="4">
        <v>7</v>
      </c>
      <c r="I73" s="4">
        <v>3</v>
      </c>
      <c r="J73" s="4">
        <v>2</v>
      </c>
      <c r="K73" s="4">
        <v>120</v>
      </c>
      <c r="L73" s="4" t="s">
        <v>689</v>
      </c>
      <c r="M73" s="4" t="s">
        <v>350</v>
      </c>
      <c r="N73" s="4" t="s">
        <v>642</v>
      </c>
      <c r="O73" s="4">
        <v>114.75</v>
      </c>
      <c r="P73" s="4">
        <v>27.75</v>
      </c>
      <c r="Q73" s="4" t="s">
        <v>641</v>
      </c>
      <c r="AC73" s="4" t="s">
        <v>341</v>
      </c>
      <c r="AO73" s="4">
        <v>0</v>
      </c>
      <c r="AP73" s="4">
        <v>1</v>
      </c>
      <c r="AQ73" s="4" t="s">
        <v>652</v>
      </c>
      <c r="AS73">
        <v>0</v>
      </c>
      <c r="AT73">
        <v>0</v>
      </c>
      <c r="AU73" s="33">
        <v>4249.9999999999964</v>
      </c>
      <c r="AV73" s="36" t="s">
        <v>644</v>
      </c>
      <c r="AW73" s="4">
        <v>4246</v>
      </c>
      <c r="AX73" s="4" t="str">
        <f>IFERROR(VLOOKUP(M73,Roster!$L$2:$M$27,2,FALSE),"")</f>
        <v>L</v>
      </c>
      <c r="AY73" s="4" t="str">
        <f t="shared" si="8"/>
        <v>0好0壞</v>
      </c>
      <c r="BI73" s="5" t="str">
        <f>Lineup!$G$2</f>
        <v>20210817</v>
      </c>
      <c r="BJ73" s="4" t="str">
        <f t="shared" si="10"/>
        <v>偏外角偏高</v>
      </c>
      <c r="BK73" s="4" t="str">
        <f t="shared" si="9"/>
        <v>2B2O</v>
      </c>
      <c r="BL73" s="4" t="str">
        <f>IFERROR(VLOOKUP(E73,Roster!$D$2:$E$27,2,FALSE),"")</f>
        <v>L</v>
      </c>
      <c r="BP73" s="49"/>
      <c r="BQ73" s="49"/>
      <c r="BR73" s="49"/>
      <c r="BS73" s="49"/>
      <c r="BT73" s="49"/>
      <c r="BU73" s="49"/>
      <c r="BY73" s="4">
        <f t="shared" si="6"/>
        <v>158.25</v>
      </c>
      <c r="BZ73" s="4">
        <f t="shared" si="7"/>
        <v>246</v>
      </c>
      <c r="CD73" s="5" t="str">
        <f>Lineup!$G$1</f>
        <v>一軍例行賽</v>
      </c>
      <c r="CE73" s="4">
        <f>Lineup!$I$1</f>
        <v>148</v>
      </c>
      <c r="CF73" s="5" t="str">
        <f>Lineup!$G$5</f>
        <v>王俊宏</v>
      </c>
      <c r="CG73" s="5" t="str">
        <f>Lineup!$G$4</f>
        <v>桃園</v>
      </c>
    </row>
    <row r="74" spans="1:85" x14ac:dyDescent="0.3">
      <c r="A74" s="4">
        <v>73</v>
      </c>
      <c r="B74" s="4">
        <v>1</v>
      </c>
      <c r="C74" s="4">
        <v>6</v>
      </c>
      <c r="D74" s="4">
        <v>3</v>
      </c>
      <c r="E74" s="4" t="s">
        <v>433</v>
      </c>
      <c r="F74" s="4" t="s">
        <v>343</v>
      </c>
      <c r="G74" s="4">
        <v>11</v>
      </c>
      <c r="H74" s="4">
        <v>8</v>
      </c>
      <c r="I74" s="4">
        <v>3</v>
      </c>
      <c r="J74" s="4">
        <v>2</v>
      </c>
      <c r="K74" s="4">
        <v>143</v>
      </c>
      <c r="L74" s="4" t="s">
        <v>643</v>
      </c>
      <c r="M74" s="4" t="s">
        <v>350</v>
      </c>
      <c r="N74" s="4" t="s">
        <v>649</v>
      </c>
      <c r="O74" s="4">
        <v>93</v>
      </c>
      <c r="P74" s="4">
        <v>63</v>
      </c>
      <c r="Q74" s="4" t="s">
        <v>639</v>
      </c>
      <c r="R74" s="5" t="s">
        <v>690</v>
      </c>
      <c r="AC74" s="4" t="s">
        <v>341</v>
      </c>
      <c r="AO74" s="4">
        <v>1</v>
      </c>
      <c r="AP74" s="4">
        <v>1</v>
      </c>
      <c r="AQ74" s="4" t="s">
        <v>645</v>
      </c>
      <c r="AS74">
        <v>0</v>
      </c>
      <c r="AT74">
        <v>1</v>
      </c>
      <c r="AU74" s="33">
        <v>4269.9999999999927</v>
      </c>
      <c r="AV74" s="36" t="s">
        <v>644</v>
      </c>
      <c r="AW74" s="4">
        <v>4267.0000000000018</v>
      </c>
      <c r="AX74" s="4" t="str">
        <f>IFERROR(VLOOKUP(M74,Roster!$L$2:$M$27,2,FALSE),"")</f>
        <v>L</v>
      </c>
      <c r="AY74" s="4" t="str">
        <f t="shared" si="8"/>
        <v>0好1壞</v>
      </c>
      <c r="BI74" s="5" t="str">
        <f>Lineup!$G$2</f>
        <v>20210817</v>
      </c>
      <c r="BJ74" s="4" t="str">
        <f t="shared" si="10"/>
        <v>外角高</v>
      </c>
      <c r="BK74" s="4" t="str">
        <f t="shared" si="9"/>
        <v>2B2O</v>
      </c>
      <c r="BL74" s="4" t="str">
        <f>IFERROR(VLOOKUP(E74,Roster!$D$2:$E$27,2,FALSE),"")</f>
        <v>L</v>
      </c>
      <c r="BP74" s="49"/>
      <c r="BQ74" s="49"/>
      <c r="BR74" s="49"/>
      <c r="BS74" s="49"/>
      <c r="BT74" s="49"/>
      <c r="BU74" s="49"/>
      <c r="BY74" s="4">
        <f t="shared" si="6"/>
        <v>123</v>
      </c>
      <c r="BZ74" s="4">
        <f t="shared" si="7"/>
        <v>246</v>
      </c>
      <c r="CD74" s="5" t="str">
        <f>Lineup!$G$1</f>
        <v>一軍例行賽</v>
      </c>
      <c r="CE74" s="4">
        <f>Lineup!$I$1</f>
        <v>148</v>
      </c>
      <c r="CF74" s="5" t="str">
        <f>Lineup!$G$5</f>
        <v>王俊宏</v>
      </c>
      <c r="CG74" s="5" t="str">
        <f>Lineup!$G$4</f>
        <v>桃園</v>
      </c>
    </row>
    <row r="75" spans="1:85" x14ac:dyDescent="0.3">
      <c r="A75" s="4">
        <v>74</v>
      </c>
      <c r="B75" s="4">
        <v>1</v>
      </c>
      <c r="C75" s="4">
        <v>6</v>
      </c>
      <c r="D75" s="4">
        <v>3</v>
      </c>
      <c r="E75" s="4" t="s">
        <v>433</v>
      </c>
      <c r="F75" s="4" t="s">
        <v>343</v>
      </c>
      <c r="G75" s="4">
        <v>12</v>
      </c>
      <c r="H75" s="4">
        <v>8</v>
      </c>
      <c r="I75" s="4">
        <v>4</v>
      </c>
      <c r="J75" s="4">
        <v>2</v>
      </c>
      <c r="K75" s="4">
        <v>139</v>
      </c>
      <c r="L75" s="4" t="s">
        <v>643</v>
      </c>
      <c r="M75" s="4" t="s">
        <v>350</v>
      </c>
      <c r="N75" s="4" t="s">
        <v>642</v>
      </c>
      <c r="O75" s="4">
        <v>43.5</v>
      </c>
      <c r="P75" s="4">
        <v>65.25</v>
      </c>
      <c r="Q75" s="4" t="s">
        <v>641</v>
      </c>
      <c r="AC75" s="4" t="s">
        <v>341</v>
      </c>
      <c r="AO75" s="4">
        <v>1</v>
      </c>
      <c r="AP75" s="4">
        <v>2</v>
      </c>
      <c r="AQ75" s="4" t="s">
        <v>654</v>
      </c>
      <c r="AS75">
        <v>1</v>
      </c>
      <c r="AT75">
        <v>1</v>
      </c>
      <c r="AU75" s="33">
        <v>4295.0000000000027</v>
      </c>
      <c r="AV75" s="36" t="s">
        <v>644</v>
      </c>
      <c r="AW75" s="4">
        <v>4291.9999999999927</v>
      </c>
      <c r="AX75" s="4" t="str">
        <f>IFERROR(VLOOKUP(M75,Roster!$L$2:$M$27,2,FALSE),"")</f>
        <v>L</v>
      </c>
      <c r="AY75" s="4" t="str">
        <f t="shared" si="8"/>
        <v>1好1壞</v>
      </c>
      <c r="BI75" s="5" t="str">
        <f>Lineup!$G$2</f>
        <v>20210817</v>
      </c>
      <c r="BJ75" s="4" t="str">
        <f t="shared" si="10"/>
        <v>偏內角高</v>
      </c>
      <c r="BK75" s="4" t="str">
        <f t="shared" si="9"/>
        <v>2B2O</v>
      </c>
      <c r="BL75" s="4" t="str">
        <f>IFERROR(VLOOKUP(E75,Roster!$D$2:$E$27,2,FALSE),"")</f>
        <v>L</v>
      </c>
      <c r="BP75" s="49"/>
      <c r="BQ75" s="49"/>
      <c r="BR75" s="49"/>
      <c r="BS75" s="49"/>
      <c r="BT75" s="49"/>
      <c r="BU75" s="49"/>
      <c r="BY75" s="4">
        <f t="shared" si="6"/>
        <v>120.75</v>
      </c>
      <c r="BZ75" s="4">
        <f t="shared" si="7"/>
        <v>246</v>
      </c>
      <c r="CD75" s="5" t="str">
        <f>Lineup!$G$1</f>
        <v>一軍例行賽</v>
      </c>
      <c r="CE75" s="4">
        <f>Lineup!$I$1</f>
        <v>148</v>
      </c>
      <c r="CF75" s="5" t="str">
        <f>Lineup!$G$5</f>
        <v>王俊宏</v>
      </c>
      <c r="CG75" s="5" t="str">
        <f>Lineup!$G$4</f>
        <v>桃園</v>
      </c>
    </row>
    <row r="76" spans="1:85" x14ac:dyDescent="0.3">
      <c r="A76" s="4">
        <v>75</v>
      </c>
      <c r="B76" s="4">
        <v>1</v>
      </c>
      <c r="C76" s="4">
        <v>6</v>
      </c>
      <c r="D76" s="4">
        <v>3</v>
      </c>
      <c r="E76" s="4" t="s">
        <v>433</v>
      </c>
      <c r="F76" s="4" t="s">
        <v>343</v>
      </c>
      <c r="G76" s="4">
        <v>13</v>
      </c>
      <c r="H76" s="4">
        <v>9</v>
      </c>
      <c r="I76" s="4">
        <v>4</v>
      </c>
      <c r="J76" s="4">
        <v>2</v>
      </c>
      <c r="K76" s="4">
        <v>142</v>
      </c>
      <c r="L76" s="4" t="s">
        <v>643</v>
      </c>
      <c r="M76" s="4" t="s">
        <v>350</v>
      </c>
      <c r="N76" s="4" t="s">
        <v>642</v>
      </c>
      <c r="O76" s="4">
        <v>93</v>
      </c>
      <c r="P76" s="4">
        <v>63.75</v>
      </c>
      <c r="Q76" s="4" t="s">
        <v>639</v>
      </c>
      <c r="AC76" s="4" t="s">
        <v>341</v>
      </c>
      <c r="AO76" s="4">
        <v>2</v>
      </c>
      <c r="AP76" s="4">
        <v>2</v>
      </c>
      <c r="AQ76" s="4" t="s">
        <v>655</v>
      </c>
      <c r="AS76">
        <v>1</v>
      </c>
      <c r="AT76">
        <v>2</v>
      </c>
      <c r="AU76" s="33">
        <v>4319.9999999999945</v>
      </c>
      <c r="AV76" s="36" t="s">
        <v>644</v>
      </c>
      <c r="AW76" s="4">
        <v>4316</v>
      </c>
      <c r="AX76" s="4" t="str">
        <f>IFERROR(VLOOKUP(M76,Roster!$L$2:$M$27,2,FALSE),"")</f>
        <v>L</v>
      </c>
      <c r="AY76" s="4" t="str">
        <f t="shared" si="8"/>
        <v>1好2壞</v>
      </c>
      <c r="BI76" s="5" t="str">
        <f>Lineup!$G$2</f>
        <v>20210817</v>
      </c>
      <c r="BJ76" s="4" t="str">
        <f t="shared" si="10"/>
        <v>外角高</v>
      </c>
      <c r="BK76" s="4" t="str">
        <f t="shared" si="9"/>
        <v>2B2O</v>
      </c>
      <c r="BL76" s="4" t="str">
        <f>IFERROR(VLOOKUP(E76,Roster!$D$2:$E$27,2,FALSE),"")</f>
        <v>L</v>
      </c>
      <c r="BP76" s="49"/>
      <c r="BQ76" s="49"/>
      <c r="BR76" s="49"/>
      <c r="BS76" s="49"/>
      <c r="BT76" s="49"/>
      <c r="BU76" s="49"/>
      <c r="BY76" s="4">
        <f t="shared" si="6"/>
        <v>122.25</v>
      </c>
      <c r="BZ76" s="4">
        <f t="shared" si="7"/>
        <v>246</v>
      </c>
      <c r="CD76" s="5" t="str">
        <f>Lineup!$G$1</f>
        <v>一軍例行賽</v>
      </c>
      <c r="CE76" s="4">
        <f>Lineup!$I$1</f>
        <v>148</v>
      </c>
      <c r="CF76" s="5" t="str">
        <f>Lineup!$G$5</f>
        <v>王俊宏</v>
      </c>
      <c r="CG76" s="5" t="str">
        <f>Lineup!$G$4</f>
        <v>桃園</v>
      </c>
    </row>
    <row r="77" spans="1:85" x14ac:dyDescent="0.3">
      <c r="A77" s="4">
        <v>76</v>
      </c>
      <c r="B77" s="4">
        <v>1</v>
      </c>
      <c r="C77" s="4">
        <v>6</v>
      </c>
      <c r="D77" s="4">
        <v>3</v>
      </c>
      <c r="E77" s="4" t="s">
        <v>433</v>
      </c>
      <c r="F77" s="4" t="s">
        <v>343</v>
      </c>
      <c r="G77" s="4">
        <v>14</v>
      </c>
      <c r="H77" s="4">
        <v>9</v>
      </c>
      <c r="I77" s="4">
        <v>5</v>
      </c>
      <c r="J77" s="4">
        <v>2</v>
      </c>
      <c r="K77" s="4">
        <v>139</v>
      </c>
      <c r="L77" s="4" t="s">
        <v>643</v>
      </c>
      <c r="M77" s="4" t="s">
        <v>350</v>
      </c>
      <c r="N77" s="4" t="s">
        <v>642</v>
      </c>
      <c r="O77" s="4">
        <v>100.5</v>
      </c>
      <c r="P77" s="4">
        <v>141.75</v>
      </c>
      <c r="Q77" s="4" t="s">
        <v>641</v>
      </c>
      <c r="AC77" s="4" t="s">
        <v>341</v>
      </c>
      <c r="AO77" s="4">
        <v>2</v>
      </c>
      <c r="AP77" s="4">
        <v>3</v>
      </c>
      <c r="AQ77" s="4" t="s">
        <v>674</v>
      </c>
      <c r="AS77">
        <v>2</v>
      </c>
      <c r="AT77">
        <v>2</v>
      </c>
      <c r="AU77" s="33">
        <v>4352.0000000000027</v>
      </c>
      <c r="AV77" s="36" t="s">
        <v>644</v>
      </c>
      <c r="AW77" s="4">
        <v>4348.0000000000055</v>
      </c>
      <c r="AX77" s="4" t="str">
        <f>IFERROR(VLOOKUP(M77,Roster!$L$2:$M$27,2,FALSE),"")</f>
        <v>L</v>
      </c>
      <c r="AY77" s="4" t="str">
        <f t="shared" si="8"/>
        <v>2好2壞</v>
      </c>
      <c r="BI77" s="5" t="str">
        <f>Lineup!$G$2</f>
        <v>20210817</v>
      </c>
      <c r="BJ77" s="4" t="str">
        <f t="shared" si="10"/>
        <v>外角偏低</v>
      </c>
      <c r="BK77" s="4" t="str">
        <f t="shared" si="9"/>
        <v>2B2O</v>
      </c>
      <c r="BL77" s="4" t="str">
        <f>IFERROR(VLOOKUP(E77,Roster!$D$2:$E$27,2,FALSE),"")</f>
        <v>L</v>
      </c>
      <c r="BP77" s="49"/>
      <c r="BQ77" s="49"/>
      <c r="BR77" s="49"/>
      <c r="BS77" s="49"/>
      <c r="BT77" s="49"/>
      <c r="BU77" s="49"/>
      <c r="BY77" s="4">
        <f t="shared" si="6"/>
        <v>44.25</v>
      </c>
      <c r="BZ77" s="4">
        <f t="shared" si="7"/>
        <v>246</v>
      </c>
      <c r="CD77" s="5" t="str">
        <f>Lineup!$G$1</f>
        <v>一軍例行賽</v>
      </c>
      <c r="CE77" s="4">
        <f>Lineup!$I$1</f>
        <v>148</v>
      </c>
      <c r="CF77" s="5" t="str">
        <f>Lineup!$G$5</f>
        <v>王俊宏</v>
      </c>
      <c r="CG77" s="5" t="str">
        <f>Lineup!$G$4</f>
        <v>桃園</v>
      </c>
    </row>
    <row r="78" spans="1:85" x14ac:dyDescent="0.3">
      <c r="A78" s="4">
        <v>77</v>
      </c>
      <c r="B78" s="4">
        <v>1</v>
      </c>
      <c r="C78" s="4">
        <v>6</v>
      </c>
      <c r="D78" s="4">
        <v>3</v>
      </c>
      <c r="E78" s="4" t="s">
        <v>433</v>
      </c>
      <c r="F78" s="4" t="s">
        <v>343</v>
      </c>
      <c r="G78" s="4">
        <v>15</v>
      </c>
      <c r="H78" s="4">
        <v>10</v>
      </c>
      <c r="I78" s="4">
        <v>5</v>
      </c>
      <c r="J78" s="4">
        <v>2</v>
      </c>
      <c r="K78" s="4">
        <v>145</v>
      </c>
      <c r="L78" s="4" t="s">
        <v>643</v>
      </c>
      <c r="M78" s="4" t="s">
        <v>350</v>
      </c>
      <c r="N78" s="4" t="s">
        <v>649</v>
      </c>
      <c r="O78" s="4">
        <v>97.5</v>
      </c>
      <c r="P78" s="4">
        <v>60</v>
      </c>
      <c r="Q78" s="4" t="s">
        <v>639</v>
      </c>
      <c r="R78" s="5" t="s">
        <v>696</v>
      </c>
      <c r="AC78" s="4" t="s">
        <v>341</v>
      </c>
      <c r="AO78" s="4">
        <v>2</v>
      </c>
      <c r="AP78" s="4">
        <v>3</v>
      </c>
      <c r="AQ78" s="4" t="s">
        <v>674</v>
      </c>
      <c r="AS78">
        <v>2</v>
      </c>
      <c r="AT78">
        <v>3</v>
      </c>
      <c r="AU78" s="33">
        <v>4388.9999999999955</v>
      </c>
      <c r="AV78" s="36" t="s">
        <v>644</v>
      </c>
      <c r="AW78" s="4">
        <v>4381.0000000000009</v>
      </c>
      <c r="AX78" s="4" t="str">
        <f>IFERROR(VLOOKUP(M78,Roster!$L$2:$M$27,2,FALSE),"")</f>
        <v>L</v>
      </c>
      <c r="AY78" s="4" t="str">
        <f t="shared" si="8"/>
        <v>2好3壞</v>
      </c>
      <c r="BI78" s="5" t="str">
        <f>Lineup!$G$2</f>
        <v>20210817</v>
      </c>
      <c r="BJ78" s="4" t="str">
        <f t="shared" si="10"/>
        <v>外角高</v>
      </c>
      <c r="BK78" s="4" t="str">
        <f t="shared" si="9"/>
        <v>2B2O</v>
      </c>
      <c r="BL78" s="4" t="str">
        <f>IFERROR(VLOOKUP(E78,Roster!$D$2:$E$27,2,FALSE),"")</f>
        <v>L</v>
      </c>
      <c r="BP78" s="49"/>
      <c r="BQ78" s="49"/>
      <c r="BR78" s="49"/>
      <c r="BS78" s="49"/>
      <c r="BT78" s="49"/>
      <c r="BU78" s="49"/>
      <c r="BY78" s="4">
        <f t="shared" si="6"/>
        <v>126</v>
      </c>
      <c r="BZ78" s="4">
        <f t="shared" si="7"/>
        <v>246</v>
      </c>
      <c r="CD78" s="5" t="str">
        <f>Lineup!$G$1</f>
        <v>一軍例行賽</v>
      </c>
      <c r="CE78" s="4">
        <f>Lineup!$I$1</f>
        <v>148</v>
      </c>
      <c r="CF78" s="5" t="str">
        <f>Lineup!$G$5</f>
        <v>王俊宏</v>
      </c>
      <c r="CG78" s="5" t="str">
        <f>Lineup!$G$4</f>
        <v>桃園</v>
      </c>
    </row>
    <row r="79" spans="1:85" x14ac:dyDescent="0.3">
      <c r="A79" s="4">
        <v>78</v>
      </c>
      <c r="B79" s="4">
        <v>1</v>
      </c>
      <c r="C79" s="4">
        <v>7</v>
      </c>
      <c r="D79" s="4">
        <v>3</v>
      </c>
      <c r="E79" s="4" t="s">
        <v>433</v>
      </c>
      <c r="F79" s="4" t="s">
        <v>343</v>
      </c>
      <c r="G79" s="4">
        <v>16</v>
      </c>
      <c r="H79" s="4">
        <v>11</v>
      </c>
      <c r="I79" s="4">
        <v>5</v>
      </c>
      <c r="J79" s="4">
        <v>2</v>
      </c>
      <c r="K79" s="4">
        <v>141</v>
      </c>
      <c r="L79" s="4" t="s">
        <v>643</v>
      </c>
      <c r="M79" s="4" t="s">
        <v>350</v>
      </c>
      <c r="N79" s="4" t="s">
        <v>649</v>
      </c>
      <c r="O79" s="4">
        <v>50.25</v>
      </c>
      <c r="P79" s="4">
        <v>63.75</v>
      </c>
      <c r="Q79" s="4" t="s">
        <v>639</v>
      </c>
      <c r="R79" s="5" t="s">
        <v>656</v>
      </c>
      <c r="S79" s="4">
        <v>162.75</v>
      </c>
      <c r="T79" s="4">
        <v>129</v>
      </c>
      <c r="U79" s="4" t="s">
        <v>571</v>
      </c>
      <c r="AB79" s="4" t="s">
        <v>350</v>
      </c>
      <c r="AE79" s="4" t="s">
        <v>712</v>
      </c>
      <c r="AF79" s="4" t="s">
        <v>661</v>
      </c>
      <c r="AG79" s="4" t="s">
        <v>661</v>
      </c>
      <c r="AM79" s="4">
        <v>1</v>
      </c>
      <c r="AO79" s="4">
        <v>3</v>
      </c>
      <c r="AP79" s="4">
        <v>3</v>
      </c>
      <c r="AQ79" s="4" t="s">
        <v>675</v>
      </c>
      <c r="AS79">
        <v>2</v>
      </c>
      <c r="AT79">
        <v>3</v>
      </c>
      <c r="AU79" s="33">
        <v>4429.9999999999955</v>
      </c>
      <c r="AV79" s="36" t="s">
        <v>644</v>
      </c>
      <c r="AW79" s="4">
        <v>4416</v>
      </c>
      <c r="AX79" s="4" t="str">
        <f>IFERROR(VLOOKUP(M79,Roster!$L$2:$M$27,2,FALSE),"")</f>
        <v>L</v>
      </c>
      <c r="AY79" s="4" t="str">
        <f t="shared" si="8"/>
        <v>2好3壞</v>
      </c>
      <c r="BI79" s="5" t="str">
        <f>Lineup!$G$2</f>
        <v>20210817</v>
      </c>
      <c r="BJ79" s="4" t="str">
        <f t="shared" si="10"/>
        <v>內角高</v>
      </c>
      <c r="BK79" s="4" t="str">
        <f t="shared" si="9"/>
        <v>2B2O</v>
      </c>
      <c r="BL79" s="4" t="str">
        <f>IFERROR(VLOOKUP(E79,Roster!$D$2:$E$27,2,FALSE),"")</f>
        <v>L</v>
      </c>
      <c r="BP79" s="49"/>
      <c r="BQ79" s="49"/>
      <c r="BR79" s="49"/>
      <c r="BS79" s="49"/>
      <c r="BT79" s="49"/>
      <c r="BU79" s="49"/>
      <c r="BY79" s="4">
        <f t="shared" si="6"/>
        <v>122.25</v>
      </c>
      <c r="BZ79" s="4">
        <f t="shared" si="7"/>
        <v>117</v>
      </c>
      <c r="CD79" s="5" t="str">
        <f>Lineup!$G$1</f>
        <v>一軍例行賽</v>
      </c>
      <c r="CE79" s="4">
        <f>Lineup!$I$1</f>
        <v>148</v>
      </c>
      <c r="CF79" s="5" t="str">
        <f>Lineup!$G$5</f>
        <v>王俊宏</v>
      </c>
      <c r="CG79" s="5" t="str">
        <f>Lineup!$G$4</f>
        <v>桃園</v>
      </c>
    </row>
    <row r="80" spans="1:85" x14ac:dyDescent="0.3">
      <c r="A80" s="4">
        <v>79</v>
      </c>
      <c r="B80" s="4">
        <v>1</v>
      </c>
      <c r="C80" s="4">
        <v>7</v>
      </c>
      <c r="D80" s="4">
        <v>3</v>
      </c>
      <c r="E80" s="4" t="s">
        <v>433</v>
      </c>
      <c r="F80" s="4" t="s">
        <v>343</v>
      </c>
      <c r="G80" s="4">
        <v>17</v>
      </c>
      <c r="H80" s="4">
        <v>12</v>
      </c>
      <c r="I80" s="4">
        <v>5</v>
      </c>
      <c r="J80" s="4">
        <v>3</v>
      </c>
      <c r="L80" s="4" t="s">
        <v>643</v>
      </c>
      <c r="M80" s="4" t="s">
        <v>369</v>
      </c>
      <c r="N80" s="4" t="s">
        <v>649</v>
      </c>
      <c r="O80" s="4">
        <v>60.75</v>
      </c>
      <c r="P80" s="4">
        <v>108.75</v>
      </c>
      <c r="Q80" s="4" t="s">
        <v>639</v>
      </c>
      <c r="R80" s="5" t="s">
        <v>666</v>
      </c>
      <c r="S80" s="4">
        <v>153.75</v>
      </c>
      <c r="T80" s="4">
        <v>164.25</v>
      </c>
      <c r="U80" s="4" t="s">
        <v>376</v>
      </c>
      <c r="V80" s="4" t="s">
        <v>543</v>
      </c>
      <c r="AB80" s="4" t="s">
        <v>369</v>
      </c>
      <c r="AE80" s="4" t="s">
        <v>661</v>
      </c>
      <c r="AF80" s="4" t="s">
        <v>661</v>
      </c>
      <c r="AG80" s="4" t="s">
        <v>661</v>
      </c>
      <c r="AJ80" s="4" t="s">
        <v>350</v>
      </c>
      <c r="AK80" s="4">
        <v>1</v>
      </c>
      <c r="AM80" s="4">
        <v>1</v>
      </c>
      <c r="AO80" s="4">
        <v>1</v>
      </c>
      <c r="AP80" s="4">
        <v>0</v>
      </c>
      <c r="AQ80" s="4" t="s">
        <v>640</v>
      </c>
      <c r="AR80" s="4" t="s">
        <v>651</v>
      </c>
      <c r="AS80">
        <v>0</v>
      </c>
      <c r="AT80">
        <v>0</v>
      </c>
      <c r="AU80" s="33">
        <v>4488.0000000000009</v>
      </c>
      <c r="AV80" s="36" t="s">
        <v>644</v>
      </c>
      <c r="AW80" s="4">
        <v>4479.9999999999973</v>
      </c>
      <c r="AX80" s="4" t="str">
        <f>IFERROR(VLOOKUP(M80,Roster!$L$2:$M$27,2,FALSE),"")</f>
        <v>R</v>
      </c>
      <c r="AY80" s="4" t="str">
        <f t="shared" si="8"/>
        <v>0好0壞</v>
      </c>
      <c r="BI80" s="5" t="str">
        <f>Lineup!$G$2</f>
        <v>20210817</v>
      </c>
      <c r="BJ80" s="4" t="str">
        <f t="shared" si="10"/>
        <v>外角低</v>
      </c>
      <c r="BK80" s="4" t="str">
        <f t="shared" si="9"/>
        <v>1B2O</v>
      </c>
      <c r="BL80" s="4" t="str">
        <f>IFERROR(VLOOKUP(E80,Roster!$D$2:$E$27,2,FALSE),"")</f>
        <v>L</v>
      </c>
      <c r="BP80" s="49"/>
      <c r="BQ80" s="49"/>
      <c r="BR80" s="49"/>
      <c r="BS80" s="49"/>
      <c r="BT80" s="49"/>
      <c r="BU80" s="49"/>
      <c r="BY80" s="4">
        <f t="shared" si="6"/>
        <v>77.25</v>
      </c>
      <c r="BZ80" s="4">
        <f t="shared" si="7"/>
        <v>81.75</v>
      </c>
      <c r="CD80" s="5" t="str">
        <f>Lineup!$G$1</f>
        <v>一軍例行賽</v>
      </c>
      <c r="CE80" s="4">
        <f>Lineup!$I$1</f>
        <v>148</v>
      </c>
      <c r="CF80" s="5" t="str">
        <f>Lineup!$G$5</f>
        <v>王俊宏</v>
      </c>
      <c r="CG80" s="5" t="str">
        <f>Lineup!$G$4</f>
        <v>桃園</v>
      </c>
    </row>
    <row r="81" spans="1:85" x14ac:dyDescent="0.3">
      <c r="A81" s="4">
        <v>80</v>
      </c>
      <c r="B81" s="4">
        <v>1</v>
      </c>
      <c r="C81" s="4">
        <v>7</v>
      </c>
      <c r="D81" s="4">
        <v>4</v>
      </c>
      <c r="E81" s="4" t="s">
        <v>433</v>
      </c>
      <c r="F81" s="4" t="s">
        <v>343</v>
      </c>
      <c r="G81" s="4">
        <v>18</v>
      </c>
      <c r="H81" s="4">
        <v>12</v>
      </c>
      <c r="I81" s="4">
        <v>6</v>
      </c>
      <c r="J81" s="4">
        <v>0</v>
      </c>
      <c r="K81" s="4">
        <v>138</v>
      </c>
      <c r="L81" s="4" t="s">
        <v>643</v>
      </c>
      <c r="M81" s="4" t="s">
        <v>383</v>
      </c>
      <c r="N81" s="4" t="s">
        <v>642</v>
      </c>
      <c r="O81" s="4">
        <v>111.75</v>
      </c>
      <c r="P81" s="4">
        <v>12.75</v>
      </c>
      <c r="Q81" s="4" t="s">
        <v>641</v>
      </c>
      <c r="AO81" s="4">
        <v>0</v>
      </c>
      <c r="AP81" s="4">
        <v>1</v>
      </c>
      <c r="AQ81" s="4" t="s">
        <v>652</v>
      </c>
      <c r="AS81">
        <v>0</v>
      </c>
      <c r="AT81">
        <v>0</v>
      </c>
      <c r="AU81" s="33">
        <v>5206.9999999999918</v>
      </c>
      <c r="AV81" s="36" t="s">
        <v>644</v>
      </c>
      <c r="AW81" s="4">
        <v>5203.9999999999918</v>
      </c>
      <c r="AX81" s="4" t="str">
        <f>IFERROR(VLOOKUP(M81,Roster!$L$2:$M$27,2,FALSE),"")</f>
        <v>L</v>
      </c>
      <c r="AY81" s="4" t="str">
        <f t="shared" si="8"/>
        <v>0好0壞</v>
      </c>
      <c r="BI81" s="5" t="str">
        <f>Lineup!$G$2</f>
        <v>20210817</v>
      </c>
      <c r="BJ81" s="4" t="str">
        <f t="shared" si="10"/>
        <v>偏外角偏高</v>
      </c>
      <c r="BK81" s="4" t="str">
        <f t="shared" si="9"/>
        <v>1B3O</v>
      </c>
      <c r="BL81" s="4" t="str">
        <f>IFERROR(VLOOKUP(E81,Roster!$D$2:$E$27,2,FALSE),"")</f>
        <v>L</v>
      </c>
      <c r="BP81" s="49"/>
      <c r="BQ81" s="49"/>
      <c r="BR81" s="49"/>
      <c r="BS81" s="49"/>
      <c r="BT81" s="49"/>
      <c r="BU81" s="49"/>
      <c r="BY81" s="4">
        <f t="shared" si="6"/>
        <v>173.25</v>
      </c>
      <c r="BZ81" s="4">
        <f t="shared" si="7"/>
        <v>246</v>
      </c>
      <c r="CD81" s="5" t="str">
        <f>Lineup!$G$1</f>
        <v>一軍例行賽</v>
      </c>
      <c r="CE81" s="4">
        <f>Lineup!$I$1</f>
        <v>148</v>
      </c>
      <c r="CF81" s="5" t="str">
        <f>Lineup!$G$5</f>
        <v>王俊宏</v>
      </c>
      <c r="CG81" s="5" t="str">
        <f>Lineup!$G$4</f>
        <v>桃園</v>
      </c>
    </row>
    <row r="82" spans="1:85" x14ac:dyDescent="0.3">
      <c r="A82" s="4">
        <v>81</v>
      </c>
      <c r="B82" s="4">
        <v>1</v>
      </c>
      <c r="C82" s="4">
        <v>7</v>
      </c>
      <c r="D82" s="4">
        <v>4</v>
      </c>
      <c r="E82" s="4" t="s">
        <v>433</v>
      </c>
      <c r="F82" s="4" t="s">
        <v>343</v>
      </c>
      <c r="G82" s="4">
        <v>19</v>
      </c>
      <c r="H82" s="4">
        <v>13</v>
      </c>
      <c r="I82" s="4">
        <v>6</v>
      </c>
      <c r="J82" s="4">
        <v>0</v>
      </c>
      <c r="K82" s="4">
        <v>143</v>
      </c>
      <c r="L82" s="4" t="s">
        <v>643</v>
      </c>
      <c r="M82" s="4" t="s">
        <v>383</v>
      </c>
      <c r="N82" s="4" t="s">
        <v>642</v>
      </c>
      <c r="O82" s="4">
        <v>99.75</v>
      </c>
      <c r="P82" s="4">
        <v>86.25</v>
      </c>
      <c r="Q82" s="4" t="s">
        <v>639</v>
      </c>
      <c r="AO82" s="4">
        <v>1</v>
      </c>
      <c r="AP82" s="4">
        <v>1</v>
      </c>
      <c r="AQ82" s="4" t="s">
        <v>645</v>
      </c>
      <c r="AS82">
        <v>0</v>
      </c>
      <c r="AT82">
        <v>1</v>
      </c>
      <c r="AU82" s="33">
        <v>5223.9999999999982</v>
      </c>
      <c r="AV82" s="36" t="s">
        <v>644</v>
      </c>
      <c r="AW82" s="4">
        <v>5220.9999999999973</v>
      </c>
      <c r="AX82" s="4" t="str">
        <f>IFERROR(VLOOKUP(M82,Roster!$L$2:$M$27,2,FALSE),"")</f>
        <v>L</v>
      </c>
      <c r="AY82" s="4" t="str">
        <f t="shared" si="8"/>
        <v>0好1壞</v>
      </c>
      <c r="BI82" s="5" t="str">
        <f>Lineup!$G$2</f>
        <v>20210817</v>
      </c>
      <c r="BJ82" s="4" t="str">
        <f t="shared" si="10"/>
        <v>外角中</v>
      </c>
      <c r="BK82" s="4" t="str">
        <f t="shared" si="9"/>
        <v>B0O</v>
      </c>
      <c r="BL82" s="4" t="str">
        <f>IFERROR(VLOOKUP(E82,Roster!$D$2:$E$27,2,FALSE),"")</f>
        <v>L</v>
      </c>
      <c r="BP82" s="49"/>
      <c r="BQ82" s="49"/>
      <c r="BR82" s="49"/>
      <c r="BS82" s="49"/>
      <c r="BT82" s="49"/>
      <c r="BU82" s="49"/>
      <c r="BY82" s="4">
        <f t="shared" si="6"/>
        <v>99.75</v>
      </c>
      <c r="BZ82" s="4">
        <f t="shared" si="7"/>
        <v>246</v>
      </c>
      <c r="CD82" s="5" t="str">
        <f>Lineup!$G$1</f>
        <v>一軍例行賽</v>
      </c>
      <c r="CE82" s="4">
        <f>Lineup!$I$1</f>
        <v>148</v>
      </c>
      <c r="CF82" s="5" t="str">
        <f>Lineup!$G$5</f>
        <v>王俊宏</v>
      </c>
      <c r="CG82" s="5" t="str">
        <f>Lineup!$G$4</f>
        <v>桃園</v>
      </c>
    </row>
    <row r="83" spans="1:85" x14ac:dyDescent="0.3">
      <c r="A83" s="4">
        <v>82</v>
      </c>
      <c r="B83" s="4">
        <v>1</v>
      </c>
      <c r="C83" s="4">
        <v>7</v>
      </c>
      <c r="D83" s="4">
        <v>4</v>
      </c>
      <c r="E83" s="4" t="s">
        <v>433</v>
      </c>
      <c r="F83" s="4" t="s">
        <v>343</v>
      </c>
      <c r="G83" s="4">
        <v>20</v>
      </c>
      <c r="H83" s="4">
        <v>13</v>
      </c>
      <c r="I83" s="4">
        <v>7</v>
      </c>
      <c r="J83" s="4">
        <v>0</v>
      </c>
      <c r="L83" s="4" t="s">
        <v>643</v>
      </c>
      <c r="M83" s="4" t="s">
        <v>383</v>
      </c>
      <c r="N83" s="4" t="s">
        <v>642</v>
      </c>
      <c r="O83" s="4">
        <v>90</v>
      </c>
      <c r="P83" s="4">
        <v>26.25</v>
      </c>
      <c r="Q83" s="4" t="s">
        <v>641</v>
      </c>
      <c r="AO83" s="4">
        <v>1</v>
      </c>
      <c r="AP83" s="4">
        <v>2</v>
      </c>
      <c r="AQ83" s="4" t="s">
        <v>654</v>
      </c>
      <c r="AS83">
        <v>1</v>
      </c>
      <c r="AT83">
        <v>1</v>
      </c>
      <c r="AU83" s="33">
        <v>5241.0000000000036</v>
      </c>
      <c r="AV83" s="36" t="s">
        <v>644</v>
      </c>
      <c r="AW83" s="4">
        <v>5237.9999999999936</v>
      </c>
      <c r="AX83" s="4" t="str">
        <f>IFERROR(VLOOKUP(M83,Roster!$L$2:$M$27,2,FALSE),"")</f>
        <v>L</v>
      </c>
      <c r="AY83" s="4" t="str">
        <f t="shared" si="8"/>
        <v>1好1壞</v>
      </c>
      <c r="BI83" s="5" t="str">
        <f>Lineup!$G$2</f>
        <v>20210817</v>
      </c>
      <c r="BJ83" s="4" t="str">
        <f t="shared" si="10"/>
        <v>外角偏高</v>
      </c>
      <c r="BK83" s="4" t="str">
        <f t="shared" si="9"/>
        <v>B0O</v>
      </c>
      <c r="BL83" s="4" t="str">
        <f>IFERROR(VLOOKUP(E83,Roster!$D$2:$E$27,2,FALSE),"")</f>
        <v>L</v>
      </c>
      <c r="BP83" s="49"/>
      <c r="BQ83" s="49"/>
      <c r="BR83" s="49"/>
      <c r="BS83" s="49"/>
      <c r="BT83" s="49"/>
      <c r="BU83" s="49"/>
      <c r="BY83" s="4">
        <f t="shared" si="6"/>
        <v>159.75</v>
      </c>
      <c r="BZ83" s="4">
        <f t="shared" si="7"/>
        <v>246</v>
      </c>
      <c r="CD83" s="5" t="str">
        <f>Lineup!$G$1</f>
        <v>一軍例行賽</v>
      </c>
      <c r="CE83" s="4">
        <f>Lineup!$I$1</f>
        <v>148</v>
      </c>
      <c r="CF83" s="5" t="str">
        <f>Lineup!$G$5</f>
        <v>王俊宏</v>
      </c>
      <c r="CG83" s="5" t="str">
        <f>Lineup!$G$4</f>
        <v>桃園</v>
      </c>
    </row>
    <row r="84" spans="1:85" x14ac:dyDescent="0.3">
      <c r="A84" s="4">
        <v>83</v>
      </c>
      <c r="B84" s="4">
        <v>1</v>
      </c>
      <c r="C84" s="4">
        <v>7</v>
      </c>
      <c r="D84" s="4">
        <v>4</v>
      </c>
      <c r="E84" s="4" t="s">
        <v>433</v>
      </c>
      <c r="F84" s="4" t="s">
        <v>343</v>
      </c>
      <c r="G84" s="4">
        <v>21</v>
      </c>
      <c r="H84" s="4">
        <v>13</v>
      </c>
      <c r="I84" s="4">
        <v>8</v>
      </c>
      <c r="J84" s="4">
        <v>0</v>
      </c>
      <c r="K84" s="4">
        <v>142</v>
      </c>
      <c r="L84" s="4" t="s">
        <v>643</v>
      </c>
      <c r="M84" s="4" t="s">
        <v>383</v>
      </c>
      <c r="N84" s="4" t="s">
        <v>642</v>
      </c>
      <c r="O84" s="4">
        <v>96.75</v>
      </c>
      <c r="P84" s="4">
        <v>152.25</v>
      </c>
      <c r="Q84" s="4" t="s">
        <v>641</v>
      </c>
      <c r="AO84" s="4">
        <v>1</v>
      </c>
      <c r="AP84" s="4">
        <v>3</v>
      </c>
      <c r="AQ84" s="4" t="s">
        <v>658</v>
      </c>
      <c r="AS84">
        <v>1</v>
      </c>
      <c r="AT84">
        <v>2</v>
      </c>
      <c r="AU84" s="33">
        <v>5258.9999999999973</v>
      </c>
      <c r="AV84" s="36" t="s">
        <v>644</v>
      </c>
      <c r="AW84" s="4">
        <v>5256.0000000000064</v>
      </c>
      <c r="AX84" s="4" t="str">
        <f>IFERROR(VLOOKUP(M84,Roster!$L$2:$M$27,2,FALSE),"")</f>
        <v>L</v>
      </c>
      <c r="AY84" s="4" t="str">
        <f t="shared" si="8"/>
        <v>1好2壞</v>
      </c>
      <c r="BI84" s="5" t="str">
        <f>Lineup!$G$2</f>
        <v>20210817</v>
      </c>
      <c r="BJ84" s="4" t="str">
        <f t="shared" si="10"/>
        <v>外角偏低</v>
      </c>
      <c r="BK84" s="4" t="str">
        <f t="shared" si="9"/>
        <v>B0O</v>
      </c>
      <c r="BL84" s="4" t="str">
        <f>IFERROR(VLOOKUP(E84,Roster!$D$2:$E$27,2,FALSE),"")</f>
        <v>L</v>
      </c>
      <c r="BP84" s="49"/>
      <c r="BQ84" s="49"/>
      <c r="BR84" s="49"/>
      <c r="BS84" s="49"/>
      <c r="BT84" s="49"/>
      <c r="BU84" s="49"/>
      <c r="BY84" s="4">
        <f t="shared" si="6"/>
        <v>33.75</v>
      </c>
      <c r="BZ84" s="4">
        <f t="shared" si="7"/>
        <v>246</v>
      </c>
      <c r="CD84" s="5" t="str">
        <f>Lineup!$G$1</f>
        <v>一軍例行賽</v>
      </c>
      <c r="CE84" s="4">
        <f>Lineup!$I$1</f>
        <v>148</v>
      </c>
      <c r="CF84" s="5" t="str">
        <f>Lineup!$G$5</f>
        <v>王俊宏</v>
      </c>
      <c r="CG84" s="5" t="str">
        <f>Lineup!$G$4</f>
        <v>桃園</v>
      </c>
    </row>
    <row r="85" spans="1:85" x14ac:dyDescent="0.3">
      <c r="A85" s="4">
        <v>84</v>
      </c>
      <c r="B85" s="4">
        <v>1</v>
      </c>
      <c r="C85" s="4">
        <v>7</v>
      </c>
      <c r="D85" s="4">
        <v>4</v>
      </c>
      <c r="E85" s="4" t="s">
        <v>433</v>
      </c>
      <c r="F85" s="4" t="s">
        <v>343</v>
      </c>
      <c r="G85" s="4">
        <v>22</v>
      </c>
      <c r="H85" s="4">
        <v>14</v>
      </c>
      <c r="I85" s="4">
        <v>8</v>
      </c>
      <c r="J85" s="4">
        <v>0</v>
      </c>
      <c r="K85" s="4">
        <v>142</v>
      </c>
      <c r="L85" s="4" t="s">
        <v>643</v>
      </c>
      <c r="M85" s="4" t="s">
        <v>383</v>
      </c>
      <c r="N85" s="4" t="s">
        <v>649</v>
      </c>
      <c r="O85" s="4">
        <v>87</v>
      </c>
      <c r="P85" s="4">
        <v>90</v>
      </c>
      <c r="Q85" s="4" t="s">
        <v>109</v>
      </c>
      <c r="R85" s="5" t="s">
        <v>700</v>
      </c>
      <c r="S85" s="4">
        <v>213</v>
      </c>
      <c r="T85" s="4">
        <v>72.75</v>
      </c>
      <c r="U85" s="4" t="s">
        <v>381</v>
      </c>
      <c r="AC85" s="4" t="s">
        <v>383</v>
      </c>
      <c r="AM85" s="4">
        <v>1</v>
      </c>
      <c r="AO85" s="4">
        <v>2</v>
      </c>
      <c r="AP85" s="4">
        <v>3</v>
      </c>
      <c r="AQ85" s="4" t="s">
        <v>674</v>
      </c>
      <c r="AS85">
        <v>1</v>
      </c>
      <c r="AT85">
        <v>3</v>
      </c>
      <c r="AU85" s="33">
        <v>5287.9999999999955</v>
      </c>
      <c r="AV85" s="36" t="s">
        <v>644</v>
      </c>
      <c r="AW85" s="4">
        <v>5277</v>
      </c>
      <c r="AX85" s="4" t="str">
        <f>IFERROR(VLOOKUP(M85,Roster!$L$2:$M$27,2,FALSE),"")</f>
        <v>L</v>
      </c>
      <c r="AY85" s="4" t="str">
        <f t="shared" si="8"/>
        <v>1好3壞</v>
      </c>
      <c r="BI85" s="5" t="str">
        <f>Lineup!$G$2</f>
        <v>20210817</v>
      </c>
      <c r="BJ85" s="4" t="str">
        <f t="shared" si="10"/>
        <v>外角中</v>
      </c>
      <c r="BK85" s="4" t="str">
        <f t="shared" si="9"/>
        <v>B0O</v>
      </c>
      <c r="BL85" s="4" t="str">
        <f>IFERROR(VLOOKUP(E85,Roster!$D$2:$E$27,2,FALSE),"")</f>
        <v>L</v>
      </c>
      <c r="BP85" s="49"/>
      <c r="BQ85" s="49"/>
      <c r="BR85" s="49"/>
      <c r="BS85" s="49"/>
      <c r="BT85" s="49"/>
      <c r="BU85" s="49"/>
      <c r="BY85" s="4">
        <f t="shared" si="6"/>
        <v>96</v>
      </c>
      <c r="BZ85" s="4">
        <f t="shared" si="7"/>
        <v>173.25</v>
      </c>
      <c r="CD85" s="5" t="str">
        <f>Lineup!$G$1</f>
        <v>一軍例行賽</v>
      </c>
      <c r="CE85" s="4">
        <f>Lineup!$I$1</f>
        <v>148</v>
      </c>
      <c r="CF85" s="5" t="str">
        <f>Lineup!$G$5</f>
        <v>王俊宏</v>
      </c>
      <c r="CG85" s="5" t="str">
        <f>Lineup!$G$4</f>
        <v>桃園</v>
      </c>
    </row>
    <row r="86" spans="1:85" x14ac:dyDescent="0.3">
      <c r="A86" s="4">
        <v>85</v>
      </c>
      <c r="B86" s="4">
        <v>1</v>
      </c>
      <c r="C86" s="4">
        <v>7</v>
      </c>
      <c r="D86" s="4">
        <v>4</v>
      </c>
      <c r="E86" s="4" t="s">
        <v>433</v>
      </c>
      <c r="F86" s="4" t="s">
        <v>343</v>
      </c>
      <c r="G86" s="4">
        <v>23</v>
      </c>
      <c r="H86" s="4">
        <v>15</v>
      </c>
      <c r="I86" s="4">
        <v>8</v>
      </c>
      <c r="J86" s="4">
        <v>1</v>
      </c>
      <c r="K86" s="4">
        <v>122</v>
      </c>
      <c r="L86" s="4" t="s">
        <v>689</v>
      </c>
      <c r="M86" s="4" t="s">
        <v>266</v>
      </c>
      <c r="N86" s="4" t="s">
        <v>649</v>
      </c>
      <c r="O86" s="4">
        <v>55.5</v>
      </c>
      <c r="P86" s="4">
        <v>78</v>
      </c>
      <c r="Q86" s="4" t="s">
        <v>639</v>
      </c>
      <c r="R86" s="5" t="s">
        <v>650</v>
      </c>
      <c r="S86" s="4">
        <v>192</v>
      </c>
      <c r="T86" s="4">
        <v>176.25</v>
      </c>
      <c r="U86" s="4" t="s">
        <v>352</v>
      </c>
      <c r="V86" s="4" t="s">
        <v>611</v>
      </c>
      <c r="AD86" s="4" t="s">
        <v>383</v>
      </c>
      <c r="AE86" s="4" t="s">
        <v>661</v>
      </c>
      <c r="AF86" s="4" t="s">
        <v>661</v>
      </c>
      <c r="AG86" s="4" t="s">
        <v>661</v>
      </c>
      <c r="AH86" s="4" t="s">
        <v>266</v>
      </c>
      <c r="AK86" s="4">
        <v>1</v>
      </c>
      <c r="AM86" s="4">
        <v>1</v>
      </c>
      <c r="AO86" s="4">
        <v>1</v>
      </c>
      <c r="AP86" s="4">
        <v>0</v>
      </c>
      <c r="AQ86" s="4" t="s">
        <v>640</v>
      </c>
      <c r="AR86" s="4" t="s">
        <v>714</v>
      </c>
      <c r="AS86">
        <v>0</v>
      </c>
      <c r="AT86">
        <v>0</v>
      </c>
      <c r="AU86" s="33">
        <v>5344.9999999999945</v>
      </c>
      <c r="AV86" s="36" t="s">
        <v>644</v>
      </c>
      <c r="AW86" s="4">
        <v>5336.0000000000027</v>
      </c>
      <c r="AX86" s="4" t="str">
        <f>IFERROR(VLOOKUP(M86,Roster!$L$2:$M$27,2,FALSE),"")</f>
        <v>L</v>
      </c>
      <c r="AY86" s="4" t="str">
        <f t="shared" si="8"/>
        <v>0好0壞</v>
      </c>
      <c r="BI86" s="5" t="str">
        <f>Lineup!$G$2</f>
        <v>20210817</v>
      </c>
      <c r="BJ86" s="4" t="str">
        <f t="shared" si="10"/>
        <v>內角高</v>
      </c>
      <c r="BK86" s="4" t="str">
        <f t="shared" si="9"/>
        <v>2B0O</v>
      </c>
      <c r="BL86" s="4" t="str">
        <f>IFERROR(VLOOKUP(E86,Roster!$D$2:$E$27,2,FALSE),"")</f>
        <v>L</v>
      </c>
      <c r="BP86" s="49"/>
      <c r="BQ86" s="49"/>
      <c r="BR86" s="49"/>
      <c r="BS86" s="49"/>
      <c r="BT86" s="49"/>
      <c r="BU86" s="49"/>
      <c r="BY86" s="4">
        <f t="shared" si="6"/>
        <v>108</v>
      </c>
      <c r="BZ86" s="4">
        <f t="shared" si="7"/>
        <v>69.75</v>
      </c>
      <c r="CD86" s="5" t="str">
        <f>Lineup!$G$1</f>
        <v>一軍例行賽</v>
      </c>
      <c r="CE86" s="4">
        <f>Lineup!$I$1</f>
        <v>148</v>
      </c>
      <c r="CF86" s="5" t="str">
        <f>Lineup!$G$5</f>
        <v>王俊宏</v>
      </c>
      <c r="CG86" s="5" t="str">
        <f>Lineup!$G$4</f>
        <v>桃園</v>
      </c>
    </row>
    <row r="87" spans="1:85" x14ac:dyDescent="0.3">
      <c r="A87" s="4">
        <v>86</v>
      </c>
      <c r="B87" s="4">
        <v>1</v>
      </c>
      <c r="C87" s="4">
        <v>8</v>
      </c>
      <c r="D87" s="4">
        <v>4</v>
      </c>
      <c r="E87" s="4" t="s">
        <v>433</v>
      </c>
      <c r="F87" s="4" t="s">
        <v>343</v>
      </c>
      <c r="G87" s="4">
        <v>24</v>
      </c>
      <c r="H87" s="4">
        <v>15</v>
      </c>
      <c r="I87" s="4">
        <v>9</v>
      </c>
      <c r="J87" s="4">
        <v>1</v>
      </c>
      <c r="K87" s="4">
        <v>122</v>
      </c>
      <c r="L87" s="4" t="s">
        <v>689</v>
      </c>
      <c r="M87" s="4" t="s">
        <v>396</v>
      </c>
      <c r="N87" s="4" t="s">
        <v>642</v>
      </c>
      <c r="O87" s="4">
        <v>64.5</v>
      </c>
      <c r="P87" s="4">
        <v>14.25</v>
      </c>
      <c r="Q87" s="4" t="s">
        <v>641</v>
      </c>
      <c r="R87" s="5" t="s">
        <v>715</v>
      </c>
      <c r="AE87" s="4" t="s">
        <v>716</v>
      </c>
      <c r="AF87" s="4" t="s">
        <v>661</v>
      </c>
      <c r="AG87" s="4" t="s">
        <v>661</v>
      </c>
      <c r="AO87" s="4">
        <v>0</v>
      </c>
      <c r="AP87" s="4">
        <v>1</v>
      </c>
      <c r="AQ87" s="4" t="s">
        <v>652</v>
      </c>
      <c r="AS87">
        <v>0</v>
      </c>
      <c r="AT87">
        <v>0</v>
      </c>
      <c r="AU87" s="33">
        <v>5396.0000000000027</v>
      </c>
      <c r="AV87" s="36" t="s">
        <v>644</v>
      </c>
      <c r="AW87" s="4">
        <v>5384.0000000000009</v>
      </c>
      <c r="AX87" s="4" t="str">
        <f>IFERROR(VLOOKUP(M87,Roster!$L$2:$M$27,2,FALSE),"")</f>
        <v>R</v>
      </c>
      <c r="AY87" s="4" t="str">
        <f t="shared" si="8"/>
        <v>0好0壞</v>
      </c>
      <c r="BI87" s="5" t="str">
        <f>Lineup!$G$2</f>
        <v>20210817</v>
      </c>
      <c r="BJ87" s="4" t="str">
        <f t="shared" si="10"/>
        <v>外角偏高</v>
      </c>
      <c r="BK87" s="4" t="str">
        <f t="shared" si="9"/>
        <v>3B1O</v>
      </c>
      <c r="BL87" s="4" t="str">
        <f>IFERROR(VLOOKUP(E87,Roster!$D$2:$E$27,2,FALSE),"")</f>
        <v>L</v>
      </c>
      <c r="BP87" s="49"/>
      <c r="BQ87" s="49"/>
      <c r="BR87" s="49"/>
      <c r="BS87" s="49"/>
      <c r="BT87" s="49"/>
      <c r="BU87" s="49"/>
      <c r="BY87" s="4">
        <f t="shared" si="6"/>
        <v>171.75</v>
      </c>
      <c r="BZ87" s="4">
        <f t="shared" si="7"/>
        <v>246</v>
      </c>
      <c r="CD87" s="5" t="str">
        <f>Lineup!$G$1</f>
        <v>一軍例行賽</v>
      </c>
      <c r="CE87" s="4">
        <f>Lineup!$I$1</f>
        <v>148</v>
      </c>
      <c r="CF87" s="5" t="str">
        <f>Lineup!$G$5</f>
        <v>王俊宏</v>
      </c>
      <c r="CG87" s="5" t="str">
        <f>Lineup!$G$4</f>
        <v>桃園</v>
      </c>
    </row>
    <row r="88" spans="1:85" x14ac:dyDescent="0.3">
      <c r="A88" s="4">
        <v>87</v>
      </c>
      <c r="B88" s="4">
        <v>1</v>
      </c>
      <c r="C88" s="4">
        <v>8</v>
      </c>
      <c r="D88" s="4">
        <v>4</v>
      </c>
      <c r="E88" s="4" t="s">
        <v>433</v>
      </c>
      <c r="F88" s="4" t="s">
        <v>343</v>
      </c>
      <c r="G88" s="4">
        <v>25</v>
      </c>
      <c r="H88" s="4">
        <v>15</v>
      </c>
      <c r="I88" s="4">
        <v>10</v>
      </c>
      <c r="J88" s="4">
        <v>1</v>
      </c>
      <c r="K88" s="4">
        <v>141</v>
      </c>
      <c r="L88" s="4" t="s">
        <v>643</v>
      </c>
      <c r="M88" s="4" t="s">
        <v>396</v>
      </c>
      <c r="N88" s="4" t="s">
        <v>642</v>
      </c>
      <c r="O88" s="4">
        <v>54</v>
      </c>
      <c r="P88" s="4">
        <v>139.5</v>
      </c>
      <c r="Q88" s="4" t="s">
        <v>641</v>
      </c>
      <c r="AO88" s="4">
        <v>0</v>
      </c>
      <c r="AP88" s="4">
        <v>2</v>
      </c>
      <c r="AQ88" s="4" t="s">
        <v>653</v>
      </c>
      <c r="AS88">
        <v>0</v>
      </c>
      <c r="AT88">
        <v>1</v>
      </c>
      <c r="AU88" s="33">
        <v>5441.9999999999973</v>
      </c>
      <c r="AV88" s="36" t="s">
        <v>644</v>
      </c>
      <c r="AW88" s="4">
        <v>5435.9999999999964</v>
      </c>
      <c r="AX88" s="4" t="str">
        <f>IFERROR(VLOOKUP(M88,Roster!$L$2:$M$27,2,FALSE),"")</f>
        <v>R</v>
      </c>
      <c r="AY88" s="4" t="str">
        <f t="shared" si="8"/>
        <v>0好1壞</v>
      </c>
      <c r="BI88" s="5" t="str">
        <f>Lineup!$G$2</f>
        <v>20210817</v>
      </c>
      <c r="BJ88" s="4" t="str">
        <f t="shared" si="10"/>
        <v>外角偏低</v>
      </c>
      <c r="BK88" s="4" t="str">
        <f t="shared" si="9"/>
        <v>B1O</v>
      </c>
      <c r="BL88" s="4" t="str">
        <f>IFERROR(VLOOKUP(E88,Roster!$D$2:$E$27,2,FALSE),"")</f>
        <v>L</v>
      </c>
      <c r="BP88" s="49"/>
      <c r="BQ88" s="49"/>
      <c r="BR88" s="49"/>
      <c r="BS88" s="49"/>
      <c r="BT88" s="49"/>
      <c r="BU88" s="49"/>
      <c r="BY88" s="4">
        <f t="shared" si="6"/>
        <v>46.5</v>
      </c>
      <c r="BZ88" s="4">
        <f t="shared" si="7"/>
        <v>246</v>
      </c>
      <c r="CD88" s="5" t="str">
        <f>Lineup!$G$1</f>
        <v>一軍例行賽</v>
      </c>
      <c r="CE88" s="4">
        <f>Lineup!$I$1</f>
        <v>148</v>
      </c>
      <c r="CF88" s="5" t="str">
        <f>Lineup!$G$5</f>
        <v>王俊宏</v>
      </c>
      <c r="CG88" s="5" t="str">
        <f>Lineup!$G$4</f>
        <v>桃園</v>
      </c>
    </row>
    <row r="89" spans="1:85" x14ac:dyDescent="0.3">
      <c r="A89" s="4">
        <v>88</v>
      </c>
      <c r="B89" s="4">
        <v>1</v>
      </c>
      <c r="C89" s="4">
        <v>8</v>
      </c>
      <c r="D89" s="4">
        <v>4</v>
      </c>
      <c r="E89" s="4" t="s">
        <v>433</v>
      </c>
      <c r="F89" s="4" t="s">
        <v>343</v>
      </c>
      <c r="G89" s="4">
        <v>26</v>
      </c>
      <c r="H89" s="4">
        <v>15</v>
      </c>
      <c r="I89" s="4">
        <v>11</v>
      </c>
      <c r="J89" s="4">
        <v>1</v>
      </c>
      <c r="K89" s="4">
        <v>141</v>
      </c>
      <c r="L89" s="4" t="s">
        <v>643</v>
      </c>
      <c r="M89" s="4" t="s">
        <v>396</v>
      </c>
      <c r="N89" s="4" t="s">
        <v>642</v>
      </c>
      <c r="O89" s="4">
        <v>114.75</v>
      </c>
      <c r="P89" s="4">
        <v>25.5</v>
      </c>
      <c r="Q89" s="4" t="s">
        <v>641</v>
      </c>
      <c r="AO89" s="4">
        <v>0</v>
      </c>
      <c r="AP89" s="4">
        <v>3</v>
      </c>
      <c r="AQ89" s="4" t="s">
        <v>686</v>
      </c>
      <c r="AS89">
        <v>0</v>
      </c>
      <c r="AT89">
        <v>2</v>
      </c>
      <c r="AU89" s="33">
        <v>5460.9999999999964</v>
      </c>
      <c r="AV89" s="36" t="s">
        <v>644</v>
      </c>
      <c r="AW89" s="4">
        <v>5456.9999999999991</v>
      </c>
      <c r="AX89" s="4" t="str">
        <f>IFERROR(VLOOKUP(M89,Roster!$L$2:$M$27,2,FALSE),"")</f>
        <v>R</v>
      </c>
      <c r="AY89" s="4" t="str">
        <f t="shared" si="8"/>
        <v>0好2壞</v>
      </c>
      <c r="BI89" s="5" t="str">
        <f>Lineup!$G$2</f>
        <v>20210817</v>
      </c>
      <c r="BJ89" s="4" t="str">
        <f t="shared" si="10"/>
        <v>偏內角偏高</v>
      </c>
      <c r="BK89" s="4" t="str">
        <f t="shared" si="9"/>
        <v>B1O</v>
      </c>
      <c r="BL89" s="4" t="str">
        <f>IFERROR(VLOOKUP(E89,Roster!$D$2:$E$27,2,FALSE),"")</f>
        <v>L</v>
      </c>
      <c r="BP89" s="49"/>
      <c r="BQ89" s="49"/>
      <c r="BR89" s="49"/>
      <c r="BS89" s="49"/>
      <c r="BT89" s="49"/>
      <c r="BU89" s="49"/>
      <c r="BY89" s="4">
        <f t="shared" si="6"/>
        <v>160.5</v>
      </c>
      <c r="BZ89" s="4">
        <f t="shared" si="7"/>
        <v>246</v>
      </c>
      <c r="CD89" s="5" t="str">
        <f>Lineup!$G$1</f>
        <v>一軍例行賽</v>
      </c>
      <c r="CE89" s="4">
        <f>Lineup!$I$1</f>
        <v>148</v>
      </c>
      <c r="CF89" s="5" t="str">
        <f>Lineup!$G$5</f>
        <v>王俊宏</v>
      </c>
      <c r="CG89" s="5" t="str">
        <f>Lineup!$G$4</f>
        <v>桃園</v>
      </c>
    </row>
    <row r="90" spans="1:85" x14ac:dyDescent="0.3">
      <c r="A90" s="4">
        <v>89</v>
      </c>
      <c r="B90" s="4">
        <v>1</v>
      </c>
      <c r="C90" s="4">
        <v>8</v>
      </c>
      <c r="D90" s="4">
        <v>4</v>
      </c>
      <c r="E90" s="4" t="s">
        <v>433</v>
      </c>
      <c r="F90" s="4" t="s">
        <v>343</v>
      </c>
      <c r="G90" s="4">
        <v>27</v>
      </c>
      <c r="H90" s="4">
        <v>16</v>
      </c>
      <c r="I90" s="4">
        <v>11</v>
      </c>
      <c r="J90" s="4">
        <v>1</v>
      </c>
      <c r="K90" s="4">
        <v>143</v>
      </c>
      <c r="L90" s="4" t="s">
        <v>643</v>
      </c>
      <c r="M90" s="4" t="s">
        <v>396</v>
      </c>
      <c r="N90" s="4" t="s">
        <v>642</v>
      </c>
      <c r="O90" s="4">
        <v>62.25</v>
      </c>
      <c r="P90" s="4">
        <v>75</v>
      </c>
      <c r="Q90" s="4" t="s">
        <v>639</v>
      </c>
      <c r="AO90" s="4">
        <v>1</v>
      </c>
      <c r="AP90" s="4">
        <v>3</v>
      </c>
      <c r="AQ90" s="4" t="s">
        <v>658</v>
      </c>
      <c r="AS90">
        <v>0</v>
      </c>
      <c r="AT90">
        <v>3</v>
      </c>
      <c r="AU90" s="33">
        <v>5481.99999999999</v>
      </c>
      <c r="AV90" s="36" t="s">
        <v>644</v>
      </c>
      <c r="AW90" s="4">
        <v>5479</v>
      </c>
      <c r="AX90" s="4" t="str">
        <f>IFERROR(VLOOKUP(M90,Roster!$L$2:$M$27,2,FALSE),"")</f>
        <v>R</v>
      </c>
      <c r="AY90" s="4" t="str">
        <f t="shared" si="8"/>
        <v>0好3壞</v>
      </c>
      <c r="BI90" s="5" t="str">
        <f>Lineup!$G$2</f>
        <v>20210817</v>
      </c>
      <c r="BJ90" s="4" t="str">
        <f t="shared" si="10"/>
        <v>外角高</v>
      </c>
      <c r="BK90" s="4" t="str">
        <f t="shared" si="9"/>
        <v>B1O</v>
      </c>
      <c r="BL90" s="4" t="str">
        <f>IFERROR(VLOOKUP(E90,Roster!$D$2:$E$27,2,FALSE),"")</f>
        <v>L</v>
      </c>
      <c r="BP90" s="49"/>
      <c r="BQ90" s="49"/>
      <c r="BR90" s="49"/>
      <c r="BS90" s="49"/>
      <c r="BT90" s="49"/>
      <c r="BU90" s="49"/>
      <c r="BY90" s="4">
        <f t="shared" si="6"/>
        <v>111</v>
      </c>
      <c r="BZ90" s="4">
        <f t="shared" si="7"/>
        <v>246</v>
      </c>
      <c r="CD90" s="5" t="str">
        <f>Lineup!$G$1</f>
        <v>一軍例行賽</v>
      </c>
      <c r="CE90" s="4">
        <f>Lineup!$I$1</f>
        <v>148</v>
      </c>
      <c r="CF90" s="5" t="str">
        <f>Lineup!$G$5</f>
        <v>王俊宏</v>
      </c>
      <c r="CG90" s="5" t="str">
        <f>Lineup!$G$4</f>
        <v>桃園</v>
      </c>
    </row>
    <row r="91" spans="1:85" x14ac:dyDescent="0.3">
      <c r="A91" s="4">
        <v>90</v>
      </c>
      <c r="B91" s="4">
        <v>1</v>
      </c>
      <c r="C91" s="4">
        <v>8</v>
      </c>
      <c r="D91" s="4">
        <v>4</v>
      </c>
      <c r="E91" s="4" t="s">
        <v>433</v>
      </c>
      <c r="F91" s="4" t="s">
        <v>343</v>
      </c>
      <c r="G91" s="4">
        <v>28</v>
      </c>
      <c r="H91" s="4">
        <v>16</v>
      </c>
      <c r="I91" s="4">
        <v>12</v>
      </c>
      <c r="J91" s="4">
        <v>1</v>
      </c>
      <c r="L91" s="4" t="s">
        <v>643</v>
      </c>
      <c r="M91" s="4" t="s">
        <v>396</v>
      </c>
      <c r="N91" s="4" t="s">
        <v>642</v>
      </c>
      <c r="O91" s="4">
        <v>45</v>
      </c>
      <c r="P91" s="4">
        <v>112.5</v>
      </c>
      <c r="Q91" s="4" t="s">
        <v>641</v>
      </c>
      <c r="R91" s="5" t="s">
        <v>660</v>
      </c>
      <c r="AB91" s="4" t="s">
        <v>396</v>
      </c>
      <c r="AM91" s="4">
        <v>1</v>
      </c>
      <c r="AO91" s="4">
        <v>1</v>
      </c>
      <c r="AP91" s="4">
        <v>4</v>
      </c>
      <c r="AQ91" s="4" t="s">
        <v>659</v>
      </c>
      <c r="AS91">
        <v>1</v>
      </c>
      <c r="AT91">
        <v>3</v>
      </c>
      <c r="AU91" s="33">
        <v>5500.99999999999</v>
      </c>
      <c r="AV91" s="36" t="s">
        <v>644</v>
      </c>
      <c r="AW91" s="4">
        <v>5496.9999999999927</v>
      </c>
      <c r="AX91" s="4" t="str">
        <f>IFERROR(VLOOKUP(M91,Roster!$L$2:$M$27,2,FALSE),"")</f>
        <v>R</v>
      </c>
      <c r="AY91" s="4" t="str">
        <f t="shared" si="8"/>
        <v>1好3壞</v>
      </c>
      <c r="BI91" s="5" t="str">
        <f>Lineup!$G$2</f>
        <v>20210817</v>
      </c>
      <c r="BJ91" s="4" t="str">
        <f t="shared" si="10"/>
        <v>偏外角低</v>
      </c>
      <c r="BK91" s="4" t="str">
        <f t="shared" si="9"/>
        <v>B1O</v>
      </c>
      <c r="BL91" s="4" t="str">
        <f>IFERROR(VLOOKUP(E91,Roster!$D$2:$E$27,2,FALSE),"")</f>
        <v>L</v>
      </c>
      <c r="BP91" s="49"/>
      <c r="BQ91" s="49"/>
      <c r="BR91" s="49"/>
      <c r="BS91" s="49"/>
      <c r="BT91" s="49"/>
      <c r="BU91" s="49"/>
      <c r="BY91" s="4">
        <f t="shared" si="6"/>
        <v>73.5</v>
      </c>
      <c r="BZ91" s="4">
        <f t="shared" si="7"/>
        <v>246</v>
      </c>
      <c r="CD91" s="5" t="str">
        <f>Lineup!$G$1</f>
        <v>一軍例行賽</v>
      </c>
      <c r="CE91" s="4">
        <f>Lineup!$I$1</f>
        <v>148</v>
      </c>
      <c r="CF91" s="5" t="str">
        <f>Lineup!$G$5</f>
        <v>王俊宏</v>
      </c>
      <c r="CG91" s="5" t="str">
        <f>Lineup!$G$4</f>
        <v>桃園</v>
      </c>
    </row>
    <row r="92" spans="1:85" x14ac:dyDescent="0.3">
      <c r="A92" s="4">
        <v>91</v>
      </c>
      <c r="B92" s="4">
        <v>1</v>
      </c>
      <c r="C92" s="4">
        <v>8</v>
      </c>
      <c r="D92" s="4">
        <v>4</v>
      </c>
      <c r="E92" s="4" t="s">
        <v>455</v>
      </c>
      <c r="F92" s="4" t="s">
        <v>343</v>
      </c>
      <c r="G92" s="4">
        <v>1</v>
      </c>
      <c r="H92" s="4">
        <v>1</v>
      </c>
      <c r="I92" s="4">
        <v>0</v>
      </c>
      <c r="J92" s="4">
        <v>1</v>
      </c>
      <c r="L92" s="4" t="s">
        <v>643</v>
      </c>
      <c r="M92" s="4" t="s">
        <v>346</v>
      </c>
      <c r="N92" s="4" t="s">
        <v>649</v>
      </c>
      <c r="O92" s="4">
        <v>110.25</v>
      </c>
      <c r="P92" s="4">
        <v>122.25</v>
      </c>
      <c r="Q92" s="4" t="s">
        <v>639</v>
      </c>
      <c r="R92" s="5" t="s">
        <v>690</v>
      </c>
      <c r="AB92" s="4" t="s">
        <v>396</v>
      </c>
      <c r="AO92" s="4">
        <v>1</v>
      </c>
      <c r="AP92" s="4">
        <v>0</v>
      </c>
      <c r="AQ92" s="4" t="s">
        <v>640</v>
      </c>
      <c r="AS92">
        <v>0</v>
      </c>
      <c r="AT92">
        <v>0</v>
      </c>
      <c r="AU92" s="33">
        <v>5664.0000000000027</v>
      </c>
      <c r="AV92" s="36" t="s">
        <v>644</v>
      </c>
      <c r="AW92" s="4">
        <v>5660.0000000000055</v>
      </c>
      <c r="AX92" s="4" t="str">
        <f>IFERROR(VLOOKUP(M92,Roster!$L$2:$M$27,2,FALSE),"")</f>
        <v>R</v>
      </c>
      <c r="AY92" s="4" t="str">
        <f t="shared" si="8"/>
        <v>0好0壞</v>
      </c>
      <c r="BI92" s="5" t="str">
        <f>Lineup!$G$2</f>
        <v>20210817</v>
      </c>
      <c r="BJ92" s="4" t="str">
        <f t="shared" si="10"/>
        <v>偏內角低</v>
      </c>
      <c r="BK92" s="4" t="str">
        <f t="shared" si="9"/>
        <v>1B1O</v>
      </c>
      <c r="BL92" s="4" t="str">
        <f>IFERROR(VLOOKUP(E92,Roster!$D$2:$E$27,2,FALSE),"")</f>
        <v>R</v>
      </c>
      <c r="BP92" s="49"/>
      <c r="BQ92" s="49"/>
      <c r="BR92" s="49"/>
      <c r="BS92" s="49"/>
      <c r="BT92" s="49"/>
      <c r="BU92" s="49"/>
      <c r="BY92" s="4">
        <f t="shared" si="6"/>
        <v>63.75</v>
      </c>
      <c r="BZ92" s="4">
        <f t="shared" si="7"/>
        <v>246</v>
      </c>
      <c r="CD92" s="5" t="str">
        <f>Lineup!$G$1</f>
        <v>一軍例行賽</v>
      </c>
      <c r="CE92" s="4">
        <f>Lineup!$I$1</f>
        <v>148</v>
      </c>
      <c r="CF92" s="5" t="str">
        <f>Lineup!$G$5</f>
        <v>王俊宏</v>
      </c>
      <c r="CG92" s="5" t="str">
        <f>Lineup!$G$4</f>
        <v>桃園</v>
      </c>
    </row>
    <row r="93" spans="1:85" x14ac:dyDescent="0.3">
      <c r="A93" s="4">
        <v>92</v>
      </c>
      <c r="B93" s="4">
        <v>1</v>
      </c>
      <c r="C93" s="4">
        <v>8</v>
      </c>
      <c r="D93" s="4">
        <v>4</v>
      </c>
      <c r="E93" s="4" t="s">
        <v>455</v>
      </c>
      <c r="F93" s="4" t="s">
        <v>343</v>
      </c>
      <c r="G93" s="4">
        <v>2</v>
      </c>
      <c r="H93" s="4">
        <v>1</v>
      </c>
      <c r="I93" s="4">
        <v>1</v>
      </c>
      <c r="J93" s="4">
        <v>1</v>
      </c>
      <c r="K93" s="4">
        <v>136</v>
      </c>
      <c r="L93" s="4" t="s">
        <v>643</v>
      </c>
      <c r="M93" s="4" t="s">
        <v>346</v>
      </c>
      <c r="N93" s="4" t="s">
        <v>642</v>
      </c>
      <c r="O93" s="4">
        <v>109.5</v>
      </c>
      <c r="P93" s="4">
        <v>38.25</v>
      </c>
      <c r="Q93" s="4" t="s">
        <v>641</v>
      </c>
      <c r="AB93" s="4" t="s">
        <v>396</v>
      </c>
      <c r="AO93" s="4">
        <v>1</v>
      </c>
      <c r="AP93" s="4">
        <v>1</v>
      </c>
      <c r="AQ93" s="4" t="s">
        <v>645</v>
      </c>
      <c r="AS93">
        <v>1</v>
      </c>
      <c r="AT93">
        <v>0</v>
      </c>
      <c r="AU93" s="33">
        <v>5693.9999999999982</v>
      </c>
      <c r="AV93" s="36" t="s">
        <v>644</v>
      </c>
      <c r="AW93" s="4">
        <v>5690.0000000000009</v>
      </c>
      <c r="AX93" s="4" t="str">
        <f>IFERROR(VLOOKUP(M93,Roster!$L$2:$M$27,2,FALSE),"")</f>
        <v>R</v>
      </c>
      <c r="AY93" s="4" t="str">
        <f t="shared" si="8"/>
        <v>1好0壞</v>
      </c>
      <c r="BI93" s="5" t="str">
        <f>Lineup!$G$2</f>
        <v>20210817</v>
      </c>
      <c r="BJ93" s="4" t="str">
        <f t="shared" si="10"/>
        <v>偏內角偏高</v>
      </c>
      <c r="BK93" s="4" t="str">
        <f t="shared" si="9"/>
        <v>1B1O</v>
      </c>
      <c r="BL93" s="4" t="str">
        <f>IFERROR(VLOOKUP(E93,Roster!$D$2:$E$27,2,FALSE),"")</f>
        <v>R</v>
      </c>
      <c r="BP93" s="49"/>
      <c r="BQ93" s="49"/>
      <c r="BR93" s="49"/>
      <c r="BS93" s="49"/>
      <c r="BT93" s="49"/>
      <c r="BU93" s="49"/>
      <c r="BY93" s="4">
        <f t="shared" si="6"/>
        <v>147.75</v>
      </c>
      <c r="BZ93" s="4">
        <f t="shared" si="7"/>
        <v>246</v>
      </c>
      <c r="CD93" s="5" t="str">
        <f>Lineup!$G$1</f>
        <v>一軍例行賽</v>
      </c>
      <c r="CE93" s="4">
        <f>Lineup!$I$1</f>
        <v>148</v>
      </c>
      <c r="CF93" s="5" t="str">
        <f>Lineup!$G$5</f>
        <v>王俊宏</v>
      </c>
      <c r="CG93" s="5" t="str">
        <f>Lineup!$G$4</f>
        <v>桃園</v>
      </c>
    </row>
    <row r="94" spans="1:85" x14ac:dyDescent="0.3">
      <c r="A94" s="4">
        <v>93</v>
      </c>
      <c r="B94" s="4">
        <v>1</v>
      </c>
      <c r="C94" s="4">
        <v>8</v>
      </c>
      <c r="D94" s="4">
        <v>4</v>
      </c>
      <c r="E94" s="4" t="s">
        <v>455</v>
      </c>
      <c r="F94" s="4" t="s">
        <v>343</v>
      </c>
      <c r="G94" s="4">
        <v>3</v>
      </c>
      <c r="H94" s="4">
        <v>2</v>
      </c>
      <c r="I94" s="4">
        <v>1</v>
      </c>
      <c r="J94" s="4">
        <v>1</v>
      </c>
      <c r="K94" s="4">
        <v>136</v>
      </c>
      <c r="L94" s="4" t="s">
        <v>643</v>
      </c>
      <c r="M94" s="4" t="s">
        <v>346</v>
      </c>
      <c r="N94" s="4" t="s">
        <v>649</v>
      </c>
      <c r="O94" s="4">
        <v>101.25</v>
      </c>
      <c r="P94" s="4">
        <v>69.75</v>
      </c>
      <c r="Q94" s="4" t="s">
        <v>639</v>
      </c>
      <c r="R94" s="5" t="s">
        <v>657</v>
      </c>
      <c r="AB94" s="4" t="s">
        <v>396</v>
      </c>
      <c r="AO94" s="4">
        <v>2</v>
      </c>
      <c r="AP94" s="4">
        <v>1</v>
      </c>
      <c r="AQ94" s="4" t="s">
        <v>647</v>
      </c>
      <c r="AS94">
        <v>1</v>
      </c>
      <c r="AT94">
        <v>1</v>
      </c>
      <c r="AU94" s="33">
        <v>5719.9999999999955</v>
      </c>
      <c r="AV94" s="36" t="s">
        <v>644</v>
      </c>
      <c r="AW94" s="4">
        <v>5717.0000000000045</v>
      </c>
      <c r="AX94" s="4" t="str">
        <f>IFERROR(VLOOKUP(M94,Roster!$L$2:$M$27,2,FALSE),"")</f>
        <v>R</v>
      </c>
      <c r="AY94" s="4" t="str">
        <f t="shared" si="8"/>
        <v>1好1壞</v>
      </c>
      <c r="BI94" s="5" t="str">
        <f>Lineup!$G$2</f>
        <v>20210817</v>
      </c>
      <c r="BJ94" s="4" t="str">
        <f t="shared" si="10"/>
        <v>內角高</v>
      </c>
      <c r="BK94" s="4" t="str">
        <f t="shared" si="9"/>
        <v>1B1O</v>
      </c>
      <c r="BL94" s="4" t="str">
        <f>IFERROR(VLOOKUP(E94,Roster!$D$2:$E$27,2,FALSE),"")</f>
        <v>R</v>
      </c>
      <c r="BP94" s="49"/>
      <c r="BQ94" s="49"/>
      <c r="BR94" s="49"/>
      <c r="BS94" s="49"/>
      <c r="BT94" s="49"/>
      <c r="BU94" s="49"/>
      <c r="BY94" s="4">
        <f t="shared" si="6"/>
        <v>116.25</v>
      </c>
      <c r="BZ94" s="4">
        <f t="shared" si="7"/>
        <v>246</v>
      </c>
      <c r="CD94" s="5" t="str">
        <f>Lineup!$G$1</f>
        <v>一軍例行賽</v>
      </c>
      <c r="CE94" s="4">
        <f>Lineup!$I$1</f>
        <v>148</v>
      </c>
      <c r="CF94" s="5" t="str">
        <f>Lineup!$G$5</f>
        <v>王俊宏</v>
      </c>
      <c r="CG94" s="5" t="str">
        <f>Lineup!$G$4</f>
        <v>桃園</v>
      </c>
    </row>
    <row r="95" spans="1:85" x14ac:dyDescent="0.3">
      <c r="A95" s="4">
        <v>94</v>
      </c>
      <c r="B95" s="4">
        <v>1</v>
      </c>
      <c r="C95" s="4">
        <v>8</v>
      </c>
      <c r="D95" s="4">
        <v>4</v>
      </c>
      <c r="E95" s="4" t="s">
        <v>455</v>
      </c>
      <c r="F95" s="4" t="s">
        <v>343</v>
      </c>
      <c r="G95" s="4">
        <v>4</v>
      </c>
      <c r="H95" s="4">
        <v>2</v>
      </c>
      <c r="I95" s="4">
        <v>2</v>
      </c>
      <c r="J95" s="4">
        <v>1</v>
      </c>
      <c r="K95" s="4">
        <v>139</v>
      </c>
      <c r="L95" s="4" t="s">
        <v>643</v>
      </c>
      <c r="M95" s="4" t="s">
        <v>346</v>
      </c>
      <c r="N95" s="4" t="s">
        <v>642</v>
      </c>
      <c r="O95" s="4">
        <v>100.5</v>
      </c>
      <c r="P95" s="4">
        <v>39</v>
      </c>
      <c r="Q95" s="4" t="s">
        <v>641</v>
      </c>
      <c r="AB95" s="4" t="s">
        <v>396</v>
      </c>
      <c r="AO95" s="4">
        <v>2</v>
      </c>
      <c r="AP95" s="4">
        <v>2</v>
      </c>
      <c r="AQ95" s="4" t="s">
        <v>655</v>
      </c>
      <c r="AS95">
        <v>2</v>
      </c>
      <c r="AT95">
        <v>1</v>
      </c>
      <c r="AU95" s="33">
        <v>5752.9999999999909</v>
      </c>
      <c r="AV95" s="36" t="s">
        <v>644</v>
      </c>
      <c r="AW95" s="4">
        <v>5748.0000000000064</v>
      </c>
      <c r="AX95" s="4" t="str">
        <f>IFERROR(VLOOKUP(M95,Roster!$L$2:$M$27,2,FALSE),"")</f>
        <v>R</v>
      </c>
      <c r="AY95" s="4" t="str">
        <f t="shared" si="8"/>
        <v>2好1壞</v>
      </c>
      <c r="BI95" s="5" t="str">
        <f>Lineup!$G$2</f>
        <v>20210817</v>
      </c>
      <c r="BJ95" s="4" t="str">
        <f t="shared" si="10"/>
        <v>內角偏高</v>
      </c>
      <c r="BK95" s="4" t="str">
        <f t="shared" si="9"/>
        <v>1B1O</v>
      </c>
      <c r="BL95" s="4" t="str">
        <f>IFERROR(VLOOKUP(E95,Roster!$D$2:$E$27,2,FALSE),"")</f>
        <v>R</v>
      </c>
      <c r="BP95" s="49"/>
      <c r="BQ95" s="49"/>
      <c r="BR95" s="49"/>
      <c r="BS95" s="49"/>
      <c r="BT95" s="49"/>
      <c r="BU95" s="49"/>
      <c r="BY95" s="4">
        <f t="shared" si="6"/>
        <v>147</v>
      </c>
      <c r="BZ95" s="4">
        <f t="shared" si="7"/>
        <v>246</v>
      </c>
      <c r="CD95" s="5" t="str">
        <f>Lineup!$G$1</f>
        <v>一軍例行賽</v>
      </c>
      <c r="CE95" s="4">
        <f>Lineup!$I$1</f>
        <v>148</v>
      </c>
      <c r="CF95" s="5" t="str">
        <f>Lineup!$G$5</f>
        <v>王俊宏</v>
      </c>
      <c r="CG95" s="5" t="str">
        <f>Lineup!$G$4</f>
        <v>桃園</v>
      </c>
    </row>
    <row r="96" spans="1:85" x14ac:dyDescent="0.3">
      <c r="A96" s="4">
        <v>95</v>
      </c>
      <c r="B96" s="4">
        <v>1</v>
      </c>
      <c r="C96" s="4">
        <v>8</v>
      </c>
      <c r="D96" s="4">
        <v>4</v>
      </c>
      <c r="E96" s="4" t="s">
        <v>455</v>
      </c>
      <c r="F96" s="4" t="s">
        <v>343</v>
      </c>
      <c r="G96" s="4">
        <v>5</v>
      </c>
      <c r="H96" s="4">
        <v>3</v>
      </c>
      <c r="I96" s="4">
        <v>2</v>
      </c>
      <c r="J96" s="4">
        <v>3</v>
      </c>
      <c r="K96" s="4">
        <v>136</v>
      </c>
      <c r="L96" s="4" t="s">
        <v>643</v>
      </c>
      <c r="M96" s="4" t="s">
        <v>346</v>
      </c>
      <c r="N96" s="4" t="s">
        <v>649</v>
      </c>
      <c r="O96" s="4">
        <v>60</v>
      </c>
      <c r="P96" s="4">
        <v>95.25</v>
      </c>
      <c r="Q96" s="4" t="s">
        <v>639</v>
      </c>
      <c r="R96" s="5" t="s">
        <v>717</v>
      </c>
      <c r="S96" s="4">
        <v>126.75</v>
      </c>
      <c r="T96" s="4">
        <v>174</v>
      </c>
      <c r="U96" s="4" t="s">
        <v>535</v>
      </c>
      <c r="V96" s="4" t="s">
        <v>543</v>
      </c>
      <c r="W96" s="4" t="s">
        <v>352</v>
      </c>
      <c r="AE96" s="4" t="s">
        <v>661</v>
      </c>
      <c r="AF96" s="4" t="s">
        <v>661</v>
      </c>
      <c r="AG96" s="4" t="s">
        <v>661</v>
      </c>
      <c r="AI96" s="4" t="s">
        <v>396</v>
      </c>
      <c r="AJ96" s="4" t="s">
        <v>346</v>
      </c>
      <c r="AK96" s="4">
        <v>1</v>
      </c>
      <c r="AM96" s="4">
        <v>1</v>
      </c>
      <c r="AO96" s="4">
        <v>3</v>
      </c>
      <c r="AP96" s="4">
        <v>2</v>
      </c>
      <c r="AQ96" s="4" t="s">
        <v>683</v>
      </c>
      <c r="AR96" s="4" t="s">
        <v>718</v>
      </c>
      <c r="AS96">
        <v>2</v>
      </c>
      <c r="AT96">
        <v>2</v>
      </c>
      <c r="AU96" s="33">
        <v>5783.9999999999927</v>
      </c>
      <c r="AV96" s="36" t="s">
        <v>644</v>
      </c>
      <c r="AW96" s="4">
        <v>5774.9999999999918</v>
      </c>
      <c r="AX96" s="4" t="str">
        <f>IFERROR(VLOOKUP(M96,Roster!$L$2:$M$27,2,FALSE),"")</f>
        <v>R</v>
      </c>
      <c r="AY96" s="4" t="str">
        <f t="shared" si="8"/>
        <v>2好2壞</v>
      </c>
      <c r="BI96" s="5" t="str">
        <f>Lineup!$G$2</f>
        <v>20210817</v>
      </c>
      <c r="BJ96" s="4" t="str">
        <f t="shared" si="10"/>
        <v>外角中</v>
      </c>
      <c r="BK96" s="4" t="str">
        <f t="shared" si="9"/>
        <v>1B1O</v>
      </c>
      <c r="BL96" s="4" t="str">
        <f>IFERROR(VLOOKUP(E96,Roster!$D$2:$E$27,2,FALSE),"")</f>
        <v>R</v>
      </c>
      <c r="BP96" s="49"/>
      <c r="BQ96" s="49"/>
      <c r="BR96" s="49"/>
      <c r="BS96" s="49"/>
      <c r="BT96" s="49"/>
      <c r="BU96" s="49"/>
      <c r="BY96" s="4">
        <f t="shared" si="6"/>
        <v>90.75</v>
      </c>
      <c r="BZ96" s="4">
        <f t="shared" si="7"/>
        <v>72</v>
      </c>
      <c r="CD96" s="5" t="str">
        <f>Lineup!$G$1</f>
        <v>一軍例行賽</v>
      </c>
      <c r="CE96" s="4">
        <f>Lineup!$I$1</f>
        <v>148</v>
      </c>
      <c r="CF96" s="5" t="str">
        <f>Lineup!$G$5</f>
        <v>王俊宏</v>
      </c>
      <c r="CG96" s="5" t="str">
        <f>Lineup!$G$4</f>
        <v>桃園</v>
      </c>
    </row>
    <row r="97" spans="1:85" x14ac:dyDescent="0.3">
      <c r="A97" s="4">
        <v>96</v>
      </c>
      <c r="B97" s="4">
        <v>3</v>
      </c>
      <c r="C97" s="4">
        <v>8</v>
      </c>
      <c r="D97" s="4">
        <v>5</v>
      </c>
      <c r="E97" s="4" t="s">
        <v>471</v>
      </c>
      <c r="F97" s="4" t="s">
        <v>343</v>
      </c>
      <c r="G97" s="4">
        <v>1</v>
      </c>
      <c r="H97" s="4">
        <v>1</v>
      </c>
      <c r="I97" s="4">
        <v>0</v>
      </c>
      <c r="J97" s="4">
        <v>0</v>
      </c>
      <c r="L97" s="4" t="s">
        <v>643</v>
      </c>
      <c r="M97" s="4" t="s">
        <v>360</v>
      </c>
      <c r="N97" s="4" t="s">
        <v>642</v>
      </c>
      <c r="O97" s="4">
        <v>48</v>
      </c>
      <c r="P97" s="4">
        <v>81</v>
      </c>
      <c r="Q97" s="4" t="s">
        <v>639</v>
      </c>
      <c r="AO97" s="4">
        <v>1</v>
      </c>
      <c r="AP97" s="4">
        <v>0</v>
      </c>
      <c r="AQ97" s="4" t="s">
        <v>640</v>
      </c>
      <c r="AS97">
        <v>0</v>
      </c>
      <c r="AT97">
        <v>0</v>
      </c>
      <c r="AU97" s="33">
        <v>7686.9999999999991</v>
      </c>
      <c r="AV97" s="36" t="s">
        <v>644</v>
      </c>
      <c r="AW97" s="4">
        <v>7683</v>
      </c>
      <c r="AX97" s="4" t="str">
        <f>IFERROR(VLOOKUP(M97,Roster!$L$2:$M$27,2,FALSE),"")</f>
        <v>L</v>
      </c>
      <c r="AY97" s="4" t="str">
        <f t="shared" si="8"/>
        <v>0好0壞</v>
      </c>
      <c r="BI97" s="5" t="str">
        <f>Lineup!$G$2</f>
        <v>20210817</v>
      </c>
      <c r="BJ97" s="4" t="str">
        <f t="shared" si="10"/>
        <v>內角中</v>
      </c>
      <c r="BK97" s="4" t="str">
        <f t="shared" si="9"/>
        <v>B3O</v>
      </c>
      <c r="BL97" s="4" t="str">
        <f>IFERROR(VLOOKUP(E97,Roster!$D$2:$E$27,2,FALSE),"")</f>
        <v>R</v>
      </c>
      <c r="BP97" s="49"/>
      <c r="BQ97" s="49"/>
      <c r="BR97" s="49"/>
      <c r="BS97" s="49"/>
      <c r="BT97" s="49"/>
      <c r="BU97" s="49"/>
      <c r="BY97" s="4">
        <f t="shared" si="6"/>
        <v>105</v>
      </c>
      <c r="BZ97" s="4">
        <f t="shared" si="7"/>
        <v>246</v>
      </c>
      <c r="CD97" s="5" t="str">
        <f>Lineup!$G$1</f>
        <v>一軍例行賽</v>
      </c>
      <c r="CE97" s="4">
        <f>Lineup!$I$1</f>
        <v>148</v>
      </c>
      <c r="CF97" s="5" t="str">
        <f>Lineup!$G$5</f>
        <v>王俊宏</v>
      </c>
      <c r="CG97" s="5" t="str">
        <f>Lineup!$G$4</f>
        <v>桃園</v>
      </c>
    </row>
    <row r="98" spans="1:85" x14ac:dyDescent="0.3">
      <c r="A98" s="4">
        <v>97</v>
      </c>
      <c r="B98" s="4">
        <v>3</v>
      </c>
      <c r="C98" s="4">
        <v>8</v>
      </c>
      <c r="D98" s="4">
        <v>5</v>
      </c>
      <c r="E98" s="4" t="s">
        <v>471</v>
      </c>
      <c r="F98" s="4" t="s">
        <v>343</v>
      </c>
      <c r="G98" s="4">
        <v>2</v>
      </c>
      <c r="H98" s="4">
        <v>2</v>
      </c>
      <c r="I98" s="4">
        <v>0</v>
      </c>
      <c r="J98" s="4">
        <v>1</v>
      </c>
      <c r="K98" s="4">
        <v>132</v>
      </c>
      <c r="L98" s="4" t="s">
        <v>646</v>
      </c>
      <c r="M98" s="4" t="s">
        <v>360</v>
      </c>
      <c r="N98" s="4" t="s">
        <v>649</v>
      </c>
      <c r="O98" s="4">
        <v>89.25</v>
      </c>
      <c r="P98" s="4">
        <v>96</v>
      </c>
      <c r="Q98" s="4" t="s">
        <v>109</v>
      </c>
      <c r="R98" s="5" t="s">
        <v>650</v>
      </c>
      <c r="S98" s="4">
        <v>176.25</v>
      </c>
      <c r="T98" s="4">
        <v>167.25</v>
      </c>
      <c r="U98" s="4" t="s">
        <v>543</v>
      </c>
      <c r="V98" s="4" t="s">
        <v>352</v>
      </c>
      <c r="AH98" s="4" t="s">
        <v>360</v>
      </c>
      <c r="AK98" s="4">
        <v>1</v>
      </c>
      <c r="AM98" s="4">
        <v>1</v>
      </c>
      <c r="AO98" s="4">
        <v>2</v>
      </c>
      <c r="AP98" s="4">
        <v>0</v>
      </c>
      <c r="AQ98" s="4" t="s">
        <v>662</v>
      </c>
      <c r="AR98" s="4" t="s">
        <v>726</v>
      </c>
      <c r="AS98">
        <v>1</v>
      </c>
      <c r="AT98">
        <v>0</v>
      </c>
      <c r="AU98" s="33">
        <v>7704.0000000000055</v>
      </c>
      <c r="AV98" s="36" t="s">
        <v>644</v>
      </c>
      <c r="AW98" s="4">
        <v>7695</v>
      </c>
      <c r="AX98" s="4" t="str">
        <f>IFERROR(VLOOKUP(M98,Roster!$L$2:$M$27,2,FALSE),"")</f>
        <v>L</v>
      </c>
      <c r="AY98" s="4" t="str">
        <f t="shared" si="8"/>
        <v>1好0壞</v>
      </c>
      <c r="BI98" s="5" t="str">
        <f>Lineup!$G$2</f>
        <v>20210817</v>
      </c>
      <c r="BJ98" s="4" t="str">
        <f t="shared" si="10"/>
        <v>外角中</v>
      </c>
      <c r="BK98" s="4" t="str">
        <f t="shared" si="9"/>
        <v>B0O</v>
      </c>
      <c r="BL98" s="4" t="str">
        <f>IFERROR(VLOOKUP(E98,Roster!$D$2:$E$27,2,FALSE),"")</f>
        <v>R</v>
      </c>
      <c r="BP98" s="49"/>
      <c r="BQ98" s="49"/>
      <c r="BR98" s="49"/>
      <c r="BS98" s="49"/>
      <c r="BT98" s="49"/>
      <c r="BU98" s="49"/>
      <c r="BY98" s="4">
        <f t="shared" si="6"/>
        <v>90</v>
      </c>
      <c r="BZ98" s="4">
        <f t="shared" si="7"/>
        <v>78.75</v>
      </c>
      <c r="CD98" s="5" t="str">
        <f>Lineup!$G$1</f>
        <v>一軍例行賽</v>
      </c>
      <c r="CE98" s="4">
        <f>Lineup!$I$1</f>
        <v>148</v>
      </c>
      <c r="CF98" s="5" t="str">
        <f>Lineup!$G$5</f>
        <v>王俊宏</v>
      </c>
      <c r="CG98" s="5" t="str">
        <f>Lineup!$G$4</f>
        <v>桃園</v>
      </c>
    </row>
    <row r="99" spans="1:85" x14ac:dyDescent="0.3">
      <c r="A99" s="4">
        <v>98</v>
      </c>
      <c r="B99" s="4">
        <v>3</v>
      </c>
      <c r="C99" s="4">
        <v>8</v>
      </c>
      <c r="D99" s="4">
        <v>5</v>
      </c>
      <c r="E99" s="4" t="s">
        <v>471</v>
      </c>
      <c r="F99" s="4" t="s">
        <v>343</v>
      </c>
      <c r="G99" s="4">
        <v>3</v>
      </c>
      <c r="H99" s="4">
        <v>2</v>
      </c>
      <c r="I99" s="4">
        <v>1</v>
      </c>
      <c r="J99" s="4">
        <v>1</v>
      </c>
      <c r="L99" s="4" t="s">
        <v>643</v>
      </c>
      <c r="M99" s="4" t="s">
        <v>341</v>
      </c>
      <c r="N99" s="4" t="s">
        <v>642</v>
      </c>
      <c r="O99" s="4">
        <v>43.5</v>
      </c>
      <c r="P99" s="4">
        <v>69</v>
      </c>
      <c r="Q99" s="4" t="s">
        <v>641</v>
      </c>
      <c r="AO99" s="4">
        <v>0</v>
      </c>
      <c r="AP99" s="4">
        <v>1</v>
      </c>
      <c r="AQ99" s="4" t="s">
        <v>652</v>
      </c>
      <c r="AS99">
        <v>0</v>
      </c>
      <c r="AT99">
        <v>0</v>
      </c>
      <c r="AU99" s="33">
        <v>7737.0000000000009</v>
      </c>
      <c r="AV99" s="36" t="s">
        <v>644</v>
      </c>
      <c r="AW99" s="4">
        <v>7732.9999999999936</v>
      </c>
      <c r="AX99" s="4" t="str">
        <f>IFERROR(VLOOKUP(M99,Roster!$L$2:$M$27,2,FALSE),"")</f>
        <v>R</v>
      </c>
      <c r="AY99" s="4" t="str">
        <f t="shared" si="8"/>
        <v>0好0壞</v>
      </c>
      <c r="BI99" s="5" t="str">
        <f>Lineup!$G$2</f>
        <v>20210817</v>
      </c>
      <c r="BJ99" s="4" t="str">
        <f t="shared" si="10"/>
        <v>偏外角高</v>
      </c>
      <c r="BK99" s="4" t="str">
        <f t="shared" si="9"/>
        <v>B1O</v>
      </c>
      <c r="BL99" s="4" t="str">
        <f>IFERROR(VLOOKUP(E99,Roster!$D$2:$E$27,2,FALSE),"")</f>
        <v>R</v>
      </c>
      <c r="BP99" s="49"/>
      <c r="BQ99" s="49"/>
      <c r="BR99" s="49"/>
      <c r="BS99" s="49"/>
      <c r="BT99" s="49"/>
      <c r="BU99" s="49"/>
      <c r="BY99" s="4">
        <f t="shared" si="6"/>
        <v>117</v>
      </c>
      <c r="BZ99" s="4">
        <f t="shared" si="7"/>
        <v>246</v>
      </c>
      <c r="CD99" s="5" t="str">
        <f>Lineup!$G$1</f>
        <v>一軍例行賽</v>
      </c>
      <c r="CE99" s="4">
        <f>Lineup!$I$1</f>
        <v>148</v>
      </c>
      <c r="CF99" s="5" t="str">
        <f>Lineup!$G$5</f>
        <v>王俊宏</v>
      </c>
      <c r="CG99" s="5" t="str">
        <f>Lineup!$G$4</f>
        <v>桃園</v>
      </c>
    </row>
    <row r="100" spans="1:85" x14ac:dyDescent="0.3">
      <c r="A100" s="4">
        <v>99</v>
      </c>
      <c r="B100" s="4">
        <v>3</v>
      </c>
      <c r="C100" s="4">
        <v>8</v>
      </c>
      <c r="D100" s="4">
        <v>5</v>
      </c>
      <c r="E100" s="4" t="s">
        <v>471</v>
      </c>
      <c r="F100" s="4" t="s">
        <v>343</v>
      </c>
      <c r="G100" s="4">
        <v>4</v>
      </c>
      <c r="H100" s="4">
        <v>2</v>
      </c>
      <c r="I100" s="4">
        <v>2</v>
      </c>
      <c r="J100" s="4">
        <v>1</v>
      </c>
      <c r="L100" s="4" t="s">
        <v>643</v>
      </c>
      <c r="M100" s="4" t="s">
        <v>341</v>
      </c>
      <c r="N100" s="4" t="s">
        <v>642</v>
      </c>
      <c r="O100" s="4">
        <v>118.5</v>
      </c>
      <c r="P100" s="4">
        <v>143.25</v>
      </c>
      <c r="Q100" s="4" t="s">
        <v>641</v>
      </c>
      <c r="AO100" s="4">
        <v>0</v>
      </c>
      <c r="AP100" s="4">
        <v>2</v>
      </c>
      <c r="AQ100" s="4" t="s">
        <v>653</v>
      </c>
      <c r="AS100">
        <v>0</v>
      </c>
      <c r="AT100">
        <v>1</v>
      </c>
      <c r="AU100" s="33">
        <v>7750</v>
      </c>
      <c r="AV100" s="36" t="s">
        <v>644</v>
      </c>
      <c r="AW100" s="4">
        <v>7746.0000000000018</v>
      </c>
      <c r="AX100" s="4" t="str">
        <f>IFERROR(VLOOKUP(M100,Roster!$L$2:$M$27,2,FALSE),"")</f>
        <v>R</v>
      </c>
      <c r="AY100" s="4" t="str">
        <f t="shared" si="8"/>
        <v>0好1壞</v>
      </c>
      <c r="BI100" s="5" t="str">
        <f>Lineup!$G$2</f>
        <v>20210817</v>
      </c>
      <c r="BJ100" s="4" t="str">
        <f t="shared" si="10"/>
        <v>偏內角偏低</v>
      </c>
      <c r="BK100" s="4" t="str">
        <f t="shared" si="9"/>
        <v>B1O</v>
      </c>
      <c r="BL100" s="4" t="str">
        <f>IFERROR(VLOOKUP(E100,Roster!$D$2:$E$27,2,FALSE),"")</f>
        <v>R</v>
      </c>
      <c r="BP100" s="49"/>
      <c r="BQ100" s="49"/>
      <c r="BR100" s="49"/>
      <c r="BS100" s="49"/>
      <c r="BT100" s="49"/>
      <c r="BU100" s="49"/>
      <c r="BY100" s="4">
        <f t="shared" si="6"/>
        <v>42.75</v>
      </c>
      <c r="BZ100" s="4">
        <f t="shared" si="7"/>
        <v>246</v>
      </c>
      <c r="CD100" s="5" t="str">
        <f>Lineup!$G$1</f>
        <v>一軍例行賽</v>
      </c>
      <c r="CE100" s="4">
        <f>Lineup!$I$1</f>
        <v>148</v>
      </c>
      <c r="CF100" s="5" t="str">
        <f>Lineup!$G$5</f>
        <v>王俊宏</v>
      </c>
      <c r="CG100" s="5" t="str">
        <f>Lineup!$G$4</f>
        <v>桃園</v>
      </c>
    </row>
    <row r="101" spans="1:85" x14ac:dyDescent="0.3">
      <c r="A101" s="4">
        <v>100</v>
      </c>
      <c r="B101" s="4">
        <v>3</v>
      </c>
      <c r="C101" s="4">
        <v>8</v>
      </c>
      <c r="D101" s="4">
        <v>5</v>
      </c>
      <c r="E101" s="4" t="s">
        <v>471</v>
      </c>
      <c r="F101" s="4" t="s">
        <v>343</v>
      </c>
      <c r="G101" s="4">
        <v>5</v>
      </c>
      <c r="H101" s="4">
        <v>3</v>
      </c>
      <c r="I101" s="4">
        <v>2</v>
      </c>
      <c r="J101" s="4">
        <v>1</v>
      </c>
      <c r="K101" s="4">
        <v>124</v>
      </c>
      <c r="L101" s="4" t="s">
        <v>665</v>
      </c>
      <c r="M101" s="4" t="s">
        <v>341</v>
      </c>
      <c r="N101" s="4" t="s">
        <v>649</v>
      </c>
      <c r="O101" s="4">
        <v>55.5</v>
      </c>
      <c r="P101" s="4">
        <v>68.25</v>
      </c>
      <c r="Q101" s="4" t="s">
        <v>639</v>
      </c>
      <c r="R101" s="5" t="s">
        <v>656</v>
      </c>
      <c r="S101" s="4">
        <v>178.5</v>
      </c>
      <c r="T101" s="4">
        <v>99</v>
      </c>
      <c r="U101" s="4" t="s">
        <v>571</v>
      </c>
      <c r="AB101" s="4" t="s">
        <v>341</v>
      </c>
      <c r="AM101" s="4">
        <v>1</v>
      </c>
      <c r="AO101" s="4">
        <v>1</v>
      </c>
      <c r="AP101" s="4">
        <v>2</v>
      </c>
      <c r="AQ101" s="4" t="s">
        <v>654</v>
      </c>
      <c r="AS101">
        <v>0</v>
      </c>
      <c r="AT101">
        <v>2</v>
      </c>
      <c r="AU101" s="33">
        <v>7777.0000000000036</v>
      </c>
      <c r="AV101" s="36" t="s">
        <v>644</v>
      </c>
      <c r="AW101" s="4">
        <v>7761.9999999999918</v>
      </c>
      <c r="AX101" s="4" t="str">
        <f>IFERROR(VLOOKUP(M101,Roster!$L$2:$M$27,2,FALSE),"")</f>
        <v>R</v>
      </c>
      <c r="AY101" s="4" t="str">
        <f t="shared" si="8"/>
        <v>0好2壞</v>
      </c>
      <c r="BI101" s="5" t="str">
        <f>Lineup!$G$2</f>
        <v>20210817</v>
      </c>
      <c r="BJ101" s="4" t="str">
        <f t="shared" si="10"/>
        <v>外角高</v>
      </c>
      <c r="BK101" s="4" t="str">
        <f t="shared" si="9"/>
        <v>B1O</v>
      </c>
      <c r="BL101" s="4" t="str">
        <f>IFERROR(VLOOKUP(E101,Roster!$D$2:$E$27,2,FALSE),"")</f>
        <v>R</v>
      </c>
      <c r="BP101" s="49"/>
      <c r="BQ101" s="49"/>
      <c r="BR101" s="49"/>
      <c r="BS101" s="49"/>
      <c r="BT101" s="49"/>
      <c r="BU101" s="49"/>
      <c r="BY101" s="4">
        <f t="shared" si="6"/>
        <v>117.75</v>
      </c>
      <c r="BZ101" s="4">
        <f t="shared" si="7"/>
        <v>147</v>
      </c>
      <c r="CD101" s="5" t="str">
        <f>Lineup!$G$1</f>
        <v>一軍例行賽</v>
      </c>
      <c r="CE101" s="4">
        <f>Lineup!$I$1</f>
        <v>148</v>
      </c>
      <c r="CF101" s="5" t="str">
        <f>Lineup!$G$5</f>
        <v>王俊宏</v>
      </c>
      <c r="CG101" s="5" t="str">
        <f>Lineup!$G$4</f>
        <v>桃園</v>
      </c>
    </row>
    <row r="102" spans="1:85" x14ac:dyDescent="0.3">
      <c r="A102" s="4">
        <v>101</v>
      </c>
      <c r="B102" s="4">
        <v>3</v>
      </c>
      <c r="C102" s="4">
        <v>8</v>
      </c>
      <c r="D102" s="4">
        <v>5</v>
      </c>
      <c r="E102" s="4" t="s">
        <v>471</v>
      </c>
      <c r="F102" s="4" t="s">
        <v>343</v>
      </c>
      <c r="G102" s="4">
        <v>6</v>
      </c>
      <c r="H102" s="4">
        <v>3</v>
      </c>
      <c r="I102" s="4">
        <v>3</v>
      </c>
      <c r="J102" s="4">
        <v>1</v>
      </c>
      <c r="L102" s="4" t="s">
        <v>643</v>
      </c>
      <c r="M102" s="4" t="s">
        <v>231</v>
      </c>
      <c r="N102" s="4" t="s">
        <v>642</v>
      </c>
      <c r="O102" s="4">
        <v>36</v>
      </c>
      <c r="P102" s="4">
        <v>82.5</v>
      </c>
      <c r="Q102" s="4" t="s">
        <v>641</v>
      </c>
      <c r="AB102" s="4" t="s">
        <v>341</v>
      </c>
      <c r="AO102" s="4">
        <v>0</v>
      </c>
      <c r="AP102" s="4">
        <v>1</v>
      </c>
      <c r="AQ102" s="4" t="s">
        <v>652</v>
      </c>
      <c r="AS102">
        <v>0</v>
      </c>
      <c r="AT102">
        <v>0</v>
      </c>
      <c r="AU102" s="33">
        <v>7809.9999999999991</v>
      </c>
      <c r="AV102" s="36" t="s">
        <v>644</v>
      </c>
      <c r="AW102" s="4">
        <v>7806</v>
      </c>
      <c r="AX102" s="4" t="str">
        <f>IFERROR(VLOOKUP(M102,Roster!$L$2:$M$27,2,FALSE),"")</f>
        <v>L</v>
      </c>
      <c r="AY102" s="4" t="str">
        <f t="shared" si="8"/>
        <v>0好0壞</v>
      </c>
      <c r="BI102" s="5" t="str">
        <f>Lineup!$G$2</f>
        <v>20210817</v>
      </c>
      <c r="BJ102" s="4" t="str">
        <f t="shared" si="10"/>
        <v>偏內角中</v>
      </c>
      <c r="BK102" s="4" t="str">
        <f t="shared" si="9"/>
        <v>1B1O</v>
      </c>
      <c r="BL102" s="4" t="str">
        <f>IFERROR(VLOOKUP(E102,Roster!$D$2:$E$27,2,FALSE),"")</f>
        <v>R</v>
      </c>
      <c r="BP102" s="49"/>
      <c r="BQ102" s="49"/>
      <c r="BR102" s="49"/>
      <c r="BS102" s="49"/>
      <c r="BT102" s="49"/>
      <c r="BU102" s="49"/>
      <c r="BY102" s="4">
        <f t="shared" si="6"/>
        <v>103.5</v>
      </c>
      <c r="BZ102" s="4">
        <f t="shared" si="7"/>
        <v>246</v>
      </c>
      <c r="CD102" s="5" t="str">
        <f>Lineup!$G$1</f>
        <v>一軍例行賽</v>
      </c>
      <c r="CE102" s="4">
        <f>Lineup!$I$1</f>
        <v>148</v>
      </c>
      <c r="CF102" s="5" t="str">
        <f>Lineup!$G$5</f>
        <v>王俊宏</v>
      </c>
      <c r="CG102" s="5" t="str">
        <f>Lineup!$G$4</f>
        <v>桃園</v>
      </c>
    </row>
    <row r="103" spans="1:85" x14ac:dyDescent="0.3">
      <c r="A103" s="4">
        <v>102</v>
      </c>
      <c r="B103" s="4">
        <v>3</v>
      </c>
      <c r="C103" s="4">
        <v>8</v>
      </c>
      <c r="D103" s="4">
        <v>5</v>
      </c>
      <c r="E103" s="4" t="s">
        <v>471</v>
      </c>
      <c r="F103" s="4" t="s">
        <v>343</v>
      </c>
      <c r="G103" s="4">
        <v>7</v>
      </c>
      <c r="H103" s="4">
        <v>4</v>
      </c>
      <c r="I103" s="4">
        <v>3</v>
      </c>
      <c r="J103" s="4">
        <v>2</v>
      </c>
      <c r="K103" s="4">
        <v>128</v>
      </c>
      <c r="L103" s="4" t="s">
        <v>643</v>
      </c>
      <c r="M103" s="4" t="s">
        <v>231</v>
      </c>
      <c r="N103" s="4" t="s">
        <v>649</v>
      </c>
      <c r="O103" s="4">
        <v>58.5</v>
      </c>
      <c r="P103" s="4">
        <v>82.5</v>
      </c>
      <c r="Q103" s="4" t="s">
        <v>639</v>
      </c>
      <c r="R103" s="5" t="s">
        <v>676</v>
      </c>
      <c r="S103" s="4">
        <v>108.75</v>
      </c>
      <c r="T103" s="4">
        <v>195</v>
      </c>
      <c r="U103" s="4" t="s">
        <v>535</v>
      </c>
      <c r="AB103" s="4" t="s">
        <v>341</v>
      </c>
      <c r="AE103" s="4" t="s">
        <v>661</v>
      </c>
      <c r="AF103" s="4" t="s">
        <v>661</v>
      </c>
      <c r="AG103" s="4" t="s">
        <v>661</v>
      </c>
      <c r="AI103" s="4" t="s">
        <v>231</v>
      </c>
      <c r="AK103" s="4">
        <v>1</v>
      </c>
      <c r="AM103" s="4">
        <v>1</v>
      </c>
      <c r="AO103" s="4">
        <v>1</v>
      </c>
      <c r="AP103" s="4">
        <v>1</v>
      </c>
      <c r="AQ103" s="4" t="s">
        <v>645</v>
      </c>
      <c r="AR103" s="4" t="s">
        <v>710</v>
      </c>
      <c r="AS103">
        <v>0</v>
      </c>
      <c r="AT103">
        <v>1</v>
      </c>
      <c r="AU103" s="33">
        <v>7876</v>
      </c>
      <c r="AV103" s="36" t="s">
        <v>644</v>
      </c>
      <c r="AW103" s="4">
        <v>7865.9999999999918</v>
      </c>
      <c r="AX103" s="4" t="str">
        <f>IFERROR(VLOOKUP(M103,Roster!$L$2:$M$27,2,FALSE),"")</f>
        <v>L</v>
      </c>
      <c r="AY103" s="4" t="str">
        <f t="shared" si="8"/>
        <v>0好1壞</v>
      </c>
      <c r="BI103" s="5" t="str">
        <f>Lineup!$G$2</f>
        <v>20210817</v>
      </c>
      <c r="BJ103" s="4" t="str">
        <f t="shared" si="10"/>
        <v>內角中</v>
      </c>
      <c r="BK103" s="4" t="str">
        <f t="shared" si="9"/>
        <v>1B1O</v>
      </c>
      <c r="BL103" s="4" t="str">
        <f>IFERROR(VLOOKUP(E103,Roster!$D$2:$E$27,2,FALSE),"")</f>
        <v>R</v>
      </c>
      <c r="BP103" s="49"/>
      <c r="BQ103" s="49"/>
      <c r="BR103" s="49"/>
      <c r="BS103" s="49"/>
      <c r="BT103" s="49"/>
      <c r="BU103" s="49"/>
      <c r="BY103" s="4">
        <f t="shared" si="6"/>
        <v>103.5</v>
      </c>
      <c r="BZ103" s="4">
        <f t="shared" si="7"/>
        <v>51</v>
      </c>
      <c r="CD103" s="5" t="str">
        <f>Lineup!$G$1</f>
        <v>一軍例行賽</v>
      </c>
      <c r="CE103" s="4">
        <f>Lineup!$I$1</f>
        <v>148</v>
      </c>
      <c r="CF103" s="5" t="str">
        <f>Lineup!$G$5</f>
        <v>王俊宏</v>
      </c>
      <c r="CG103" s="5" t="str">
        <f>Lineup!$G$4</f>
        <v>桃園</v>
      </c>
    </row>
    <row r="104" spans="1:85" x14ac:dyDescent="0.3">
      <c r="A104" s="4">
        <v>103</v>
      </c>
      <c r="B104" s="4">
        <v>3</v>
      </c>
      <c r="C104" s="4">
        <v>8</v>
      </c>
      <c r="D104" s="4">
        <v>5</v>
      </c>
      <c r="E104" s="4" t="s">
        <v>471</v>
      </c>
      <c r="F104" s="4" t="s">
        <v>343</v>
      </c>
      <c r="G104" s="4">
        <v>8</v>
      </c>
      <c r="H104" s="4">
        <v>4</v>
      </c>
      <c r="I104" s="4">
        <v>4</v>
      </c>
      <c r="J104" s="4">
        <v>2</v>
      </c>
      <c r="K104" s="4">
        <v>120</v>
      </c>
      <c r="L104" s="4" t="s">
        <v>643</v>
      </c>
      <c r="M104" s="4" t="s">
        <v>350</v>
      </c>
      <c r="N104" s="4" t="s">
        <v>642</v>
      </c>
      <c r="O104" s="4">
        <v>27</v>
      </c>
      <c r="P104" s="4">
        <v>85.5</v>
      </c>
      <c r="Q104" s="4" t="s">
        <v>641</v>
      </c>
      <c r="AB104" s="4" t="s">
        <v>341</v>
      </c>
      <c r="AO104" s="4">
        <v>0</v>
      </c>
      <c r="AP104" s="4">
        <v>1</v>
      </c>
      <c r="AQ104" s="4" t="s">
        <v>652</v>
      </c>
      <c r="AS104">
        <v>0</v>
      </c>
      <c r="AT104">
        <v>0</v>
      </c>
      <c r="AU104" s="33">
        <v>7914.9999999999964</v>
      </c>
      <c r="AV104" s="36" t="s">
        <v>644</v>
      </c>
      <c r="AW104" s="4">
        <v>7911.9999999999964</v>
      </c>
      <c r="AX104" s="4" t="str">
        <f>IFERROR(VLOOKUP(M104,Roster!$L$2:$M$27,2,FALSE),"")</f>
        <v>L</v>
      </c>
      <c r="AY104" s="4" t="str">
        <f t="shared" si="8"/>
        <v>0好0壞</v>
      </c>
      <c r="BI104" s="5" t="str">
        <f>Lineup!$G$2</f>
        <v>20210817</v>
      </c>
      <c r="BJ104" s="4" t="str">
        <f t="shared" si="10"/>
        <v>偏內角中</v>
      </c>
      <c r="BK104" s="4" t="str">
        <f t="shared" si="9"/>
        <v>1B2O</v>
      </c>
      <c r="BL104" s="4" t="str">
        <f>IFERROR(VLOOKUP(E104,Roster!$D$2:$E$27,2,FALSE),"")</f>
        <v>R</v>
      </c>
      <c r="BP104" s="49"/>
      <c r="BQ104" s="49"/>
      <c r="BR104" s="49"/>
      <c r="BS104" s="49"/>
      <c r="BT104" s="49"/>
      <c r="BU104" s="49"/>
      <c r="BY104" s="4">
        <f t="shared" si="6"/>
        <v>100.5</v>
      </c>
      <c r="BZ104" s="4">
        <f t="shared" si="7"/>
        <v>246</v>
      </c>
      <c r="CD104" s="5" t="str">
        <f>Lineup!$G$1</f>
        <v>一軍例行賽</v>
      </c>
      <c r="CE104" s="4">
        <f>Lineup!$I$1</f>
        <v>148</v>
      </c>
      <c r="CF104" s="5" t="str">
        <f>Lineup!$G$5</f>
        <v>王俊宏</v>
      </c>
      <c r="CG104" s="5" t="str">
        <f>Lineup!$G$4</f>
        <v>桃園</v>
      </c>
    </row>
    <row r="105" spans="1:85" x14ac:dyDescent="0.3">
      <c r="A105" s="4">
        <v>104</v>
      </c>
      <c r="B105" s="4">
        <v>3</v>
      </c>
      <c r="C105" s="4">
        <v>8</v>
      </c>
      <c r="D105" s="4">
        <v>5</v>
      </c>
      <c r="E105" s="4" t="s">
        <v>471</v>
      </c>
      <c r="F105" s="4" t="s">
        <v>343</v>
      </c>
      <c r="G105" s="4">
        <v>9</v>
      </c>
      <c r="H105" s="4">
        <v>5</v>
      </c>
      <c r="I105" s="4">
        <v>4</v>
      </c>
      <c r="J105" s="4">
        <v>2</v>
      </c>
      <c r="K105" s="4">
        <v>131</v>
      </c>
      <c r="L105" s="4" t="s">
        <v>643</v>
      </c>
      <c r="M105" s="4" t="s">
        <v>350</v>
      </c>
      <c r="N105" s="4" t="s">
        <v>642</v>
      </c>
      <c r="O105" s="4">
        <v>93.75</v>
      </c>
      <c r="P105" s="4">
        <v>111.75</v>
      </c>
      <c r="Q105" s="4" t="s">
        <v>639</v>
      </c>
      <c r="AB105" s="4" t="s">
        <v>341</v>
      </c>
      <c r="AO105" s="4">
        <v>1</v>
      </c>
      <c r="AP105" s="4">
        <v>1</v>
      </c>
      <c r="AQ105" s="4" t="s">
        <v>645</v>
      </c>
      <c r="AS105">
        <v>0</v>
      </c>
      <c r="AT105">
        <v>1</v>
      </c>
      <c r="AU105" s="33">
        <v>7941.9999999999909</v>
      </c>
      <c r="AV105" s="36" t="s">
        <v>644</v>
      </c>
      <c r="AW105" s="4">
        <v>7936</v>
      </c>
      <c r="AX105" s="4" t="str">
        <f>IFERROR(VLOOKUP(M105,Roster!$L$2:$M$27,2,FALSE),"")</f>
        <v>L</v>
      </c>
      <c r="AY105" s="4" t="str">
        <f t="shared" si="8"/>
        <v>0好1壞</v>
      </c>
      <c r="BI105" s="5" t="str">
        <f>Lineup!$G$2</f>
        <v>20210817</v>
      </c>
      <c r="BJ105" s="4" t="str">
        <f t="shared" si="10"/>
        <v>外角低</v>
      </c>
      <c r="BK105" s="4" t="str">
        <f t="shared" si="9"/>
        <v>1B2O</v>
      </c>
      <c r="BL105" s="4" t="str">
        <f>IFERROR(VLOOKUP(E105,Roster!$D$2:$E$27,2,FALSE),"")</f>
        <v>R</v>
      </c>
      <c r="BP105" s="49"/>
      <c r="BQ105" s="49"/>
      <c r="BR105" s="49"/>
      <c r="BS105" s="49"/>
      <c r="BT105" s="49"/>
      <c r="BU105" s="49"/>
      <c r="BY105" s="4">
        <f t="shared" si="6"/>
        <v>74.25</v>
      </c>
      <c r="BZ105" s="4">
        <f t="shared" si="7"/>
        <v>246</v>
      </c>
      <c r="CD105" s="5" t="str">
        <f>Lineup!$G$1</f>
        <v>一軍例行賽</v>
      </c>
      <c r="CE105" s="4">
        <f>Lineup!$I$1</f>
        <v>148</v>
      </c>
      <c r="CF105" s="5" t="str">
        <f>Lineup!$G$5</f>
        <v>王俊宏</v>
      </c>
      <c r="CG105" s="5" t="str">
        <f>Lineup!$G$4</f>
        <v>桃園</v>
      </c>
    </row>
    <row r="106" spans="1:85" x14ac:dyDescent="0.3">
      <c r="A106" s="4">
        <v>105</v>
      </c>
      <c r="B106" s="4">
        <v>3</v>
      </c>
      <c r="C106" s="4">
        <v>8</v>
      </c>
      <c r="D106" s="4">
        <v>5</v>
      </c>
      <c r="E106" s="4" t="s">
        <v>471</v>
      </c>
      <c r="F106" s="4" t="s">
        <v>343</v>
      </c>
      <c r="G106" s="4">
        <v>10</v>
      </c>
      <c r="H106" s="4">
        <v>6</v>
      </c>
      <c r="I106" s="4">
        <v>4</v>
      </c>
      <c r="J106" s="4">
        <v>2</v>
      </c>
      <c r="K106" s="4">
        <v>130</v>
      </c>
      <c r="L106" s="4" t="s">
        <v>643</v>
      </c>
      <c r="M106" s="4" t="s">
        <v>350</v>
      </c>
      <c r="N106" s="4" t="s">
        <v>642</v>
      </c>
      <c r="O106" s="4">
        <v>111</v>
      </c>
      <c r="P106" s="4">
        <v>114.75</v>
      </c>
      <c r="Q106" s="4" t="s">
        <v>639</v>
      </c>
      <c r="AB106" s="4" t="s">
        <v>341</v>
      </c>
      <c r="AO106" s="4">
        <v>2</v>
      </c>
      <c r="AP106" s="4">
        <v>1</v>
      </c>
      <c r="AQ106" s="4" t="s">
        <v>647</v>
      </c>
      <c r="AS106">
        <v>1</v>
      </c>
      <c r="AT106">
        <v>1</v>
      </c>
      <c r="AU106" s="33">
        <v>7964.9999999999982</v>
      </c>
      <c r="AV106" s="36" t="s">
        <v>644</v>
      </c>
      <c r="AW106" s="4">
        <v>7960.0000000000036</v>
      </c>
      <c r="AX106" s="4" t="str">
        <f>IFERROR(VLOOKUP(M106,Roster!$L$2:$M$27,2,FALSE),"")</f>
        <v>L</v>
      </c>
      <c r="AY106" s="4" t="str">
        <f t="shared" si="8"/>
        <v>1好1壞</v>
      </c>
      <c r="BI106" s="5" t="str">
        <f>Lineup!$G$2</f>
        <v>20210817</v>
      </c>
      <c r="BJ106" s="4" t="str">
        <f t="shared" si="10"/>
        <v>偏外角低</v>
      </c>
      <c r="BK106" s="4" t="str">
        <f t="shared" si="9"/>
        <v>1B2O</v>
      </c>
      <c r="BL106" s="4" t="str">
        <f>IFERROR(VLOOKUP(E106,Roster!$D$2:$E$27,2,FALSE),"")</f>
        <v>R</v>
      </c>
      <c r="BP106" s="49"/>
      <c r="BQ106" s="49"/>
      <c r="BR106" s="49"/>
      <c r="BS106" s="49"/>
      <c r="BT106" s="49"/>
      <c r="BU106" s="49"/>
      <c r="BY106" s="4">
        <f t="shared" si="6"/>
        <v>71.25</v>
      </c>
      <c r="BZ106" s="4">
        <f t="shared" si="7"/>
        <v>246</v>
      </c>
      <c r="CD106" s="5" t="str">
        <f>Lineup!$G$1</f>
        <v>一軍例行賽</v>
      </c>
      <c r="CE106" s="4">
        <f>Lineup!$I$1</f>
        <v>148</v>
      </c>
      <c r="CF106" s="5" t="str">
        <f>Lineup!$G$5</f>
        <v>王俊宏</v>
      </c>
      <c r="CG106" s="5" t="str">
        <f>Lineup!$G$4</f>
        <v>桃園</v>
      </c>
    </row>
    <row r="107" spans="1:85" x14ac:dyDescent="0.3">
      <c r="A107" s="4">
        <v>106</v>
      </c>
      <c r="B107" s="4">
        <v>3</v>
      </c>
      <c r="C107" s="4">
        <v>8</v>
      </c>
      <c r="D107" s="4">
        <v>5</v>
      </c>
      <c r="E107" s="4" t="s">
        <v>471</v>
      </c>
      <c r="F107" s="4" t="s">
        <v>343</v>
      </c>
      <c r="G107" s="4">
        <v>11</v>
      </c>
      <c r="H107" s="4">
        <v>7</v>
      </c>
      <c r="I107" s="4">
        <v>4</v>
      </c>
      <c r="J107" s="4">
        <v>3</v>
      </c>
      <c r="K107" s="4">
        <v>116</v>
      </c>
      <c r="L107" s="4" t="s">
        <v>643</v>
      </c>
      <c r="M107" s="4" t="s">
        <v>350</v>
      </c>
      <c r="N107" s="4" t="s">
        <v>649</v>
      </c>
      <c r="O107" s="4">
        <v>87.75</v>
      </c>
      <c r="P107" s="4">
        <v>109.5</v>
      </c>
      <c r="Q107" s="4" t="s">
        <v>639</v>
      </c>
      <c r="R107" s="5" t="s">
        <v>666</v>
      </c>
      <c r="S107" s="4">
        <v>176.25</v>
      </c>
      <c r="T107" s="4">
        <v>169.5</v>
      </c>
      <c r="U107" s="4" t="s">
        <v>376</v>
      </c>
      <c r="AB107" s="4" t="s">
        <v>350</v>
      </c>
      <c r="AE107" s="4" t="s">
        <v>661</v>
      </c>
      <c r="AF107" s="4" t="s">
        <v>661</v>
      </c>
      <c r="AG107" s="4" t="s">
        <v>661</v>
      </c>
      <c r="AJ107" s="4" t="s">
        <v>341</v>
      </c>
      <c r="AK107" s="4">
        <v>1</v>
      </c>
      <c r="AM107" s="4">
        <v>1</v>
      </c>
      <c r="AO107" s="4">
        <v>3</v>
      </c>
      <c r="AP107" s="4">
        <v>1</v>
      </c>
      <c r="AQ107" s="4" t="s">
        <v>648</v>
      </c>
      <c r="AR107" s="4" t="s">
        <v>697</v>
      </c>
      <c r="AS107">
        <v>2</v>
      </c>
      <c r="AT107">
        <v>1</v>
      </c>
      <c r="AU107" s="33">
        <v>7996</v>
      </c>
      <c r="AV107" s="36" t="s">
        <v>644</v>
      </c>
      <c r="AW107" s="4">
        <v>7987.9999999999955</v>
      </c>
      <c r="AX107" s="4" t="str">
        <f>IFERROR(VLOOKUP(M107,Roster!$L$2:$M$27,2,FALSE),"")</f>
        <v>L</v>
      </c>
      <c r="AY107" s="4" t="str">
        <f t="shared" si="8"/>
        <v>2好1壞</v>
      </c>
      <c r="BI107" s="5" t="str">
        <f>Lineup!$G$2</f>
        <v>20210817</v>
      </c>
      <c r="BJ107" s="4" t="str">
        <f t="shared" si="10"/>
        <v>外角低</v>
      </c>
      <c r="BK107" s="4" t="str">
        <f t="shared" si="9"/>
        <v>1B2O</v>
      </c>
      <c r="BL107" s="4" t="str">
        <f>IFERROR(VLOOKUP(E107,Roster!$D$2:$E$27,2,FALSE),"")</f>
        <v>R</v>
      </c>
      <c r="BP107" s="49"/>
      <c r="BQ107" s="49"/>
      <c r="BR107" s="49"/>
      <c r="BS107" s="49"/>
      <c r="BT107" s="49"/>
      <c r="BU107" s="49"/>
      <c r="BY107" s="4">
        <f t="shared" si="6"/>
        <v>76.5</v>
      </c>
      <c r="BZ107" s="4">
        <f t="shared" si="7"/>
        <v>76.5</v>
      </c>
      <c r="CD107" s="5" t="str">
        <f>Lineup!$G$1</f>
        <v>一軍例行賽</v>
      </c>
      <c r="CE107" s="4">
        <f>Lineup!$I$1</f>
        <v>148</v>
      </c>
      <c r="CF107" s="5" t="str">
        <f>Lineup!$G$5</f>
        <v>王俊宏</v>
      </c>
      <c r="CG107" s="5" t="str">
        <f>Lineup!$G$4</f>
        <v>桃園</v>
      </c>
    </row>
    <row r="108" spans="1:85" x14ac:dyDescent="0.3">
      <c r="A108" s="4">
        <v>107</v>
      </c>
      <c r="B108" s="4">
        <v>4</v>
      </c>
      <c r="C108" s="4">
        <v>8</v>
      </c>
      <c r="D108" s="4">
        <v>6</v>
      </c>
      <c r="E108" s="4" t="s">
        <v>471</v>
      </c>
      <c r="F108" s="4" t="s">
        <v>343</v>
      </c>
      <c r="G108" s="4">
        <v>12</v>
      </c>
      <c r="H108" s="4">
        <v>8</v>
      </c>
      <c r="I108" s="4">
        <v>4</v>
      </c>
      <c r="J108" s="4">
        <v>0</v>
      </c>
      <c r="L108" s="4" t="s">
        <v>643</v>
      </c>
      <c r="M108" s="4" t="s">
        <v>369</v>
      </c>
      <c r="N108" s="4" t="s">
        <v>642</v>
      </c>
      <c r="O108" s="4">
        <v>69</v>
      </c>
      <c r="P108" s="4">
        <v>61.5</v>
      </c>
      <c r="Q108" s="4" t="s">
        <v>639</v>
      </c>
      <c r="AO108" s="4">
        <v>1</v>
      </c>
      <c r="AP108" s="4">
        <v>0</v>
      </c>
      <c r="AQ108" s="4" t="s">
        <v>640</v>
      </c>
      <c r="AS108">
        <v>0</v>
      </c>
      <c r="AT108">
        <v>0</v>
      </c>
      <c r="AU108" s="33">
        <v>9740</v>
      </c>
      <c r="AV108" s="36" t="s">
        <v>644</v>
      </c>
      <c r="AW108" s="4">
        <v>9734.9999999999964</v>
      </c>
      <c r="AX108" s="4" t="str">
        <f>IFERROR(VLOOKUP(M108,Roster!$L$2:$M$27,2,FALSE),"")</f>
        <v>R</v>
      </c>
      <c r="AY108" s="4" t="str">
        <f t="shared" si="8"/>
        <v>0好0壞</v>
      </c>
      <c r="BI108" s="5" t="str">
        <f>Lineup!$G$2</f>
        <v>20210817</v>
      </c>
      <c r="BJ108" s="4" t="str">
        <f t="shared" si="10"/>
        <v>中高</v>
      </c>
      <c r="BK108" s="4" t="str">
        <f t="shared" si="9"/>
        <v>1B3O</v>
      </c>
      <c r="BL108" s="4" t="str">
        <f>IFERROR(VLOOKUP(E108,Roster!$D$2:$E$27,2,FALSE),"")</f>
        <v>R</v>
      </c>
      <c r="BP108" s="49"/>
      <c r="BQ108" s="49"/>
      <c r="BR108" s="49"/>
      <c r="BS108" s="49"/>
      <c r="BT108" s="49"/>
      <c r="BU108" s="49"/>
      <c r="BY108" s="4">
        <f t="shared" si="6"/>
        <v>124.5</v>
      </c>
      <c r="BZ108" s="4">
        <f t="shared" si="7"/>
        <v>246</v>
      </c>
      <c r="CD108" s="5" t="str">
        <f>Lineup!$G$1</f>
        <v>一軍例行賽</v>
      </c>
      <c r="CE108" s="4">
        <f>Lineup!$I$1</f>
        <v>148</v>
      </c>
      <c r="CF108" s="5" t="str">
        <f>Lineup!$G$5</f>
        <v>王俊宏</v>
      </c>
      <c r="CG108" s="5" t="str">
        <f>Lineup!$G$4</f>
        <v>桃園</v>
      </c>
    </row>
    <row r="109" spans="1:85" x14ac:dyDescent="0.3">
      <c r="A109" s="4">
        <v>108</v>
      </c>
      <c r="B109" s="4">
        <v>4</v>
      </c>
      <c r="C109" s="4">
        <v>8</v>
      </c>
      <c r="D109" s="4">
        <v>6</v>
      </c>
      <c r="E109" s="4" t="s">
        <v>471</v>
      </c>
      <c r="F109" s="4" t="s">
        <v>343</v>
      </c>
      <c r="G109" s="4">
        <v>13</v>
      </c>
      <c r="H109" s="4">
        <v>8</v>
      </c>
      <c r="I109" s="4">
        <v>5</v>
      </c>
      <c r="J109" s="4">
        <v>0</v>
      </c>
      <c r="L109" s="4" t="s">
        <v>643</v>
      </c>
      <c r="M109" s="4" t="s">
        <v>369</v>
      </c>
      <c r="N109" s="4" t="s">
        <v>642</v>
      </c>
      <c r="O109" s="4">
        <v>39</v>
      </c>
      <c r="P109" s="4">
        <v>72.75</v>
      </c>
      <c r="Q109" s="4" t="s">
        <v>641</v>
      </c>
      <c r="AO109" s="4">
        <v>1</v>
      </c>
      <c r="AP109" s="4">
        <v>1</v>
      </c>
      <c r="AQ109" s="4" t="s">
        <v>645</v>
      </c>
      <c r="AS109">
        <v>1</v>
      </c>
      <c r="AT109">
        <v>0</v>
      </c>
      <c r="AU109" s="33">
        <v>9755.0000000000036</v>
      </c>
      <c r="AV109" s="36" t="s">
        <v>644</v>
      </c>
      <c r="AW109" s="4">
        <v>9749.9999999999982</v>
      </c>
      <c r="AX109" s="4" t="str">
        <f>IFERROR(VLOOKUP(M109,Roster!$L$2:$M$27,2,FALSE),"")</f>
        <v>R</v>
      </c>
      <c r="AY109" s="4" t="str">
        <f t="shared" si="8"/>
        <v>1好0壞</v>
      </c>
      <c r="BI109" s="5" t="str">
        <f>Lineup!$G$2</f>
        <v>20210817</v>
      </c>
      <c r="BJ109" s="4" t="str">
        <f t="shared" si="10"/>
        <v>偏外角高</v>
      </c>
      <c r="BK109" s="4" t="str">
        <f t="shared" si="9"/>
        <v>B0O</v>
      </c>
      <c r="BL109" s="4" t="str">
        <f>IFERROR(VLOOKUP(E109,Roster!$D$2:$E$27,2,FALSE),"")</f>
        <v>R</v>
      </c>
      <c r="BP109" s="49"/>
      <c r="BQ109" s="49"/>
      <c r="BR109" s="49"/>
      <c r="BS109" s="49"/>
      <c r="BT109" s="49"/>
      <c r="BU109" s="49"/>
      <c r="BY109" s="4">
        <f t="shared" si="6"/>
        <v>113.25</v>
      </c>
      <c r="BZ109" s="4">
        <f t="shared" si="7"/>
        <v>246</v>
      </c>
      <c r="CD109" s="5" t="str">
        <f>Lineup!$G$1</f>
        <v>一軍例行賽</v>
      </c>
      <c r="CE109" s="4">
        <f>Lineup!$I$1</f>
        <v>148</v>
      </c>
      <c r="CF109" s="5" t="str">
        <f>Lineup!$G$5</f>
        <v>王俊宏</v>
      </c>
      <c r="CG109" s="5" t="str">
        <f>Lineup!$G$4</f>
        <v>桃園</v>
      </c>
    </row>
    <row r="110" spans="1:85" x14ac:dyDescent="0.3">
      <c r="A110" s="4">
        <v>109</v>
      </c>
      <c r="B110" s="4">
        <v>4</v>
      </c>
      <c r="C110" s="4">
        <v>8</v>
      </c>
      <c r="D110" s="4">
        <v>6</v>
      </c>
      <c r="E110" s="4" t="s">
        <v>471</v>
      </c>
      <c r="F110" s="4" t="s">
        <v>343</v>
      </c>
      <c r="G110" s="4">
        <v>14</v>
      </c>
      <c r="H110" s="4">
        <v>8</v>
      </c>
      <c r="I110" s="4">
        <v>6</v>
      </c>
      <c r="J110" s="4">
        <v>0</v>
      </c>
      <c r="L110" s="4" t="s">
        <v>643</v>
      </c>
      <c r="M110" s="4" t="s">
        <v>369</v>
      </c>
      <c r="N110" s="4" t="s">
        <v>642</v>
      </c>
      <c r="O110" s="4">
        <v>55.5</v>
      </c>
      <c r="P110" s="4">
        <v>54.75</v>
      </c>
      <c r="Q110" s="4" t="s">
        <v>641</v>
      </c>
      <c r="AO110" s="4">
        <v>1</v>
      </c>
      <c r="AP110" s="4">
        <v>2</v>
      </c>
      <c r="AQ110" s="4" t="s">
        <v>654</v>
      </c>
      <c r="AS110">
        <v>1</v>
      </c>
      <c r="AT110">
        <v>1</v>
      </c>
      <c r="AU110" s="33">
        <v>9769.9999999999964</v>
      </c>
      <c r="AV110" s="36" t="s">
        <v>644</v>
      </c>
      <c r="AW110" s="4">
        <v>9767.0000000000055</v>
      </c>
      <c r="AX110" s="4" t="str">
        <f>IFERROR(VLOOKUP(M110,Roster!$L$2:$M$27,2,FALSE),"")</f>
        <v>R</v>
      </c>
      <c r="AY110" s="4" t="str">
        <f t="shared" si="8"/>
        <v>1好1壞</v>
      </c>
      <c r="BI110" s="5" t="str">
        <f>Lineup!$G$2</f>
        <v>20210817</v>
      </c>
      <c r="BJ110" s="4" t="str">
        <f t="shared" si="10"/>
        <v>外角偏高</v>
      </c>
      <c r="BK110" s="4" t="str">
        <f t="shared" si="9"/>
        <v>B0O</v>
      </c>
      <c r="BL110" s="4" t="str">
        <f>IFERROR(VLOOKUP(E110,Roster!$D$2:$E$27,2,FALSE),"")</f>
        <v>R</v>
      </c>
      <c r="BP110" s="49"/>
      <c r="BQ110" s="49"/>
      <c r="BR110" s="49"/>
      <c r="BS110" s="49"/>
      <c r="BT110" s="49"/>
      <c r="BU110" s="49"/>
      <c r="BY110" s="4">
        <f t="shared" si="6"/>
        <v>131.25</v>
      </c>
      <c r="BZ110" s="4">
        <f t="shared" si="7"/>
        <v>246</v>
      </c>
      <c r="CD110" s="5" t="str">
        <f>Lineup!$G$1</f>
        <v>一軍例行賽</v>
      </c>
      <c r="CE110" s="4">
        <f>Lineup!$I$1</f>
        <v>148</v>
      </c>
      <c r="CF110" s="5" t="str">
        <f>Lineup!$G$5</f>
        <v>王俊宏</v>
      </c>
      <c r="CG110" s="5" t="str">
        <f>Lineup!$G$4</f>
        <v>桃園</v>
      </c>
    </row>
    <row r="111" spans="1:85" x14ac:dyDescent="0.3">
      <c r="A111" s="4">
        <v>110</v>
      </c>
      <c r="B111" s="4">
        <v>4</v>
      </c>
      <c r="C111" s="4">
        <v>8</v>
      </c>
      <c r="D111" s="4">
        <v>6</v>
      </c>
      <c r="E111" s="4" t="s">
        <v>471</v>
      </c>
      <c r="F111" s="4" t="s">
        <v>343</v>
      </c>
      <c r="G111" s="4">
        <v>15</v>
      </c>
      <c r="H111" s="4">
        <v>9</v>
      </c>
      <c r="I111" s="4">
        <v>6</v>
      </c>
      <c r="J111" s="4">
        <v>0</v>
      </c>
      <c r="L111" s="4" t="s">
        <v>643</v>
      </c>
      <c r="M111" s="4" t="s">
        <v>369</v>
      </c>
      <c r="N111" s="4" t="s">
        <v>649</v>
      </c>
      <c r="O111" s="4">
        <v>109.5</v>
      </c>
      <c r="P111" s="4">
        <v>117</v>
      </c>
      <c r="Q111" s="4" t="s">
        <v>639</v>
      </c>
      <c r="R111" s="5" t="s">
        <v>657</v>
      </c>
      <c r="AO111" s="4">
        <v>2</v>
      </c>
      <c r="AP111" s="4">
        <v>2</v>
      </c>
      <c r="AQ111" s="4" t="s">
        <v>655</v>
      </c>
      <c r="AS111">
        <v>1</v>
      </c>
      <c r="AT111">
        <v>2</v>
      </c>
      <c r="AU111" s="33">
        <v>9786.9999999999927</v>
      </c>
      <c r="AV111" s="36" t="s">
        <v>644</v>
      </c>
      <c r="AW111" s="4">
        <v>9781.9999999999982</v>
      </c>
      <c r="AX111" s="4" t="str">
        <f>IFERROR(VLOOKUP(M111,Roster!$L$2:$M$27,2,FALSE),"")</f>
        <v>R</v>
      </c>
      <c r="AY111" s="4" t="str">
        <f t="shared" si="8"/>
        <v>1好2壞</v>
      </c>
      <c r="BI111" s="5" t="str">
        <f>Lineup!$G$2</f>
        <v>20210817</v>
      </c>
      <c r="BJ111" s="4" t="str">
        <f t="shared" si="10"/>
        <v>偏內角低</v>
      </c>
      <c r="BK111" s="4" t="str">
        <f t="shared" si="9"/>
        <v>B0O</v>
      </c>
      <c r="BL111" s="4" t="str">
        <f>IFERROR(VLOOKUP(E111,Roster!$D$2:$E$27,2,FALSE),"")</f>
        <v>R</v>
      </c>
      <c r="BP111" s="49"/>
      <c r="BQ111" s="49"/>
      <c r="BR111" s="49"/>
      <c r="BS111" s="49"/>
      <c r="BT111" s="49"/>
      <c r="BU111" s="49"/>
      <c r="BY111" s="4">
        <f t="shared" si="6"/>
        <v>69</v>
      </c>
      <c r="BZ111" s="4">
        <f t="shared" si="7"/>
        <v>246</v>
      </c>
      <c r="CD111" s="5" t="str">
        <f>Lineup!$G$1</f>
        <v>一軍例行賽</v>
      </c>
      <c r="CE111" s="4">
        <f>Lineup!$I$1</f>
        <v>148</v>
      </c>
      <c r="CF111" s="5" t="str">
        <f>Lineup!$G$5</f>
        <v>王俊宏</v>
      </c>
      <c r="CG111" s="5" t="str">
        <f>Lineup!$G$4</f>
        <v>桃園</v>
      </c>
    </row>
    <row r="112" spans="1:85" x14ac:dyDescent="0.3">
      <c r="A112" s="4">
        <v>111</v>
      </c>
      <c r="B112" s="4">
        <v>4</v>
      </c>
      <c r="C112" s="4">
        <v>8</v>
      </c>
      <c r="D112" s="4">
        <v>6</v>
      </c>
      <c r="E112" s="4" t="s">
        <v>471</v>
      </c>
      <c r="F112" s="4" t="s">
        <v>343</v>
      </c>
      <c r="G112" s="4">
        <v>16</v>
      </c>
      <c r="H112" s="4">
        <v>10</v>
      </c>
      <c r="I112" s="4">
        <v>6</v>
      </c>
      <c r="J112" s="4">
        <v>1</v>
      </c>
      <c r="K112" s="4">
        <v>116</v>
      </c>
      <c r="L112" s="4" t="s">
        <v>643</v>
      </c>
      <c r="M112" s="4" t="s">
        <v>369</v>
      </c>
      <c r="N112" s="4" t="s">
        <v>649</v>
      </c>
      <c r="O112" s="4">
        <v>69</v>
      </c>
      <c r="P112" s="4">
        <v>80.25</v>
      </c>
      <c r="Q112" s="4" t="s">
        <v>639</v>
      </c>
      <c r="R112" s="5" t="s">
        <v>676</v>
      </c>
      <c r="S112" s="4">
        <v>183</v>
      </c>
      <c r="T112" s="4">
        <v>63</v>
      </c>
      <c r="U112" s="4" t="s">
        <v>571</v>
      </c>
      <c r="AH112" s="4" t="s">
        <v>369</v>
      </c>
      <c r="AK112" s="4">
        <v>1</v>
      </c>
      <c r="AM112" s="4">
        <v>1</v>
      </c>
      <c r="AO112" s="4">
        <v>3</v>
      </c>
      <c r="AP112" s="4">
        <v>2</v>
      </c>
      <c r="AQ112" s="4" t="s">
        <v>683</v>
      </c>
      <c r="AR112" s="4" t="s">
        <v>667</v>
      </c>
      <c r="AS112">
        <v>2</v>
      </c>
      <c r="AT112">
        <v>2</v>
      </c>
      <c r="AU112" s="33">
        <v>9817.0000000000055</v>
      </c>
      <c r="AV112" s="36" t="s">
        <v>644</v>
      </c>
      <c r="AW112" s="4">
        <v>9805.9999999999909</v>
      </c>
      <c r="AX112" s="4" t="str">
        <f>IFERROR(VLOOKUP(M112,Roster!$L$2:$M$27,2,FALSE),"")</f>
        <v>R</v>
      </c>
      <c r="AY112" s="4" t="str">
        <f t="shared" si="8"/>
        <v>2好2壞</v>
      </c>
      <c r="BI112" s="5" t="str">
        <f>Lineup!$G$2</f>
        <v>20210817</v>
      </c>
      <c r="BJ112" s="4" t="str">
        <f t="shared" si="10"/>
        <v>中中</v>
      </c>
      <c r="BK112" s="4" t="str">
        <f t="shared" si="9"/>
        <v>B0O</v>
      </c>
      <c r="BL112" s="4" t="str">
        <f>IFERROR(VLOOKUP(E112,Roster!$D$2:$E$27,2,FALSE),"")</f>
        <v>R</v>
      </c>
      <c r="BP112" s="49"/>
      <c r="BQ112" s="49"/>
      <c r="BR112" s="49"/>
      <c r="BS112" s="49"/>
      <c r="BT112" s="49"/>
      <c r="BU112" s="49"/>
      <c r="BY112" s="4">
        <f t="shared" si="6"/>
        <v>105.75</v>
      </c>
      <c r="BZ112" s="4">
        <f t="shared" si="7"/>
        <v>183</v>
      </c>
      <c r="CD112" s="5" t="str">
        <f>Lineup!$G$1</f>
        <v>一軍例行賽</v>
      </c>
      <c r="CE112" s="4">
        <f>Lineup!$I$1</f>
        <v>148</v>
      </c>
      <c r="CF112" s="5" t="str">
        <f>Lineup!$G$5</f>
        <v>王俊宏</v>
      </c>
      <c r="CG112" s="5" t="str">
        <f>Lineup!$G$4</f>
        <v>桃園</v>
      </c>
    </row>
    <row r="113" spans="1:85" x14ac:dyDescent="0.3">
      <c r="A113" s="4">
        <v>112</v>
      </c>
      <c r="B113" s="4">
        <v>4</v>
      </c>
      <c r="C113" s="4">
        <v>8</v>
      </c>
      <c r="D113" s="4">
        <v>6</v>
      </c>
      <c r="E113" s="4" t="s">
        <v>471</v>
      </c>
      <c r="F113" s="4" t="s">
        <v>343</v>
      </c>
      <c r="G113" s="4">
        <v>17</v>
      </c>
      <c r="H113" s="4">
        <v>10</v>
      </c>
      <c r="I113" s="4">
        <v>7</v>
      </c>
      <c r="J113" s="4">
        <v>1</v>
      </c>
      <c r="K113" s="4">
        <v>129</v>
      </c>
      <c r="L113" s="4" t="s">
        <v>643</v>
      </c>
      <c r="M113" s="4" t="s">
        <v>383</v>
      </c>
      <c r="N113" s="4" t="s">
        <v>642</v>
      </c>
      <c r="O113" s="4">
        <v>115.5</v>
      </c>
      <c r="P113" s="4">
        <v>117</v>
      </c>
      <c r="Q113" s="4" t="s">
        <v>641</v>
      </c>
      <c r="AO113" s="4">
        <v>0</v>
      </c>
      <c r="AP113" s="4">
        <v>1</v>
      </c>
      <c r="AQ113" s="4" t="s">
        <v>652</v>
      </c>
      <c r="AS113">
        <v>0</v>
      </c>
      <c r="AT113">
        <v>0</v>
      </c>
      <c r="AU113" s="33">
        <v>9850.0000000000018</v>
      </c>
      <c r="AV113" s="36" t="s">
        <v>644</v>
      </c>
      <c r="AW113" s="4">
        <v>9844</v>
      </c>
      <c r="AX113" s="4" t="str">
        <f>IFERROR(VLOOKUP(M113,Roster!$L$2:$M$27,2,FALSE),"")</f>
        <v>L</v>
      </c>
      <c r="AY113" s="4" t="str">
        <f t="shared" si="8"/>
        <v>0好0壞</v>
      </c>
      <c r="BI113" s="5" t="str">
        <f>Lineup!$G$2</f>
        <v>20210817</v>
      </c>
      <c r="BJ113" s="4" t="str">
        <f t="shared" si="10"/>
        <v>偏外角低</v>
      </c>
      <c r="BK113" s="4" t="str">
        <f t="shared" si="9"/>
        <v>B1O</v>
      </c>
      <c r="BL113" s="4" t="str">
        <f>IFERROR(VLOOKUP(E113,Roster!$D$2:$E$27,2,FALSE),"")</f>
        <v>R</v>
      </c>
      <c r="BP113" s="49"/>
      <c r="BQ113" s="49"/>
      <c r="BR113" s="49"/>
      <c r="BS113" s="49"/>
      <c r="BT113" s="49"/>
      <c r="BU113" s="49"/>
      <c r="BY113" s="4">
        <f t="shared" si="6"/>
        <v>69</v>
      </c>
      <c r="BZ113" s="4">
        <f t="shared" si="7"/>
        <v>246</v>
      </c>
      <c r="CD113" s="5" t="str">
        <f>Lineup!$G$1</f>
        <v>一軍例行賽</v>
      </c>
      <c r="CE113" s="4">
        <f>Lineup!$I$1</f>
        <v>148</v>
      </c>
      <c r="CF113" s="5" t="str">
        <f>Lineup!$G$5</f>
        <v>王俊宏</v>
      </c>
      <c r="CG113" s="5" t="str">
        <f>Lineup!$G$4</f>
        <v>桃園</v>
      </c>
    </row>
    <row r="114" spans="1:85" x14ac:dyDescent="0.3">
      <c r="A114" s="4">
        <v>113</v>
      </c>
      <c r="B114" s="4">
        <v>4</v>
      </c>
      <c r="C114" s="4">
        <v>8</v>
      </c>
      <c r="D114" s="4">
        <v>6</v>
      </c>
      <c r="E114" s="4" t="s">
        <v>471</v>
      </c>
      <c r="F114" s="4" t="s">
        <v>343</v>
      </c>
      <c r="G114" s="4">
        <v>18</v>
      </c>
      <c r="H114" s="4">
        <v>11</v>
      </c>
      <c r="I114" s="4">
        <v>7</v>
      </c>
      <c r="J114" s="4">
        <v>1</v>
      </c>
      <c r="K114" s="4">
        <v>130</v>
      </c>
      <c r="L114" s="4" t="s">
        <v>643</v>
      </c>
      <c r="M114" s="4" t="s">
        <v>383</v>
      </c>
      <c r="N114" s="4" t="s">
        <v>649</v>
      </c>
      <c r="O114" s="4">
        <v>92.25</v>
      </c>
      <c r="P114" s="4">
        <v>106.5</v>
      </c>
      <c r="Q114" s="4" t="s">
        <v>639</v>
      </c>
      <c r="R114" s="5" t="s">
        <v>657</v>
      </c>
      <c r="AO114" s="4">
        <v>1</v>
      </c>
      <c r="AP114" s="4">
        <v>1</v>
      </c>
      <c r="AQ114" s="4" t="s">
        <v>645</v>
      </c>
      <c r="AS114">
        <v>0</v>
      </c>
      <c r="AT114">
        <v>1</v>
      </c>
      <c r="AU114" s="33">
        <v>9863.9999999999982</v>
      </c>
      <c r="AV114" s="36" t="s">
        <v>644</v>
      </c>
      <c r="AW114" s="4">
        <v>9860.9999999999964</v>
      </c>
      <c r="AX114" s="4" t="str">
        <f>IFERROR(VLOOKUP(M114,Roster!$L$2:$M$27,2,FALSE),"")</f>
        <v>L</v>
      </c>
      <c r="AY114" s="4" t="str">
        <f t="shared" si="8"/>
        <v>0好1壞</v>
      </c>
      <c r="BI114" s="5" t="str">
        <f>Lineup!$G$2</f>
        <v>20210817</v>
      </c>
      <c r="BJ114" s="4" t="str">
        <f t="shared" si="10"/>
        <v>外角低</v>
      </c>
      <c r="BK114" s="4" t="str">
        <f t="shared" si="9"/>
        <v>B1O</v>
      </c>
      <c r="BL114" s="4" t="str">
        <f>IFERROR(VLOOKUP(E114,Roster!$D$2:$E$27,2,FALSE),"")</f>
        <v>R</v>
      </c>
      <c r="BP114" s="49"/>
      <c r="BQ114" s="49"/>
      <c r="BR114" s="49"/>
      <c r="BS114" s="49"/>
      <c r="BT114" s="49"/>
      <c r="BU114" s="49"/>
      <c r="BY114" s="4">
        <f t="shared" si="6"/>
        <v>79.5</v>
      </c>
      <c r="BZ114" s="4">
        <f t="shared" si="7"/>
        <v>246</v>
      </c>
      <c r="CD114" s="5" t="str">
        <f>Lineup!$G$1</f>
        <v>一軍例行賽</v>
      </c>
      <c r="CE114" s="4">
        <f>Lineup!$I$1</f>
        <v>148</v>
      </c>
      <c r="CF114" s="5" t="str">
        <f>Lineup!$G$5</f>
        <v>王俊宏</v>
      </c>
      <c r="CG114" s="5" t="str">
        <f>Lineup!$G$4</f>
        <v>桃園</v>
      </c>
    </row>
    <row r="115" spans="1:85" x14ac:dyDescent="0.3">
      <c r="A115" s="4">
        <v>114</v>
      </c>
      <c r="B115" s="4">
        <v>4</v>
      </c>
      <c r="C115" s="4">
        <v>8</v>
      </c>
      <c r="D115" s="4">
        <v>6</v>
      </c>
      <c r="E115" s="4" t="s">
        <v>471</v>
      </c>
      <c r="F115" s="4" t="s">
        <v>343</v>
      </c>
      <c r="G115" s="4">
        <v>19</v>
      </c>
      <c r="H115" s="4">
        <v>12</v>
      </c>
      <c r="I115" s="4">
        <v>7</v>
      </c>
      <c r="J115" s="4">
        <v>1</v>
      </c>
      <c r="K115" s="4">
        <v>120</v>
      </c>
      <c r="L115" s="4" t="s">
        <v>665</v>
      </c>
      <c r="M115" s="4" t="s">
        <v>383</v>
      </c>
      <c r="N115" s="4" t="s">
        <v>649</v>
      </c>
      <c r="O115" s="4">
        <v>53.25</v>
      </c>
      <c r="P115" s="4">
        <v>102.75</v>
      </c>
      <c r="Q115" s="4" t="s">
        <v>639</v>
      </c>
      <c r="R115" s="5" t="s">
        <v>690</v>
      </c>
      <c r="AO115" s="4">
        <v>2</v>
      </c>
      <c r="AP115" s="4">
        <v>1</v>
      </c>
      <c r="AQ115" s="4" t="s">
        <v>647</v>
      </c>
      <c r="AS115">
        <v>1</v>
      </c>
      <c r="AT115">
        <v>1</v>
      </c>
      <c r="AU115" s="33">
        <v>9893.9999999999927</v>
      </c>
      <c r="AV115" s="36" t="s">
        <v>644</v>
      </c>
      <c r="AW115" s="4">
        <v>9889.9999999999945</v>
      </c>
      <c r="AX115" s="4" t="str">
        <f>IFERROR(VLOOKUP(M115,Roster!$L$2:$M$27,2,FALSE),"")</f>
        <v>L</v>
      </c>
      <c r="AY115" s="4" t="str">
        <f t="shared" si="8"/>
        <v>1好1壞</v>
      </c>
      <c r="BI115" s="5" t="str">
        <f>Lineup!$G$2</f>
        <v>20210817</v>
      </c>
      <c r="BJ115" s="4" t="str">
        <f t="shared" si="10"/>
        <v>內角低</v>
      </c>
      <c r="BK115" s="4" t="str">
        <f t="shared" si="9"/>
        <v>B1O</v>
      </c>
      <c r="BL115" s="4" t="str">
        <f>IFERROR(VLOOKUP(E115,Roster!$D$2:$E$27,2,FALSE),"")</f>
        <v>R</v>
      </c>
      <c r="BP115" s="49"/>
      <c r="BQ115" s="49"/>
      <c r="BR115" s="49"/>
      <c r="BS115" s="49"/>
      <c r="BT115" s="49"/>
      <c r="BU115" s="49"/>
      <c r="BY115" s="4">
        <f t="shared" si="6"/>
        <v>83.25</v>
      </c>
      <c r="BZ115" s="4">
        <f t="shared" si="7"/>
        <v>246</v>
      </c>
      <c r="CD115" s="5" t="str">
        <f>Lineup!$G$1</f>
        <v>一軍例行賽</v>
      </c>
      <c r="CE115" s="4">
        <f>Lineup!$I$1</f>
        <v>148</v>
      </c>
      <c r="CF115" s="5" t="str">
        <f>Lineup!$G$5</f>
        <v>王俊宏</v>
      </c>
      <c r="CG115" s="5" t="str">
        <f>Lineup!$G$4</f>
        <v>桃園</v>
      </c>
    </row>
    <row r="116" spans="1:85" x14ac:dyDescent="0.3">
      <c r="A116" s="4">
        <v>115</v>
      </c>
      <c r="B116" s="4">
        <v>4</v>
      </c>
      <c r="C116" s="4">
        <v>8</v>
      </c>
      <c r="D116" s="4">
        <v>6</v>
      </c>
      <c r="E116" s="4" t="s">
        <v>471</v>
      </c>
      <c r="F116" s="4" t="s">
        <v>343</v>
      </c>
      <c r="G116" s="4">
        <v>20</v>
      </c>
      <c r="H116" s="4">
        <v>12</v>
      </c>
      <c r="I116" s="4">
        <v>8</v>
      </c>
      <c r="J116" s="4">
        <v>1</v>
      </c>
      <c r="K116" s="4">
        <v>130</v>
      </c>
      <c r="L116" s="4" t="s">
        <v>643</v>
      </c>
      <c r="M116" s="4" t="s">
        <v>383</v>
      </c>
      <c r="N116" s="4" t="s">
        <v>642</v>
      </c>
      <c r="O116" s="4">
        <v>123</v>
      </c>
      <c r="P116" s="4">
        <v>150.75</v>
      </c>
      <c r="Q116" s="4" t="s">
        <v>641</v>
      </c>
      <c r="AO116" s="4">
        <v>2</v>
      </c>
      <c r="AP116" s="4">
        <v>2</v>
      </c>
      <c r="AQ116" s="4" t="s">
        <v>655</v>
      </c>
      <c r="AS116">
        <v>2</v>
      </c>
      <c r="AT116">
        <v>1</v>
      </c>
      <c r="AU116" s="33">
        <v>9912.9999999999927</v>
      </c>
      <c r="AV116" s="36" t="s">
        <v>644</v>
      </c>
      <c r="AW116" s="4">
        <v>9908.9999999999945</v>
      </c>
      <c r="AX116" s="4" t="str">
        <f>IFERROR(VLOOKUP(M116,Roster!$L$2:$M$27,2,FALSE),"")</f>
        <v>L</v>
      </c>
      <c r="AY116" s="4" t="str">
        <f t="shared" si="8"/>
        <v>2好1壞</v>
      </c>
      <c r="BI116" s="5" t="str">
        <f>Lineup!$G$2</f>
        <v>20210817</v>
      </c>
      <c r="BJ116" s="4" t="str">
        <f t="shared" si="10"/>
        <v>偏外角偏低</v>
      </c>
      <c r="BK116" s="4" t="str">
        <f t="shared" si="9"/>
        <v>B1O</v>
      </c>
      <c r="BL116" s="4" t="str">
        <f>IFERROR(VLOOKUP(E116,Roster!$D$2:$E$27,2,FALSE),"")</f>
        <v>R</v>
      </c>
      <c r="BP116" s="49"/>
      <c r="BQ116" s="49"/>
      <c r="BR116" s="49"/>
      <c r="BS116" s="49"/>
      <c r="BT116" s="49"/>
      <c r="BU116" s="49"/>
      <c r="BY116" s="4">
        <f t="shared" si="6"/>
        <v>35.25</v>
      </c>
      <c r="BZ116" s="4">
        <f t="shared" si="7"/>
        <v>246</v>
      </c>
      <c r="CD116" s="5" t="str">
        <f>Lineup!$G$1</f>
        <v>一軍例行賽</v>
      </c>
      <c r="CE116" s="4">
        <f>Lineup!$I$1</f>
        <v>148</v>
      </c>
      <c r="CF116" s="5" t="str">
        <f>Lineup!$G$5</f>
        <v>王俊宏</v>
      </c>
      <c r="CG116" s="5" t="str">
        <f>Lineup!$G$4</f>
        <v>桃園</v>
      </c>
    </row>
    <row r="117" spans="1:85" x14ac:dyDescent="0.3">
      <c r="A117" s="4">
        <v>116</v>
      </c>
      <c r="B117" s="4">
        <v>4</v>
      </c>
      <c r="C117" s="4">
        <v>8</v>
      </c>
      <c r="D117" s="4">
        <v>6</v>
      </c>
      <c r="E117" s="4" t="s">
        <v>471</v>
      </c>
      <c r="F117" s="4" t="s">
        <v>343</v>
      </c>
      <c r="G117" s="4">
        <v>21</v>
      </c>
      <c r="H117" s="4">
        <v>13</v>
      </c>
      <c r="I117" s="4">
        <v>8</v>
      </c>
      <c r="J117" s="4">
        <v>1</v>
      </c>
      <c r="K117" s="4">
        <v>121</v>
      </c>
      <c r="L117" s="4" t="s">
        <v>643</v>
      </c>
      <c r="M117" s="4" t="s">
        <v>383</v>
      </c>
      <c r="N117" s="4" t="s">
        <v>649</v>
      </c>
      <c r="O117" s="4">
        <v>54.75</v>
      </c>
      <c r="P117" s="4">
        <v>96.75</v>
      </c>
      <c r="Q117" s="4" t="s">
        <v>639</v>
      </c>
      <c r="R117" s="5" t="s">
        <v>696</v>
      </c>
      <c r="AO117" s="4">
        <v>2</v>
      </c>
      <c r="AP117" s="4">
        <v>2</v>
      </c>
      <c r="AQ117" s="4" t="s">
        <v>655</v>
      </c>
      <c r="AS117">
        <v>2</v>
      </c>
      <c r="AT117">
        <v>2</v>
      </c>
      <c r="AU117" s="33">
        <v>9945</v>
      </c>
      <c r="AV117" s="36" t="s">
        <v>644</v>
      </c>
      <c r="AW117" s="4">
        <v>9935.9999999999891</v>
      </c>
      <c r="AX117" s="4" t="str">
        <f>IFERROR(VLOOKUP(M117,Roster!$L$2:$M$27,2,FALSE),"")</f>
        <v>L</v>
      </c>
      <c r="AY117" s="4" t="str">
        <f t="shared" si="8"/>
        <v>2好2壞</v>
      </c>
      <c r="BI117" s="5" t="str">
        <f>Lineup!$G$2</f>
        <v>20210817</v>
      </c>
      <c r="BJ117" s="4" t="str">
        <f t="shared" si="10"/>
        <v>內角中</v>
      </c>
      <c r="BK117" s="4" t="str">
        <f t="shared" si="9"/>
        <v>B1O</v>
      </c>
      <c r="BL117" s="4" t="str">
        <f>IFERROR(VLOOKUP(E117,Roster!$D$2:$E$27,2,FALSE),"")</f>
        <v>R</v>
      </c>
      <c r="BP117" s="49"/>
      <c r="BQ117" s="49"/>
      <c r="BR117" s="49"/>
      <c r="BS117" s="49"/>
      <c r="BT117" s="49"/>
      <c r="BU117" s="49"/>
      <c r="BY117" s="4">
        <f t="shared" si="6"/>
        <v>89.25</v>
      </c>
      <c r="BZ117" s="4">
        <f t="shared" si="7"/>
        <v>246</v>
      </c>
      <c r="CD117" s="5" t="str">
        <f>Lineup!$G$1</f>
        <v>一軍例行賽</v>
      </c>
      <c r="CE117" s="4">
        <f>Lineup!$I$1</f>
        <v>148</v>
      </c>
      <c r="CF117" s="5" t="str">
        <f>Lineup!$G$5</f>
        <v>王俊宏</v>
      </c>
      <c r="CG117" s="5" t="str">
        <f>Lineup!$G$4</f>
        <v>桃園</v>
      </c>
    </row>
    <row r="118" spans="1:85" x14ac:dyDescent="0.3">
      <c r="A118" s="4">
        <v>117</v>
      </c>
      <c r="B118" s="4">
        <v>4</v>
      </c>
      <c r="C118" s="4">
        <v>8</v>
      </c>
      <c r="D118" s="4">
        <v>6</v>
      </c>
      <c r="E118" s="4" t="s">
        <v>471</v>
      </c>
      <c r="F118" s="4" t="s">
        <v>343</v>
      </c>
      <c r="G118" s="4">
        <v>22</v>
      </c>
      <c r="H118" s="4">
        <v>14</v>
      </c>
      <c r="I118" s="4">
        <v>8</v>
      </c>
      <c r="J118" s="4">
        <v>1</v>
      </c>
      <c r="K118" s="4">
        <v>134</v>
      </c>
      <c r="L118" s="4" t="s">
        <v>643</v>
      </c>
      <c r="M118" s="4" t="s">
        <v>383</v>
      </c>
      <c r="N118" s="4" t="s">
        <v>649</v>
      </c>
      <c r="O118" s="4">
        <v>87</v>
      </c>
      <c r="P118" s="4">
        <v>68.25</v>
      </c>
      <c r="Q118" s="4" t="s">
        <v>639</v>
      </c>
      <c r="R118" s="5" t="s">
        <v>696</v>
      </c>
      <c r="AO118" s="4">
        <v>2</v>
      </c>
      <c r="AP118" s="4">
        <v>2</v>
      </c>
      <c r="AQ118" s="4" t="s">
        <v>655</v>
      </c>
      <c r="AS118">
        <v>2</v>
      </c>
      <c r="AT118">
        <v>2</v>
      </c>
      <c r="AU118" s="33">
        <v>9989.0000000000018</v>
      </c>
      <c r="AV118" s="36" t="s">
        <v>644</v>
      </c>
      <c r="AW118" s="4">
        <v>9983.9999999999964</v>
      </c>
      <c r="AX118" s="4" t="str">
        <f>IFERROR(VLOOKUP(M118,Roster!$L$2:$M$27,2,FALSE),"")</f>
        <v>L</v>
      </c>
      <c r="AY118" s="4" t="str">
        <f t="shared" si="8"/>
        <v>2好2壞</v>
      </c>
      <c r="BI118" s="5" t="str">
        <f>Lineup!$G$2</f>
        <v>20210817</v>
      </c>
      <c r="BJ118" s="4" t="str">
        <f t="shared" si="10"/>
        <v>外角高</v>
      </c>
      <c r="BK118" s="4" t="str">
        <f t="shared" si="9"/>
        <v>B1O</v>
      </c>
      <c r="BL118" s="4" t="str">
        <f>IFERROR(VLOOKUP(E118,Roster!$D$2:$E$27,2,FALSE),"")</f>
        <v>R</v>
      </c>
      <c r="BP118" s="49"/>
      <c r="BQ118" s="49"/>
      <c r="BR118" s="49"/>
      <c r="BS118" s="49"/>
      <c r="BT118" s="49"/>
      <c r="BU118" s="49"/>
      <c r="BY118" s="4">
        <f t="shared" si="6"/>
        <v>117.75</v>
      </c>
      <c r="BZ118" s="4">
        <f t="shared" si="7"/>
        <v>246</v>
      </c>
      <c r="CD118" s="5" t="str">
        <f>Lineup!$G$1</f>
        <v>一軍例行賽</v>
      </c>
      <c r="CE118" s="4">
        <f>Lineup!$I$1</f>
        <v>148</v>
      </c>
      <c r="CF118" s="5" t="str">
        <f>Lineup!$G$5</f>
        <v>王俊宏</v>
      </c>
      <c r="CG118" s="5" t="str">
        <f>Lineup!$G$4</f>
        <v>桃園</v>
      </c>
    </row>
    <row r="119" spans="1:85" x14ac:dyDescent="0.3">
      <c r="A119" s="4">
        <v>118</v>
      </c>
      <c r="B119" s="4">
        <v>4</v>
      </c>
      <c r="C119" s="4">
        <v>8</v>
      </c>
      <c r="D119" s="4">
        <v>6</v>
      </c>
      <c r="E119" s="4" t="s">
        <v>471</v>
      </c>
      <c r="F119" s="4" t="s">
        <v>343</v>
      </c>
      <c r="G119" s="4">
        <v>23</v>
      </c>
      <c r="H119" s="4">
        <v>15</v>
      </c>
      <c r="I119" s="4">
        <v>8</v>
      </c>
      <c r="J119" s="4">
        <v>1</v>
      </c>
      <c r="K119" s="4">
        <v>133</v>
      </c>
      <c r="L119" s="4" t="s">
        <v>643</v>
      </c>
      <c r="M119" s="4" t="s">
        <v>383</v>
      </c>
      <c r="N119" s="4" t="s">
        <v>649</v>
      </c>
      <c r="O119" s="4">
        <v>53.25</v>
      </c>
      <c r="P119" s="4">
        <v>72.75</v>
      </c>
      <c r="Q119" s="4" t="s">
        <v>639</v>
      </c>
      <c r="R119" s="5" t="s">
        <v>656</v>
      </c>
      <c r="S119" s="4">
        <v>177.75</v>
      </c>
      <c r="T119" s="4">
        <v>75</v>
      </c>
      <c r="U119" s="4" t="s">
        <v>571</v>
      </c>
      <c r="AB119" s="4" t="s">
        <v>383</v>
      </c>
      <c r="AM119" s="4">
        <v>1</v>
      </c>
      <c r="AO119" s="4">
        <v>3</v>
      </c>
      <c r="AP119" s="4">
        <v>2</v>
      </c>
      <c r="AQ119" s="4" t="s">
        <v>683</v>
      </c>
      <c r="AS119">
        <v>2</v>
      </c>
      <c r="AT119">
        <v>2</v>
      </c>
      <c r="AU119" s="33">
        <v>10012.999999999995</v>
      </c>
      <c r="AV119" s="36" t="s">
        <v>644</v>
      </c>
      <c r="AW119" s="4">
        <v>10005.999999999998</v>
      </c>
      <c r="AX119" s="4" t="str">
        <f>IFERROR(VLOOKUP(M119,Roster!$L$2:$M$27,2,FALSE),"")</f>
        <v>L</v>
      </c>
      <c r="AY119" s="4" t="str">
        <f t="shared" si="8"/>
        <v>2好2壞</v>
      </c>
      <c r="BI119" s="5" t="str">
        <f>Lineup!$G$2</f>
        <v>20210817</v>
      </c>
      <c r="BJ119" s="4" t="str">
        <f t="shared" si="10"/>
        <v>內角高</v>
      </c>
      <c r="BK119" s="4" t="str">
        <f t="shared" si="9"/>
        <v>B1O</v>
      </c>
      <c r="BL119" s="4" t="str">
        <f>IFERROR(VLOOKUP(E119,Roster!$D$2:$E$27,2,FALSE),"")</f>
        <v>R</v>
      </c>
      <c r="BP119" s="49"/>
      <c r="BQ119" s="49"/>
      <c r="BR119" s="49"/>
      <c r="BS119" s="49"/>
      <c r="BT119" s="49"/>
      <c r="BU119" s="49"/>
      <c r="BY119" s="4">
        <f t="shared" si="6"/>
        <v>113.25</v>
      </c>
      <c r="BZ119" s="4">
        <f t="shared" si="7"/>
        <v>171</v>
      </c>
      <c r="CD119" s="5" t="str">
        <f>Lineup!$G$1</f>
        <v>一軍例行賽</v>
      </c>
      <c r="CE119" s="4">
        <f>Lineup!$I$1</f>
        <v>148</v>
      </c>
      <c r="CF119" s="5" t="str">
        <f>Lineup!$G$5</f>
        <v>王俊宏</v>
      </c>
      <c r="CG119" s="5" t="str">
        <f>Lineup!$G$4</f>
        <v>桃園</v>
      </c>
    </row>
    <row r="120" spans="1:85" x14ac:dyDescent="0.3">
      <c r="A120" s="4">
        <v>119</v>
      </c>
      <c r="B120" s="4">
        <v>4</v>
      </c>
      <c r="C120" s="4">
        <v>8</v>
      </c>
      <c r="D120" s="4">
        <v>6</v>
      </c>
      <c r="E120" s="4" t="s">
        <v>471</v>
      </c>
      <c r="F120" s="4" t="s">
        <v>343</v>
      </c>
      <c r="G120" s="4">
        <v>24</v>
      </c>
      <c r="H120" s="4">
        <v>15</v>
      </c>
      <c r="I120" s="4">
        <v>9</v>
      </c>
      <c r="J120" s="4">
        <v>1</v>
      </c>
      <c r="L120" s="4" t="s">
        <v>643</v>
      </c>
      <c r="M120" s="4" t="s">
        <v>266</v>
      </c>
      <c r="N120" s="4" t="s">
        <v>642</v>
      </c>
      <c r="O120" s="4">
        <v>18</v>
      </c>
      <c r="P120" s="4">
        <v>101.25</v>
      </c>
      <c r="Q120" s="4" t="s">
        <v>641</v>
      </c>
      <c r="R120" s="5" t="s">
        <v>728</v>
      </c>
      <c r="AB120" s="4" t="s">
        <v>266</v>
      </c>
      <c r="AC120" s="4" t="s">
        <v>383</v>
      </c>
      <c r="AE120" s="4" t="s">
        <v>661</v>
      </c>
      <c r="AF120" s="4" t="s">
        <v>661</v>
      </c>
      <c r="AG120" s="4" t="s">
        <v>661</v>
      </c>
      <c r="AM120" s="4">
        <v>1</v>
      </c>
      <c r="AO120" s="4">
        <v>0</v>
      </c>
      <c r="AP120" s="4">
        <v>0</v>
      </c>
      <c r="AQ120" s="4" t="s">
        <v>682</v>
      </c>
      <c r="AS120">
        <v>0</v>
      </c>
      <c r="AT120">
        <v>0</v>
      </c>
      <c r="AU120" s="33">
        <v>10097.999999999996</v>
      </c>
      <c r="AV120" s="36" t="s">
        <v>644</v>
      </c>
      <c r="AW120" s="4">
        <v>10092.999999999991</v>
      </c>
      <c r="AX120" s="4" t="str">
        <f>IFERROR(VLOOKUP(M120,Roster!$L$2:$M$27,2,FALSE),"")</f>
        <v>L</v>
      </c>
      <c r="AY120" s="4" t="str">
        <f t="shared" si="8"/>
        <v>0好0壞</v>
      </c>
      <c r="BI120" s="5" t="str">
        <f>Lineup!$G$2</f>
        <v>20210817</v>
      </c>
      <c r="BJ120" s="4" t="str">
        <f t="shared" si="10"/>
        <v>偏內角中</v>
      </c>
      <c r="BK120" s="4" t="str">
        <f t="shared" si="9"/>
        <v>1B1O</v>
      </c>
      <c r="BL120" s="4" t="str">
        <f>IFERROR(VLOOKUP(E120,Roster!$D$2:$E$27,2,FALSE),"")</f>
        <v>R</v>
      </c>
      <c r="BP120" s="49"/>
      <c r="BQ120" s="49"/>
      <c r="BR120" s="49"/>
      <c r="BS120" s="49"/>
      <c r="BT120" s="49"/>
      <c r="BU120" s="49"/>
      <c r="BY120" s="4">
        <f t="shared" si="6"/>
        <v>84.75</v>
      </c>
      <c r="BZ120" s="4">
        <f t="shared" si="7"/>
        <v>246</v>
      </c>
      <c r="CD120" s="5" t="str">
        <f>Lineup!$G$1</f>
        <v>一軍例行賽</v>
      </c>
      <c r="CE120" s="4">
        <f>Lineup!$I$1</f>
        <v>148</v>
      </c>
      <c r="CF120" s="5" t="str">
        <f>Lineup!$G$5</f>
        <v>王俊宏</v>
      </c>
      <c r="CG120" s="5" t="str">
        <f>Lineup!$G$4</f>
        <v>桃園</v>
      </c>
    </row>
    <row r="121" spans="1:85" x14ac:dyDescent="0.3">
      <c r="A121" s="4">
        <v>120</v>
      </c>
      <c r="B121" s="4">
        <v>4</v>
      </c>
      <c r="C121" s="4">
        <v>8</v>
      </c>
      <c r="D121" s="4">
        <v>6</v>
      </c>
      <c r="E121" s="4" t="s">
        <v>471</v>
      </c>
      <c r="F121" s="4" t="s">
        <v>343</v>
      </c>
      <c r="G121" s="4">
        <v>25</v>
      </c>
      <c r="H121" s="4">
        <v>15</v>
      </c>
      <c r="I121" s="4">
        <v>10</v>
      </c>
      <c r="J121" s="4">
        <v>1</v>
      </c>
      <c r="K121" s="4">
        <v>113</v>
      </c>
      <c r="L121" s="4" t="s">
        <v>665</v>
      </c>
      <c r="M121" s="4" t="s">
        <v>396</v>
      </c>
      <c r="N121" s="4" t="s">
        <v>642</v>
      </c>
      <c r="O121" s="4">
        <v>39</v>
      </c>
      <c r="P121" s="4">
        <v>114.75</v>
      </c>
      <c r="Q121" s="4" t="s">
        <v>641</v>
      </c>
      <c r="AB121" s="4" t="s">
        <v>266</v>
      </c>
      <c r="AC121" s="4" t="s">
        <v>383</v>
      </c>
      <c r="AO121" s="4">
        <v>0</v>
      </c>
      <c r="AP121" s="4">
        <v>1</v>
      </c>
      <c r="AQ121" s="4" t="s">
        <v>652</v>
      </c>
      <c r="AS121">
        <v>0</v>
      </c>
      <c r="AT121">
        <v>0</v>
      </c>
      <c r="AU121" s="33">
        <v>10172.999999999998</v>
      </c>
      <c r="AV121" s="36" t="s">
        <v>644</v>
      </c>
      <c r="AW121" s="4">
        <v>10168.999999999991</v>
      </c>
      <c r="AX121" s="4" t="str">
        <f>IFERROR(VLOOKUP(M121,Roster!$L$2:$M$27,2,FALSE),"")</f>
        <v>R</v>
      </c>
      <c r="AY121" s="4" t="str">
        <f t="shared" si="8"/>
        <v>0好0壞</v>
      </c>
      <c r="BI121" s="5" t="str">
        <f>Lineup!$G$2</f>
        <v>20210817</v>
      </c>
      <c r="BJ121" s="4" t="str">
        <f t="shared" si="10"/>
        <v>偏外角低</v>
      </c>
      <c r="BK121" s="4" t="str">
        <f t="shared" si="9"/>
        <v>12B1O</v>
      </c>
      <c r="BL121" s="4" t="str">
        <f>IFERROR(VLOOKUP(E121,Roster!$D$2:$E$27,2,FALSE),"")</f>
        <v>R</v>
      </c>
      <c r="BP121" s="49"/>
      <c r="BQ121" s="49"/>
      <c r="BR121" s="49"/>
      <c r="BS121" s="49"/>
      <c r="BT121" s="49"/>
      <c r="BU121" s="49"/>
      <c r="BY121" s="4">
        <f t="shared" si="6"/>
        <v>71.25</v>
      </c>
      <c r="BZ121" s="4">
        <f t="shared" si="7"/>
        <v>246</v>
      </c>
      <c r="CD121" s="5" t="str">
        <f>Lineup!$G$1</f>
        <v>一軍例行賽</v>
      </c>
      <c r="CE121" s="4">
        <f>Lineup!$I$1</f>
        <v>148</v>
      </c>
      <c r="CF121" s="5" t="str">
        <f>Lineup!$G$5</f>
        <v>王俊宏</v>
      </c>
      <c r="CG121" s="5" t="str">
        <f>Lineup!$G$4</f>
        <v>桃園</v>
      </c>
    </row>
    <row r="122" spans="1:85" x14ac:dyDescent="0.3">
      <c r="A122" s="4">
        <v>121</v>
      </c>
      <c r="B122" s="4">
        <v>4</v>
      </c>
      <c r="C122" s="4">
        <v>8</v>
      </c>
      <c r="D122" s="4">
        <v>6</v>
      </c>
      <c r="E122" s="4" t="s">
        <v>471</v>
      </c>
      <c r="F122" s="4" t="s">
        <v>343</v>
      </c>
      <c r="G122" s="4">
        <v>26</v>
      </c>
      <c r="H122" s="4">
        <v>16</v>
      </c>
      <c r="I122" s="4">
        <v>10</v>
      </c>
      <c r="J122" s="4">
        <v>1</v>
      </c>
      <c r="K122" s="4">
        <v>124</v>
      </c>
      <c r="L122" s="4" t="s">
        <v>646</v>
      </c>
      <c r="M122" s="4" t="s">
        <v>396</v>
      </c>
      <c r="N122" s="4" t="s">
        <v>642</v>
      </c>
      <c r="O122" s="4">
        <v>52.5</v>
      </c>
      <c r="P122" s="4">
        <v>117</v>
      </c>
      <c r="Q122" s="4" t="s">
        <v>639</v>
      </c>
      <c r="AB122" s="4" t="s">
        <v>266</v>
      </c>
      <c r="AC122" s="4" t="s">
        <v>383</v>
      </c>
      <c r="AO122" s="4">
        <v>1</v>
      </c>
      <c r="AP122" s="4">
        <v>1</v>
      </c>
      <c r="AQ122" s="4" t="s">
        <v>645</v>
      </c>
      <c r="AS122">
        <v>0</v>
      </c>
      <c r="AT122">
        <v>1</v>
      </c>
      <c r="AU122" s="33">
        <v>10202.000000000005</v>
      </c>
      <c r="AV122" s="36" t="s">
        <v>644</v>
      </c>
      <c r="AW122" s="4">
        <v>10197.999999999998</v>
      </c>
      <c r="AX122" s="4" t="str">
        <f>IFERROR(VLOOKUP(M122,Roster!$L$2:$M$27,2,FALSE),"")</f>
        <v>R</v>
      </c>
      <c r="AY122" s="4" t="str">
        <f t="shared" si="8"/>
        <v>0好1壞</v>
      </c>
      <c r="BI122" s="5" t="str">
        <f>Lineup!$G$2</f>
        <v>20210817</v>
      </c>
      <c r="BJ122" s="4" t="str">
        <f t="shared" si="10"/>
        <v>外角低</v>
      </c>
      <c r="BK122" s="4" t="str">
        <f t="shared" si="9"/>
        <v>12B1O</v>
      </c>
      <c r="BL122" s="4" t="str">
        <f>IFERROR(VLOOKUP(E122,Roster!$D$2:$E$27,2,FALSE),"")</f>
        <v>R</v>
      </c>
      <c r="BP122" s="49"/>
      <c r="BQ122" s="49"/>
      <c r="BR122" s="49"/>
      <c r="BS122" s="49"/>
      <c r="BT122" s="49"/>
      <c r="BU122" s="49"/>
      <c r="BY122" s="4">
        <f t="shared" si="6"/>
        <v>69</v>
      </c>
      <c r="BZ122" s="4">
        <f t="shared" si="7"/>
        <v>246</v>
      </c>
      <c r="CD122" s="5" t="str">
        <f>Lineup!$G$1</f>
        <v>一軍例行賽</v>
      </c>
      <c r="CE122" s="4">
        <f>Lineup!$I$1</f>
        <v>148</v>
      </c>
      <c r="CF122" s="5" t="str">
        <f>Lineup!$G$5</f>
        <v>王俊宏</v>
      </c>
      <c r="CG122" s="5" t="str">
        <f>Lineup!$G$4</f>
        <v>桃園</v>
      </c>
    </row>
    <row r="123" spans="1:85" x14ac:dyDescent="0.3">
      <c r="A123" s="4">
        <v>122</v>
      </c>
      <c r="B123" s="4">
        <v>4</v>
      </c>
      <c r="C123" s="4">
        <v>8</v>
      </c>
      <c r="D123" s="4">
        <v>6</v>
      </c>
      <c r="E123" s="4" t="s">
        <v>471</v>
      </c>
      <c r="F123" s="4" t="s">
        <v>343</v>
      </c>
      <c r="G123" s="4">
        <v>27</v>
      </c>
      <c r="H123" s="4">
        <v>16</v>
      </c>
      <c r="I123" s="4">
        <v>11</v>
      </c>
      <c r="J123" s="4">
        <v>1</v>
      </c>
      <c r="K123" s="4">
        <v>129</v>
      </c>
      <c r="L123" s="4" t="s">
        <v>643</v>
      </c>
      <c r="M123" s="4" t="s">
        <v>396</v>
      </c>
      <c r="N123" s="4" t="s">
        <v>642</v>
      </c>
      <c r="O123" s="4">
        <v>24</v>
      </c>
      <c r="P123" s="4">
        <v>73.5</v>
      </c>
      <c r="Q123" s="4" t="s">
        <v>641</v>
      </c>
      <c r="AB123" s="4" t="s">
        <v>266</v>
      </c>
      <c r="AC123" s="4" t="s">
        <v>383</v>
      </c>
      <c r="AO123" s="4">
        <v>1</v>
      </c>
      <c r="AP123" s="4">
        <v>2</v>
      </c>
      <c r="AQ123" s="4" t="s">
        <v>654</v>
      </c>
      <c r="AS123">
        <v>1</v>
      </c>
      <c r="AT123">
        <v>1</v>
      </c>
      <c r="AU123" s="33">
        <v>10229</v>
      </c>
      <c r="AV123" s="36" t="s">
        <v>644</v>
      </c>
      <c r="AW123" s="4">
        <v>10225.999999999991</v>
      </c>
      <c r="AX123" s="4" t="str">
        <f>IFERROR(VLOOKUP(M123,Roster!$L$2:$M$27,2,FALSE),"")</f>
        <v>R</v>
      </c>
      <c r="AY123" s="4" t="str">
        <f t="shared" si="8"/>
        <v>1好1壞</v>
      </c>
      <c r="BI123" s="5" t="str">
        <f>Lineup!$G$2</f>
        <v>20210817</v>
      </c>
      <c r="BJ123" s="4" t="str">
        <f t="shared" si="10"/>
        <v>偏外角高</v>
      </c>
      <c r="BK123" s="4" t="str">
        <f t="shared" si="9"/>
        <v>12B1O</v>
      </c>
      <c r="BL123" s="4" t="str">
        <f>IFERROR(VLOOKUP(E123,Roster!$D$2:$E$27,2,FALSE),"")</f>
        <v>R</v>
      </c>
      <c r="BP123" s="49"/>
      <c r="BQ123" s="49"/>
      <c r="BR123" s="49"/>
      <c r="BS123" s="49"/>
      <c r="BT123" s="49"/>
      <c r="BU123" s="49"/>
      <c r="BY123" s="4">
        <f t="shared" ref="BY123:BY179" si="11">186-P123</f>
        <v>112.5</v>
      </c>
      <c r="BZ123" s="4">
        <f t="shared" ref="BZ123:BZ179" si="12">246-T123</f>
        <v>246</v>
      </c>
      <c r="CD123" s="5" t="str">
        <f>Lineup!$G$1</f>
        <v>一軍例行賽</v>
      </c>
      <c r="CE123" s="4">
        <f>Lineup!$I$1</f>
        <v>148</v>
      </c>
      <c r="CF123" s="5" t="str">
        <f>Lineup!$G$5</f>
        <v>王俊宏</v>
      </c>
      <c r="CG123" s="5" t="str">
        <f>Lineup!$G$4</f>
        <v>桃園</v>
      </c>
    </row>
    <row r="124" spans="1:85" x14ac:dyDescent="0.3">
      <c r="A124" s="4">
        <v>123</v>
      </c>
      <c r="B124" s="4">
        <v>4</v>
      </c>
      <c r="C124" s="4">
        <v>8</v>
      </c>
      <c r="D124" s="4">
        <v>6</v>
      </c>
      <c r="E124" s="4" t="s">
        <v>471</v>
      </c>
      <c r="F124" s="4" t="s">
        <v>343</v>
      </c>
      <c r="G124" s="4">
        <v>28</v>
      </c>
      <c r="H124" s="4">
        <v>16</v>
      </c>
      <c r="I124" s="4">
        <v>12</v>
      </c>
      <c r="J124" s="4">
        <v>1</v>
      </c>
      <c r="K124" s="4">
        <v>117</v>
      </c>
      <c r="L124" s="4" t="s">
        <v>665</v>
      </c>
      <c r="M124" s="4" t="s">
        <v>396</v>
      </c>
      <c r="N124" s="4" t="s">
        <v>642</v>
      </c>
      <c r="O124" s="4">
        <v>36</v>
      </c>
      <c r="P124" s="4">
        <v>64.5</v>
      </c>
      <c r="Q124" s="4" t="s">
        <v>641</v>
      </c>
      <c r="AB124" s="4" t="s">
        <v>266</v>
      </c>
      <c r="AC124" s="4" t="s">
        <v>383</v>
      </c>
      <c r="AO124" s="4">
        <v>1</v>
      </c>
      <c r="AP124" s="4">
        <v>3</v>
      </c>
      <c r="AQ124" s="4" t="s">
        <v>658</v>
      </c>
      <c r="AS124">
        <v>1</v>
      </c>
      <c r="AT124">
        <v>2</v>
      </c>
      <c r="AU124" s="33">
        <v>10263.999999999989</v>
      </c>
      <c r="AV124" s="36" t="s">
        <v>644</v>
      </c>
      <c r="AW124" s="4">
        <v>10259.000000000005</v>
      </c>
      <c r="AX124" s="4" t="str">
        <f>IFERROR(VLOOKUP(M124,Roster!$L$2:$M$27,2,FALSE),"")</f>
        <v>R</v>
      </c>
      <c r="AY124" s="4" t="str">
        <f t="shared" si="8"/>
        <v>1好2壞</v>
      </c>
      <c r="BI124" s="5" t="str">
        <f>Lineup!$G$2</f>
        <v>20210817</v>
      </c>
      <c r="BJ124" s="4" t="str">
        <f t="shared" ref="BJ124:BJ180" si="13">IF(AX124="R",IF(O124&lt;46.8,"偏外角",IF(O124&lt;65.5,"外角",IF(O124&lt;84.4,"中",IF(O124 &lt; 103.2,"內角","偏內角"))))&amp;IF(P124&lt;57,"偏高",IF(P124&lt;79.8,"高",IF(P124&lt;102.7,"中",IF(P124 &lt; 125.5,"低","偏低")))),IF(O124&lt;46.8,"偏內角",IF(O124&lt;65.5,"內角",IF(O124&lt;84.4,"中",IF(O124 &lt; 103.2,"外角","偏外角"))))&amp;IF(P124&lt;57,"偏高",IF(P124&lt;79.8,"高",IF(P124&lt;102.7,"中",IF(P124 &lt; 125.5,"低","偏低"))))
)</f>
        <v>偏外角高</v>
      </c>
      <c r="BK124" s="4" t="str">
        <f t="shared" si="9"/>
        <v>12B1O</v>
      </c>
      <c r="BL124" s="4" t="str">
        <f>IFERROR(VLOOKUP(E124,Roster!$D$2:$E$27,2,FALSE),"")</f>
        <v>R</v>
      </c>
      <c r="BP124" s="49"/>
      <c r="BQ124" s="49"/>
      <c r="BR124" s="49"/>
      <c r="BS124" s="49"/>
      <c r="BT124" s="49"/>
      <c r="BU124" s="49"/>
      <c r="BY124" s="4">
        <f t="shared" si="11"/>
        <v>121.5</v>
      </c>
      <c r="BZ124" s="4">
        <f t="shared" si="12"/>
        <v>246</v>
      </c>
      <c r="CD124" s="5" t="str">
        <f>Lineup!$G$1</f>
        <v>一軍例行賽</v>
      </c>
      <c r="CE124" s="4">
        <f>Lineup!$I$1</f>
        <v>148</v>
      </c>
      <c r="CF124" s="5" t="str">
        <f>Lineup!$G$5</f>
        <v>王俊宏</v>
      </c>
      <c r="CG124" s="5" t="str">
        <f>Lineup!$G$4</f>
        <v>桃園</v>
      </c>
    </row>
    <row r="125" spans="1:85" x14ac:dyDescent="0.3">
      <c r="A125" s="4">
        <v>124</v>
      </c>
      <c r="B125" s="4">
        <v>4</v>
      </c>
      <c r="C125" s="4">
        <v>8</v>
      </c>
      <c r="D125" s="4">
        <v>6</v>
      </c>
      <c r="E125" s="4" t="s">
        <v>471</v>
      </c>
      <c r="F125" s="4" t="s">
        <v>343</v>
      </c>
      <c r="G125" s="4">
        <v>29</v>
      </c>
      <c r="H125" s="4">
        <v>16</v>
      </c>
      <c r="I125" s="4">
        <v>13</v>
      </c>
      <c r="J125" s="4">
        <v>1</v>
      </c>
      <c r="K125" s="4">
        <v>126</v>
      </c>
      <c r="L125" s="4" t="s">
        <v>643</v>
      </c>
      <c r="M125" s="4" t="s">
        <v>396</v>
      </c>
      <c r="N125" s="4" t="s">
        <v>642</v>
      </c>
      <c r="O125" s="4">
        <v>22.5</v>
      </c>
      <c r="P125" s="4">
        <v>105.75</v>
      </c>
      <c r="Q125" s="4" t="s">
        <v>641</v>
      </c>
      <c r="R125" s="5" t="s">
        <v>660</v>
      </c>
      <c r="AB125" s="4" t="s">
        <v>396</v>
      </c>
      <c r="AC125" s="4" t="s">
        <v>266</v>
      </c>
      <c r="AD125" s="4" t="s">
        <v>383</v>
      </c>
      <c r="AE125" s="4" t="s">
        <v>661</v>
      </c>
      <c r="AF125" s="4" t="s">
        <v>661</v>
      </c>
      <c r="AG125" s="4" t="s">
        <v>661</v>
      </c>
      <c r="AM125" s="4">
        <v>1</v>
      </c>
      <c r="AO125" s="4">
        <v>1</v>
      </c>
      <c r="AP125" s="4">
        <v>4</v>
      </c>
      <c r="AQ125" s="4" t="s">
        <v>659</v>
      </c>
      <c r="AS125">
        <v>1</v>
      </c>
      <c r="AT125">
        <v>3</v>
      </c>
      <c r="AU125" s="33">
        <v>10321.999999999996</v>
      </c>
      <c r="AV125" s="36" t="s">
        <v>644</v>
      </c>
      <c r="AW125" s="4">
        <v>10317.999999999998</v>
      </c>
      <c r="AX125" s="4" t="str">
        <f>IFERROR(VLOOKUP(M125,Roster!$L$2:$M$27,2,FALSE),"")</f>
        <v>R</v>
      </c>
      <c r="AY125" s="4" t="str">
        <f t="shared" si="8"/>
        <v>1好3壞</v>
      </c>
      <c r="BI125" s="5" t="str">
        <f>Lineup!$G$2</f>
        <v>20210817</v>
      </c>
      <c r="BJ125" s="4" t="str">
        <f t="shared" si="13"/>
        <v>偏外角低</v>
      </c>
      <c r="BK125" s="4" t="str">
        <f t="shared" si="9"/>
        <v>12B1O</v>
      </c>
      <c r="BL125" s="4" t="str">
        <f>IFERROR(VLOOKUP(E125,Roster!$D$2:$E$27,2,FALSE),"")</f>
        <v>R</v>
      </c>
      <c r="BP125" s="49"/>
      <c r="BQ125" s="49"/>
      <c r="BR125" s="49"/>
      <c r="BS125" s="49"/>
      <c r="BT125" s="49"/>
      <c r="BU125" s="49"/>
      <c r="BY125" s="4">
        <f t="shared" si="11"/>
        <v>80.25</v>
      </c>
      <c r="BZ125" s="4">
        <f t="shared" si="12"/>
        <v>246</v>
      </c>
      <c r="CD125" s="5" t="str">
        <f>Lineup!$G$1</f>
        <v>一軍例行賽</v>
      </c>
      <c r="CE125" s="4">
        <f>Lineup!$I$1</f>
        <v>148</v>
      </c>
      <c r="CF125" s="5" t="str">
        <f>Lineup!$G$5</f>
        <v>王俊宏</v>
      </c>
      <c r="CG125" s="5" t="str">
        <f>Lineup!$G$4</f>
        <v>桃園</v>
      </c>
    </row>
    <row r="126" spans="1:85" x14ac:dyDescent="0.3">
      <c r="A126" s="4">
        <v>125</v>
      </c>
      <c r="B126" s="4">
        <v>4</v>
      </c>
      <c r="C126" s="4">
        <v>8</v>
      </c>
      <c r="D126" s="4">
        <v>6</v>
      </c>
      <c r="E126" s="4" t="s">
        <v>471</v>
      </c>
      <c r="F126" s="4" t="s">
        <v>343</v>
      </c>
      <c r="G126" s="4">
        <v>30</v>
      </c>
      <c r="H126" s="4">
        <v>17</v>
      </c>
      <c r="I126" s="4">
        <v>13</v>
      </c>
      <c r="J126" s="4">
        <v>1</v>
      </c>
      <c r="K126" s="4">
        <v>128</v>
      </c>
      <c r="L126" s="4" t="s">
        <v>643</v>
      </c>
      <c r="M126" s="4" t="s">
        <v>346</v>
      </c>
      <c r="N126" s="4" t="s">
        <v>642</v>
      </c>
      <c r="O126" s="4">
        <v>46.5</v>
      </c>
      <c r="P126" s="4">
        <v>93</v>
      </c>
      <c r="Q126" s="4" t="s">
        <v>639</v>
      </c>
      <c r="AB126" s="4" t="s">
        <v>396</v>
      </c>
      <c r="AC126" s="4" t="s">
        <v>266</v>
      </c>
      <c r="AD126" s="4" t="s">
        <v>383</v>
      </c>
      <c r="AO126" s="4">
        <v>1</v>
      </c>
      <c r="AP126" s="4">
        <v>0</v>
      </c>
      <c r="AQ126" s="4" t="s">
        <v>640</v>
      </c>
      <c r="AS126">
        <v>0</v>
      </c>
      <c r="AT126">
        <v>0</v>
      </c>
      <c r="AU126" s="33">
        <v>10427.999999999989</v>
      </c>
      <c r="AV126" s="36" t="s">
        <v>644</v>
      </c>
      <c r="AW126" s="4">
        <v>10423.999999999993</v>
      </c>
      <c r="AX126" s="4" t="str">
        <f>IFERROR(VLOOKUP(M126,Roster!$L$2:$M$27,2,FALSE),"")</f>
        <v>R</v>
      </c>
      <c r="AY126" s="4" t="str">
        <f t="shared" si="8"/>
        <v>0好0壞</v>
      </c>
      <c r="BI126" s="5" t="str">
        <f>Lineup!$G$2</f>
        <v>20210817</v>
      </c>
      <c r="BJ126" s="4" t="str">
        <f t="shared" si="13"/>
        <v>偏外角中</v>
      </c>
      <c r="BK126" s="4" t="str">
        <f t="shared" si="9"/>
        <v>123B1O</v>
      </c>
      <c r="BL126" s="4" t="str">
        <f>IFERROR(VLOOKUP(E126,Roster!$D$2:$E$27,2,FALSE),"")</f>
        <v>R</v>
      </c>
      <c r="BP126" s="49"/>
      <c r="BQ126" s="49"/>
      <c r="BR126" s="49"/>
      <c r="BS126" s="49"/>
      <c r="BT126" s="49"/>
      <c r="BU126" s="49"/>
      <c r="BY126" s="4">
        <f t="shared" si="11"/>
        <v>93</v>
      </c>
      <c r="BZ126" s="4">
        <f t="shared" si="12"/>
        <v>246</v>
      </c>
      <c r="CD126" s="5" t="str">
        <f>Lineup!$G$1</f>
        <v>一軍例行賽</v>
      </c>
      <c r="CE126" s="4">
        <f>Lineup!$I$1</f>
        <v>148</v>
      </c>
      <c r="CF126" s="5" t="str">
        <f>Lineup!$G$5</f>
        <v>王俊宏</v>
      </c>
      <c r="CG126" s="5" t="str">
        <f>Lineup!$G$4</f>
        <v>桃園</v>
      </c>
    </row>
    <row r="127" spans="1:85" x14ac:dyDescent="0.3">
      <c r="A127" s="4">
        <v>126</v>
      </c>
      <c r="B127" s="4">
        <v>4</v>
      </c>
      <c r="C127" s="4">
        <v>8</v>
      </c>
      <c r="D127" s="4">
        <v>6</v>
      </c>
      <c r="E127" s="4" t="s">
        <v>471</v>
      </c>
      <c r="F127" s="4" t="s">
        <v>343</v>
      </c>
      <c r="G127" s="4">
        <v>31</v>
      </c>
      <c r="H127" s="4">
        <v>18</v>
      </c>
      <c r="I127" s="4">
        <v>13</v>
      </c>
      <c r="J127" s="4">
        <v>2</v>
      </c>
      <c r="K127" s="4">
        <v>117</v>
      </c>
      <c r="L127" s="4" t="s">
        <v>665</v>
      </c>
      <c r="M127" s="4" t="s">
        <v>346</v>
      </c>
      <c r="N127" s="4" t="s">
        <v>649</v>
      </c>
      <c r="O127" s="4">
        <v>60.75</v>
      </c>
      <c r="P127" s="4">
        <v>85.5</v>
      </c>
      <c r="Q127" s="4" t="s">
        <v>109</v>
      </c>
      <c r="R127" s="5" t="s">
        <v>717</v>
      </c>
      <c r="S127" s="4">
        <v>141</v>
      </c>
      <c r="T127" s="4">
        <v>176.25</v>
      </c>
      <c r="U127" s="4" t="s">
        <v>535</v>
      </c>
      <c r="V127" s="4" t="s">
        <v>543</v>
      </c>
      <c r="W127" s="4" t="s">
        <v>352</v>
      </c>
      <c r="AB127" s="4" t="s">
        <v>396</v>
      </c>
      <c r="AC127" s="4" t="s">
        <v>266</v>
      </c>
      <c r="AD127" s="4" t="s">
        <v>383</v>
      </c>
      <c r="AE127" s="4" t="s">
        <v>661</v>
      </c>
      <c r="AF127" s="4" t="s">
        <v>661</v>
      </c>
      <c r="AG127" s="4" t="s">
        <v>661</v>
      </c>
      <c r="AI127" s="4" t="s">
        <v>626</v>
      </c>
      <c r="AJ127" s="4" t="s">
        <v>627</v>
      </c>
      <c r="AK127" s="4">
        <v>1</v>
      </c>
      <c r="AM127" s="4">
        <v>1</v>
      </c>
      <c r="AO127" s="4">
        <v>2</v>
      </c>
      <c r="AP127" s="4">
        <v>0</v>
      </c>
      <c r="AQ127" s="4" t="s">
        <v>662</v>
      </c>
      <c r="AR127" s="4" t="s">
        <v>737</v>
      </c>
      <c r="AS127">
        <v>1</v>
      </c>
      <c r="AT127">
        <v>0</v>
      </c>
      <c r="AU127" s="33">
        <v>10491</v>
      </c>
      <c r="AV127" s="36" t="s">
        <v>644</v>
      </c>
      <c r="AW127" s="4">
        <v>10478.999999999998</v>
      </c>
      <c r="AX127" s="4" t="str">
        <f>IFERROR(VLOOKUP(M127,Roster!$L$2:$M$27,2,FALSE),"")</f>
        <v>R</v>
      </c>
      <c r="AY127" s="4" t="str">
        <f t="shared" si="8"/>
        <v>1好0壞</v>
      </c>
      <c r="BI127" s="5" t="str">
        <f>Lineup!$G$2</f>
        <v>20210817</v>
      </c>
      <c r="BJ127" s="4" t="str">
        <f t="shared" si="13"/>
        <v>外角中</v>
      </c>
      <c r="BK127" s="4" t="str">
        <f t="shared" si="9"/>
        <v>123B1O</v>
      </c>
      <c r="BL127" s="4" t="str">
        <f>IFERROR(VLOOKUP(E127,Roster!$D$2:$E$27,2,FALSE),"")</f>
        <v>R</v>
      </c>
      <c r="BP127" s="49"/>
      <c r="BQ127" s="49"/>
      <c r="BR127" s="49"/>
      <c r="BS127" s="49"/>
      <c r="BT127" s="49"/>
      <c r="BU127" s="49"/>
      <c r="BY127" s="4">
        <f t="shared" si="11"/>
        <v>100.5</v>
      </c>
      <c r="BZ127" s="4">
        <f t="shared" si="12"/>
        <v>69.75</v>
      </c>
      <c r="CD127" s="5" t="str">
        <f>Lineup!$G$1</f>
        <v>一軍例行賽</v>
      </c>
      <c r="CE127" s="4">
        <f>Lineup!$I$1</f>
        <v>148</v>
      </c>
      <c r="CF127" s="5" t="str">
        <f>Lineup!$G$5</f>
        <v>王俊宏</v>
      </c>
      <c r="CG127" s="5" t="str">
        <f>Lineup!$G$4</f>
        <v>桃園</v>
      </c>
    </row>
    <row r="128" spans="1:85" x14ac:dyDescent="0.3">
      <c r="A128" s="4">
        <v>128</v>
      </c>
      <c r="B128" s="4">
        <v>4</v>
      </c>
      <c r="C128" s="4">
        <v>8</v>
      </c>
      <c r="D128" s="4">
        <v>7</v>
      </c>
      <c r="E128" s="4" t="s">
        <v>316</v>
      </c>
      <c r="F128" s="4" t="s">
        <v>343</v>
      </c>
      <c r="G128" s="4">
        <v>1</v>
      </c>
      <c r="H128" s="4">
        <v>0</v>
      </c>
      <c r="I128" s="4">
        <v>1</v>
      </c>
      <c r="J128" s="4">
        <v>0</v>
      </c>
      <c r="L128" s="4" t="s">
        <v>643</v>
      </c>
      <c r="M128" s="4" t="s">
        <v>360</v>
      </c>
      <c r="N128" s="4" t="s">
        <v>642</v>
      </c>
      <c r="O128" s="4">
        <v>96.75</v>
      </c>
      <c r="P128" s="4">
        <v>48.75</v>
      </c>
      <c r="Q128" s="4" t="s">
        <v>641</v>
      </c>
      <c r="AO128" s="4">
        <v>0</v>
      </c>
      <c r="AP128" s="4">
        <v>1</v>
      </c>
      <c r="AQ128" s="4" t="s">
        <v>652</v>
      </c>
      <c r="AS128">
        <v>0</v>
      </c>
      <c r="AT128">
        <v>0</v>
      </c>
      <c r="AU128" s="33">
        <v>11109</v>
      </c>
      <c r="AV128" s="36" t="s">
        <v>644</v>
      </c>
      <c r="AW128" s="4">
        <v>11106</v>
      </c>
      <c r="AX128" s="4" t="str">
        <f>IFERROR(VLOOKUP(M128,Roster!$L$2:$M$27,2,FALSE),"")</f>
        <v>L</v>
      </c>
      <c r="AY128" s="4" t="str">
        <f t="shared" si="8"/>
        <v>0好0壞</v>
      </c>
      <c r="BI128" s="5" t="str">
        <f>Lineup!$G$2</f>
        <v>20210817</v>
      </c>
      <c r="BJ128" s="4" t="str">
        <f t="shared" si="13"/>
        <v>外角偏高</v>
      </c>
      <c r="BK128" s="4" t="str">
        <f t="shared" si="9"/>
        <v>123B2O</v>
      </c>
      <c r="BL128" s="4" t="str">
        <f>IFERROR(VLOOKUP(E128,Roster!$D$2:$E$27,2,FALSE),"")</f>
        <v>L</v>
      </c>
      <c r="BP128" s="49"/>
      <c r="BQ128" s="49"/>
      <c r="BR128" s="49"/>
      <c r="BS128" s="49"/>
      <c r="BT128" s="49"/>
      <c r="BU128" s="49"/>
      <c r="BY128" s="4">
        <f t="shared" si="11"/>
        <v>137.25</v>
      </c>
      <c r="BZ128" s="4">
        <f t="shared" si="12"/>
        <v>246</v>
      </c>
      <c r="CD128" s="5" t="str">
        <f>Lineup!$G$1</f>
        <v>一軍例行賽</v>
      </c>
      <c r="CE128" s="4">
        <f>Lineup!$I$1</f>
        <v>148</v>
      </c>
      <c r="CF128" s="5" t="str">
        <f>Lineup!$G$5</f>
        <v>王俊宏</v>
      </c>
      <c r="CG128" s="5" t="str">
        <f>Lineup!$G$4</f>
        <v>桃園</v>
      </c>
    </row>
    <row r="129" spans="1:85" x14ac:dyDescent="0.3">
      <c r="A129" s="4">
        <v>129</v>
      </c>
      <c r="B129" s="4">
        <v>4</v>
      </c>
      <c r="C129" s="4">
        <v>8</v>
      </c>
      <c r="D129" s="4">
        <v>7</v>
      </c>
      <c r="E129" s="4" t="s">
        <v>316</v>
      </c>
      <c r="F129" s="4" t="s">
        <v>343</v>
      </c>
      <c r="G129" s="4">
        <v>2</v>
      </c>
      <c r="H129" s="4">
        <v>1</v>
      </c>
      <c r="I129" s="4">
        <v>1</v>
      </c>
      <c r="J129" s="4">
        <v>0</v>
      </c>
      <c r="K129" s="4">
        <v>131</v>
      </c>
      <c r="L129" s="4" t="s">
        <v>646</v>
      </c>
      <c r="M129" s="4" t="s">
        <v>360</v>
      </c>
      <c r="N129" s="4" t="s">
        <v>649</v>
      </c>
      <c r="O129" s="4">
        <v>111.75</v>
      </c>
      <c r="P129" s="4">
        <v>111</v>
      </c>
      <c r="Q129" s="4" t="s">
        <v>639</v>
      </c>
      <c r="R129" s="5" t="s">
        <v>690</v>
      </c>
      <c r="AO129" s="4">
        <v>1</v>
      </c>
      <c r="AP129" s="4">
        <v>1</v>
      </c>
      <c r="AQ129" s="4" t="s">
        <v>645</v>
      </c>
      <c r="AS129">
        <v>0</v>
      </c>
      <c r="AT129">
        <v>1</v>
      </c>
      <c r="AU129" s="33">
        <v>11128</v>
      </c>
      <c r="AV129" s="36" t="s">
        <v>644</v>
      </c>
      <c r="AW129" s="4">
        <v>11125</v>
      </c>
      <c r="AX129" s="4" t="str">
        <f>IFERROR(VLOOKUP(M129,Roster!$L$2:$M$27,2,FALSE),"")</f>
        <v>L</v>
      </c>
      <c r="AY129" s="4" t="str">
        <f t="shared" si="8"/>
        <v>0好1壞</v>
      </c>
      <c r="BI129" s="5" t="str">
        <f>Lineup!$G$2</f>
        <v>20210817</v>
      </c>
      <c r="BJ129" s="4" t="str">
        <f t="shared" si="13"/>
        <v>偏外角低</v>
      </c>
      <c r="BK129" s="4" t="str">
        <f t="shared" si="9"/>
        <v>B0O</v>
      </c>
      <c r="BL129" s="4" t="str">
        <f>IFERROR(VLOOKUP(E129,Roster!$D$2:$E$27,2,FALSE),"")</f>
        <v>L</v>
      </c>
      <c r="BP129" s="49"/>
      <c r="BQ129" s="49"/>
      <c r="BR129" s="49"/>
      <c r="BS129" s="49"/>
      <c r="BT129" s="49"/>
      <c r="BU129" s="49"/>
      <c r="BY129" s="4">
        <f t="shared" si="11"/>
        <v>75</v>
      </c>
      <c r="BZ129" s="4">
        <f t="shared" si="12"/>
        <v>246</v>
      </c>
      <c r="CD129" s="5" t="str">
        <f>Lineup!$G$1</f>
        <v>一軍例行賽</v>
      </c>
      <c r="CE129" s="4">
        <f>Lineup!$I$1</f>
        <v>148</v>
      </c>
      <c r="CF129" s="5" t="str">
        <f>Lineup!$G$5</f>
        <v>王俊宏</v>
      </c>
      <c r="CG129" s="5" t="str">
        <f>Lineup!$G$4</f>
        <v>桃園</v>
      </c>
    </row>
    <row r="130" spans="1:85" x14ac:dyDescent="0.3">
      <c r="A130" s="4">
        <v>130</v>
      </c>
      <c r="B130" s="4">
        <v>4</v>
      </c>
      <c r="C130" s="4">
        <v>8</v>
      </c>
      <c r="D130" s="4">
        <v>7</v>
      </c>
      <c r="E130" s="4" t="s">
        <v>316</v>
      </c>
      <c r="F130" s="4" t="s">
        <v>343</v>
      </c>
      <c r="G130" s="4">
        <v>3</v>
      </c>
      <c r="H130" s="4">
        <v>1</v>
      </c>
      <c r="I130" s="4">
        <v>2</v>
      </c>
      <c r="J130" s="4">
        <v>0</v>
      </c>
      <c r="K130" s="4">
        <v>129</v>
      </c>
      <c r="L130" s="4" t="s">
        <v>646</v>
      </c>
      <c r="M130" s="4" t="s">
        <v>360</v>
      </c>
      <c r="N130" s="4" t="s">
        <v>642</v>
      </c>
      <c r="O130" s="4">
        <v>96.75</v>
      </c>
      <c r="P130" s="4">
        <v>147</v>
      </c>
      <c r="Q130" s="4" t="s">
        <v>641</v>
      </c>
      <c r="AO130" s="4">
        <v>1</v>
      </c>
      <c r="AP130" s="4">
        <v>2</v>
      </c>
      <c r="AQ130" s="4" t="s">
        <v>654</v>
      </c>
      <c r="AS130">
        <v>1</v>
      </c>
      <c r="AT130">
        <v>1</v>
      </c>
      <c r="AU130" s="33">
        <v>11150.999999999998</v>
      </c>
      <c r="AV130" s="36" t="s">
        <v>644</v>
      </c>
      <c r="AW130" s="4">
        <v>11145.999999999993</v>
      </c>
      <c r="AX130" s="4" t="str">
        <f>IFERROR(VLOOKUP(M130,Roster!$L$2:$M$27,2,FALSE),"")</f>
        <v>L</v>
      </c>
      <c r="AY130" s="4" t="str">
        <f t="shared" si="8"/>
        <v>1好1壞</v>
      </c>
      <c r="BI130" s="5" t="str">
        <f>Lineup!$G$2</f>
        <v>20210817</v>
      </c>
      <c r="BJ130" s="4" t="str">
        <f t="shared" si="13"/>
        <v>外角偏低</v>
      </c>
      <c r="BK130" s="4" t="str">
        <f t="shared" si="9"/>
        <v>B0O</v>
      </c>
      <c r="BL130" s="4" t="str">
        <f>IFERROR(VLOOKUP(E130,Roster!$D$2:$E$27,2,FALSE),"")</f>
        <v>L</v>
      </c>
      <c r="BP130" s="49"/>
      <c r="BQ130" s="49"/>
      <c r="BR130" s="49"/>
      <c r="BS130" s="49"/>
      <c r="BT130" s="49"/>
      <c r="BU130" s="49"/>
      <c r="BY130" s="4">
        <f t="shared" si="11"/>
        <v>39</v>
      </c>
      <c r="BZ130" s="4">
        <f t="shared" si="12"/>
        <v>246</v>
      </c>
      <c r="CD130" s="5" t="str">
        <f>Lineup!$G$1</f>
        <v>一軍例行賽</v>
      </c>
      <c r="CE130" s="4">
        <f>Lineup!$I$1</f>
        <v>148</v>
      </c>
      <c r="CF130" s="5" t="str">
        <f>Lineup!$G$5</f>
        <v>王俊宏</v>
      </c>
      <c r="CG130" s="5" t="str">
        <f>Lineup!$G$4</f>
        <v>桃園</v>
      </c>
    </row>
    <row r="131" spans="1:85" x14ac:dyDescent="0.3">
      <c r="A131" s="4">
        <v>131</v>
      </c>
      <c r="B131" s="4">
        <v>4</v>
      </c>
      <c r="C131" s="4">
        <v>8</v>
      </c>
      <c r="D131" s="4">
        <v>7</v>
      </c>
      <c r="E131" s="4" t="s">
        <v>316</v>
      </c>
      <c r="F131" s="4" t="s">
        <v>343</v>
      </c>
      <c r="G131" s="4">
        <v>4</v>
      </c>
      <c r="H131" s="4">
        <v>2</v>
      </c>
      <c r="I131" s="4">
        <v>2</v>
      </c>
      <c r="J131" s="4">
        <v>0</v>
      </c>
      <c r="K131" s="4">
        <v>139</v>
      </c>
      <c r="L131" s="4" t="s">
        <v>643</v>
      </c>
      <c r="M131" s="4" t="s">
        <v>360</v>
      </c>
      <c r="N131" s="4" t="s">
        <v>649</v>
      </c>
      <c r="O131" s="4">
        <v>54.75</v>
      </c>
      <c r="P131" s="4">
        <v>65.25</v>
      </c>
      <c r="Q131" s="4" t="s">
        <v>109</v>
      </c>
      <c r="R131" s="5" t="s">
        <v>656</v>
      </c>
      <c r="S131" s="4">
        <v>138</v>
      </c>
      <c r="T131" s="4">
        <v>79.5</v>
      </c>
      <c r="U131" s="4" t="s">
        <v>571</v>
      </c>
      <c r="AB131" s="4" t="s">
        <v>360</v>
      </c>
      <c r="AM131" s="4">
        <v>1</v>
      </c>
      <c r="AO131" s="4">
        <v>2</v>
      </c>
      <c r="AP131" s="4">
        <v>2</v>
      </c>
      <c r="AQ131" s="4" t="s">
        <v>655</v>
      </c>
      <c r="AS131">
        <v>1</v>
      </c>
      <c r="AT131">
        <v>2</v>
      </c>
      <c r="AU131" s="33">
        <v>11185</v>
      </c>
      <c r="AV131" s="36" t="s">
        <v>644</v>
      </c>
      <c r="AW131" s="4">
        <v>11174.999999999991</v>
      </c>
      <c r="AX131" s="4" t="str">
        <f>IFERROR(VLOOKUP(M131,Roster!$L$2:$M$27,2,FALSE),"")</f>
        <v>L</v>
      </c>
      <c r="AY131" s="4" t="str">
        <f t="shared" ref="AY131:AY173" si="14">IF(M131=M130,AS131&amp;"好"&amp;AT131&amp;"壞","0好0壞")</f>
        <v>1好2壞</v>
      </c>
      <c r="BI131" s="5" t="str">
        <f>Lineup!$G$2</f>
        <v>20210817</v>
      </c>
      <c r="BJ131" s="4" t="str">
        <f t="shared" si="13"/>
        <v>內角高</v>
      </c>
      <c r="BK131" s="4" t="str">
        <f t="shared" ref="BK131:BK174" si="15">IF(AB130&lt;&gt;"","1","")&amp;IF(AC130&lt;&gt;"","2","")&amp;IF(AD130&lt;&gt;"","3","")&amp;"B"&amp;J130&amp;"O"</f>
        <v>B0O</v>
      </c>
      <c r="BL131" s="4" t="str">
        <f>IFERROR(VLOOKUP(E131,Roster!$D$2:$E$27,2,FALSE),"")</f>
        <v>L</v>
      </c>
      <c r="BP131" s="49"/>
      <c r="BQ131" s="49"/>
      <c r="BR131" s="49"/>
      <c r="BS131" s="49"/>
      <c r="BT131" s="49"/>
      <c r="BU131" s="49"/>
      <c r="BY131" s="4">
        <f t="shared" si="11"/>
        <v>120.75</v>
      </c>
      <c r="BZ131" s="4">
        <f t="shared" si="12"/>
        <v>166.5</v>
      </c>
      <c r="CD131" s="5" t="str">
        <f>Lineup!$G$1</f>
        <v>一軍例行賽</v>
      </c>
      <c r="CE131" s="4">
        <f>Lineup!$I$1</f>
        <v>148</v>
      </c>
      <c r="CF131" s="5" t="str">
        <f>Lineup!$G$5</f>
        <v>王俊宏</v>
      </c>
      <c r="CG131" s="5" t="str">
        <f>Lineup!$G$4</f>
        <v>桃園</v>
      </c>
    </row>
    <row r="132" spans="1:85" x14ac:dyDescent="0.3">
      <c r="A132" s="4">
        <v>132</v>
      </c>
      <c r="B132" s="4">
        <v>4</v>
      </c>
      <c r="C132" s="4">
        <v>8</v>
      </c>
      <c r="D132" s="4">
        <v>7</v>
      </c>
      <c r="E132" s="4" t="s">
        <v>316</v>
      </c>
      <c r="F132" s="4" t="s">
        <v>343</v>
      </c>
      <c r="G132" s="4">
        <v>5</v>
      </c>
      <c r="H132" s="4">
        <v>3</v>
      </c>
      <c r="I132" s="4">
        <v>2</v>
      </c>
      <c r="J132" s="4">
        <v>1</v>
      </c>
      <c r="L132" s="4" t="s">
        <v>643</v>
      </c>
      <c r="M132" s="4" t="s">
        <v>341</v>
      </c>
      <c r="N132" s="4" t="s">
        <v>679</v>
      </c>
      <c r="O132" s="4">
        <v>63</v>
      </c>
      <c r="P132" s="4">
        <v>111.75</v>
      </c>
      <c r="Q132" s="4" t="s">
        <v>639</v>
      </c>
      <c r="R132" s="5" t="s">
        <v>709</v>
      </c>
      <c r="S132" s="4">
        <v>159.75</v>
      </c>
      <c r="T132" s="4">
        <v>198.75</v>
      </c>
      <c r="U132" s="4" t="s">
        <v>343</v>
      </c>
      <c r="V132" s="4" t="s">
        <v>352</v>
      </c>
      <c r="AC132" s="4" t="s">
        <v>360</v>
      </c>
      <c r="AE132" s="4" t="s">
        <v>661</v>
      </c>
      <c r="AF132" s="4" t="s">
        <v>661</v>
      </c>
      <c r="AG132" s="4" t="s">
        <v>661</v>
      </c>
      <c r="AH132" s="4" t="s">
        <v>341</v>
      </c>
      <c r="AK132" s="4">
        <v>1</v>
      </c>
      <c r="AM132" s="4">
        <v>1</v>
      </c>
      <c r="AO132" s="4">
        <v>1</v>
      </c>
      <c r="AP132" s="4">
        <v>0</v>
      </c>
      <c r="AQ132" s="4" t="s">
        <v>640</v>
      </c>
      <c r="AR132" s="4" t="s">
        <v>697</v>
      </c>
      <c r="AS132">
        <v>0</v>
      </c>
      <c r="AT132">
        <v>0</v>
      </c>
      <c r="AU132" s="33">
        <v>11231.000000000004</v>
      </c>
      <c r="AV132" s="36" t="s">
        <v>644</v>
      </c>
      <c r="AW132" s="4">
        <v>11221.999999999993</v>
      </c>
      <c r="AX132" s="4" t="str">
        <f>IFERROR(VLOOKUP(M132,Roster!$L$2:$M$27,2,FALSE),"")</f>
        <v>R</v>
      </c>
      <c r="AY132" s="4" t="str">
        <f t="shared" si="14"/>
        <v>0好0壞</v>
      </c>
      <c r="BI132" s="5" t="str">
        <f>Lineup!$G$2</f>
        <v>20210817</v>
      </c>
      <c r="BJ132" s="4" t="str">
        <f t="shared" si="13"/>
        <v>外角低</v>
      </c>
      <c r="BK132" s="4" t="str">
        <f t="shared" si="15"/>
        <v>1B0O</v>
      </c>
      <c r="BL132" s="4" t="str">
        <f>IFERROR(VLOOKUP(E132,Roster!$D$2:$E$27,2,FALSE),"")</f>
        <v>L</v>
      </c>
      <c r="BP132" s="49"/>
      <c r="BQ132" s="49"/>
      <c r="BR132" s="49"/>
      <c r="BS132" s="49"/>
      <c r="BT132" s="49"/>
      <c r="BU132" s="49"/>
      <c r="BY132" s="4">
        <f t="shared" si="11"/>
        <v>74.25</v>
      </c>
      <c r="BZ132" s="4">
        <f t="shared" si="12"/>
        <v>47.25</v>
      </c>
      <c r="CD132" s="5" t="str">
        <f>Lineup!$G$1</f>
        <v>一軍例行賽</v>
      </c>
      <c r="CE132" s="4">
        <f>Lineup!$I$1</f>
        <v>148</v>
      </c>
      <c r="CF132" s="5" t="str">
        <f>Lineup!$G$5</f>
        <v>王俊宏</v>
      </c>
      <c r="CG132" s="5" t="str">
        <f>Lineup!$G$4</f>
        <v>桃園</v>
      </c>
    </row>
    <row r="133" spans="1:85" x14ac:dyDescent="0.3">
      <c r="A133" s="4">
        <v>133</v>
      </c>
      <c r="B133" s="4">
        <v>4</v>
      </c>
      <c r="C133" s="4">
        <v>8</v>
      </c>
      <c r="D133" s="4">
        <v>7</v>
      </c>
      <c r="E133" s="4" t="s">
        <v>316</v>
      </c>
      <c r="F133" s="4" t="s">
        <v>343</v>
      </c>
      <c r="G133" s="4">
        <v>6</v>
      </c>
      <c r="H133" s="4">
        <v>3</v>
      </c>
      <c r="I133" s="4">
        <v>3</v>
      </c>
      <c r="J133" s="4">
        <v>1</v>
      </c>
      <c r="L133" s="4" t="s">
        <v>646</v>
      </c>
      <c r="M133" s="4" t="s">
        <v>231</v>
      </c>
      <c r="N133" s="4" t="s">
        <v>642</v>
      </c>
      <c r="O133" s="4">
        <v>114.75</v>
      </c>
      <c r="P133" s="4">
        <v>109.5</v>
      </c>
      <c r="Q133" s="4" t="s">
        <v>641</v>
      </c>
      <c r="AC133" s="4" t="s">
        <v>360</v>
      </c>
      <c r="AO133" s="4">
        <v>0</v>
      </c>
      <c r="AP133" s="4">
        <v>1</v>
      </c>
      <c r="AQ133" s="4" t="s">
        <v>652</v>
      </c>
      <c r="AS133">
        <v>0</v>
      </c>
      <c r="AT133">
        <v>0</v>
      </c>
      <c r="AU133" s="33">
        <v>11281.999999999993</v>
      </c>
      <c r="AV133" s="36" t="s">
        <v>644</v>
      </c>
      <c r="AW133" s="4">
        <v>11277.999999999995</v>
      </c>
      <c r="AX133" s="4" t="str">
        <f>IFERROR(VLOOKUP(M133,Roster!$L$2:$M$27,2,FALSE),"")</f>
        <v>L</v>
      </c>
      <c r="AY133" s="4" t="str">
        <f t="shared" si="14"/>
        <v>0好0壞</v>
      </c>
      <c r="BI133" s="5" t="str">
        <f>Lineup!$G$2</f>
        <v>20210817</v>
      </c>
      <c r="BJ133" s="4" t="str">
        <f t="shared" si="13"/>
        <v>偏外角低</v>
      </c>
      <c r="BK133" s="4" t="str">
        <f t="shared" si="15"/>
        <v>2B1O</v>
      </c>
      <c r="BL133" s="4" t="str">
        <f>IFERROR(VLOOKUP(E133,Roster!$D$2:$E$27,2,FALSE),"")</f>
        <v>L</v>
      </c>
      <c r="BP133" s="49"/>
      <c r="BQ133" s="49"/>
      <c r="BR133" s="49"/>
      <c r="BS133" s="49"/>
      <c r="BT133" s="49"/>
      <c r="BU133" s="49"/>
      <c r="BY133" s="4">
        <f t="shared" si="11"/>
        <v>76.5</v>
      </c>
      <c r="BZ133" s="4">
        <f t="shared" si="12"/>
        <v>246</v>
      </c>
      <c r="CD133" s="5" t="str">
        <f>Lineup!$G$1</f>
        <v>一軍例行賽</v>
      </c>
      <c r="CE133" s="4">
        <f>Lineup!$I$1</f>
        <v>148</v>
      </c>
      <c r="CF133" s="5" t="str">
        <f>Lineup!$G$5</f>
        <v>王俊宏</v>
      </c>
      <c r="CG133" s="5" t="str">
        <f>Lineup!$G$4</f>
        <v>桃園</v>
      </c>
    </row>
    <row r="134" spans="1:85" x14ac:dyDescent="0.3">
      <c r="A134" s="4">
        <v>134</v>
      </c>
      <c r="B134" s="4">
        <v>4</v>
      </c>
      <c r="C134" s="4">
        <v>8</v>
      </c>
      <c r="D134" s="4">
        <v>7</v>
      </c>
      <c r="E134" s="4" t="s">
        <v>316</v>
      </c>
      <c r="F134" s="4" t="s">
        <v>343</v>
      </c>
      <c r="G134" s="4">
        <v>7</v>
      </c>
      <c r="H134" s="4">
        <v>4</v>
      </c>
      <c r="I134" s="4">
        <v>3</v>
      </c>
      <c r="J134" s="4">
        <v>1</v>
      </c>
      <c r="K134" s="4">
        <v>132</v>
      </c>
      <c r="L134" s="4" t="s">
        <v>646</v>
      </c>
      <c r="M134" s="4" t="s">
        <v>231</v>
      </c>
      <c r="N134" s="4" t="s">
        <v>649</v>
      </c>
      <c r="O134" s="4">
        <v>101.25</v>
      </c>
      <c r="P134" s="4">
        <v>83.25</v>
      </c>
      <c r="Q134" s="4" t="s">
        <v>639</v>
      </c>
      <c r="R134" s="5" t="s">
        <v>657</v>
      </c>
      <c r="AC134" s="4" t="s">
        <v>360</v>
      </c>
      <c r="AO134" s="4">
        <v>1</v>
      </c>
      <c r="AP134" s="4">
        <v>1</v>
      </c>
      <c r="AQ134" s="4" t="s">
        <v>645</v>
      </c>
      <c r="AS134">
        <v>0</v>
      </c>
      <c r="AT134">
        <v>1</v>
      </c>
      <c r="AU134" s="33">
        <v>11316.999999999991</v>
      </c>
      <c r="AV134" s="36" t="s">
        <v>644</v>
      </c>
      <c r="AW134" s="4">
        <v>11304.000000000002</v>
      </c>
      <c r="AX134" s="4" t="str">
        <f>IFERROR(VLOOKUP(M134,Roster!$L$2:$M$27,2,FALSE),"")</f>
        <v>L</v>
      </c>
      <c r="AY134" s="4" t="str">
        <f t="shared" si="14"/>
        <v>0好1壞</v>
      </c>
      <c r="BI134" s="5" t="str">
        <f>Lineup!$G$2</f>
        <v>20210817</v>
      </c>
      <c r="BJ134" s="4" t="str">
        <f t="shared" si="13"/>
        <v>外角中</v>
      </c>
      <c r="BK134" s="4" t="str">
        <f t="shared" si="15"/>
        <v>2B1O</v>
      </c>
      <c r="BL134" s="4" t="str">
        <f>IFERROR(VLOOKUP(E134,Roster!$D$2:$E$27,2,FALSE),"")</f>
        <v>L</v>
      </c>
      <c r="BP134" s="49"/>
      <c r="BQ134" s="49"/>
      <c r="BR134" s="49"/>
      <c r="BS134" s="49"/>
      <c r="BT134" s="49"/>
      <c r="BU134" s="49"/>
      <c r="BY134" s="4">
        <f t="shared" si="11"/>
        <v>102.75</v>
      </c>
      <c r="BZ134" s="4">
        <f t="shared" si="12"/>
        <v>246</v>
      </c>
      <c r="CD134" s="5" t="str">
        <f>Lineup!$G$1</f>
        <v>一軍例行賽</v>
      </c>
      <c r="CE134" s="4">
        <f>Lineup!$I$1</f>
        <v>148</v>
      </c>
      <c r="CF134" s="5" t="str">
        <f>Lineup!$G$5</f>
        <v>王俊宏</v>
      </c>
      <c r="CG134" s="5" t="str">
        <f>Lineup!$G$4</f>
        <v>桃園</v>
      </c>
    </row>
    <row r="135" spans="1:85" x14ac:dyDescent="0.3">
      <c r="A135" s="4">
        <v>135</v>
      </c>
      <c r="B135" s="4">
        <v>4</v>
      </c>
      <c r="C135" s="4">
        <v>8</v>
      </c>
      <c r="D135" s="4">
        <v>7</v>
      </c>
      <c r="E135" s="4" t="s">
        <v>316</v>
      </c>
      <c r="F135" s="4" t="s">
        <v>343</v>
      </c>
      <c r="G135" s="4">
        <v>8</v>
      </c>
      <c r="H135" s="4">
        <v>5</v>
      </c>
      <c r="I135" s="4">
        <v>3</v>
      </c>
      <c r="J135" s="4">
        <v>1</v>
      </c>
      <c r="K135" s="4">
        <v>140</v>
      </c>
      <c r="L135" s="4" t="s">
        <v>643</v>
      </c>
      <c r="M135" s="4" t="s">
        <v>231</v>
      </c>
      <c r="N135" s="4" t="s">
        <v>642</v>
      </c>
      <c r="O135" s="4">
        <v>113.25</v>
      </c>
      <c r="P135" s="4">
        <v>100.5</v>
      </c>
      <c r="Q135" s="4" t="s">
        <v>639</v>
      </c>
      <c r="AC135" s="4" t="s">
        <v>360</v>
      </c>
      <c r="AO135" s="4">
        <v>2</v>
      </c>
      <c r="AP135" s="4">
        <v>1</v>
      </c>
      <c r="AQ135" s="4" t="s">
        <v>647</v>
      </c>
      <c r="AS135">
        <v>1</v>
      </c>
      <c r="AT135">
        <v>1</v>
      </c>
      <c r="AU135" s="33">
        <v>11371.999999999996</v>
      </c>
      <c r="AV135" s="36" t="s">
        <v>644</v>
      </c>
      <c r="AW135" s="4">
        <v>11368</v>
      </c>
      <c r="AX135" s="4" t="str">
        <f>IFERROR(VLOOKUP(M135,Roster!$L$2:$M$27,2,FALSE),"")</f>
        <v>L</v>
      </c>
      <c r="AY135" s="4" t="str">
        <f t="shared" si="14"/>
        <v>1好1壞</v>
      </c>
      <c r="BI135" s="5" t="str">
        <f>Lineup!$G$2</f>
        <v>20210817</v>
      </c>
      <c r="BJ135" s="4" t="str">
        <f t="shared" si="13"/>
        <v>偏外角中</v>
      </c>
      <c r="BK135" s="4" t="str">
        <f t="shared" si="15"/>
        <v>2B1O</v>
      </c>
      <c r="BL135" s="4" t="str">
        <f>IFERROR(VLOOKUP(E135,Roster!$D$2:$E$27,2,FALSE),"")</f>
        <v>L</v>
      </c>
      <c r="BP135" s="49"/>
      <c r="BQ135" s="49"/>
      <c r="BR135" s="49"/>
      <c r="BS135" s="49"/>
      <c r="BT135" s="49"/>
      <c r="BU135" s="49"/>
      <c r="BY135" s="4">
        <f t="shared" si="11"/>
        <v>85.5</v>
      </c>
      <c r="BZ135" s="4">
        <f t="shared" si="12"/>
        <v>246</v>
      </c>
      <c r="CD135" s="5" t="str">
        <f>Lineup!$G$1</f>
        <v>一軍例行賽</v>
      </c>
      <c r="CE135" s="4">
        <f>Lineup!$I$1</f>
        <v>148</v>
      </c>
      <c r="CF135" s="5" t="str">
        <f>Lineup!$G$5</f>
        <v>王俊宏</v>
      </c>
      <c r="CG135" s="5" t="str">
        <f>Lineup!$G$4</f>
        <v>桃園</v>
      </c>
    </row>
    <row r="136" spans="1:85" x14ac:dyDescent="0.3">
      <c r="A136" s="4">
        <v>136</v>
      </c>
      <c r="B136" s="4">
        <v>4</v>
      </c>
      <c r="C136" s="4">
        <v>8</v>
      </c>
      <c r="D136" s="4">
        <v>7</v>
      </c>
      <c r="E136" s="4" t="s">
        <v>316</v>
      </c>
      <c r="F136" s="4" t="s">
        <v>343</v>
      </c>
      <c r="G136" s="4">
        <v>9</v>
      </c>
      <c r="H136" s="4">
        <v>6</v>
      </c>
      <c r="I136" s="4">
        <v>3</v>
      </c>
      <c r="J136" s="4">
        <v>1</v>
      </c>
      <c r="K136" s="4">
        <v>132</v>
      </c>
      <c r="L136" s="4" t="s">
        <v>643</v>
      </c>
      <c r="M136" s="4" t="s">
        <v>231</v>
      </c>
      <c r="N136" s="4" t="s">
        <v>649</v>
      </c>
      <c r="O136" s="4">
        <v>111.75</v>
      </c>
      <c r="P136" s="4">
        <v>69</v>
      </c>
      <c r="Q136" s="4" t="s">
        <v>639</v>
      </c>
      <c r="R136" s="5" t="s">
        <v>696</v>
      </c>
      <c r="AC136" s="4" t="s">
        <v>360</v>
      </c>
      <c r="AO136" s="4">
        <v>2</v>
      </c>
      <c r="AP136" s="4">
        <v>1</v>
      </c>
      <c r="AQ136" s="4" t="s">
        <v>647</v>
      </c>
      <c r="AS136">
        <v>2</v>
      </c>
      <c r="AT136">
        <v>1</v>
      </c>
      <c r="AU136" s="33">
        <v>11404.999999999993</v>
      </c>
      <c r="AV136" s="36" t="s">
        <v>644</v>
      </c>
      <c r="AW136" s="4">
        <v>11400.999999999995</v>
      </c>
      <c r="AX136" s="4" t="str">
        <f>IFERROR(VLOOKUP(M136,Roster!$L$2:$M$27,2,FALSE),"")</f>
        <v>L</v>
      </c>
      <c r="AY136" s="4" t="str">
        <f t="shared" si="14"/>
        <v>2好1壞</v>
      </c>
      <c r="BI136" s="5" t="str">
        <f>Lineup!$G$2</f>
        <v>20210817</v>
      </c>
      <c r="BJ136" s="4" t="str">
        <f t="shared" si="13"/>
        <v>偏外角高</v>
      </c>
      <c r="BK136" s="4" t="str">
        <f t="shared" si="15"/>
        <v>2B1O</v>
      </c>
      <c r="BL136" s="4" t="str">
        <f>IFERROR(VLOOKUP(E136,Roster!$D$2:$E$27,2,FALSE),"")</f>
        <v>L</v>
      </c>
      <c r="BP136" s="49"/>
      <c r="BQ136" s="49"/>
      <c r="BR136" s="49"/>
      <c r="BS136" s="49"/>
      <c r="BT136" s="49"/>
      <c r="BU136" s="49"/>
      <c r="BY136" s="4">
        <f t="shared" si="11"/>
        <v>117</v>
      </c>
      <c r="BZ136" s="4">
        <f t="shared" si="12"/>
        <v>246</v>
      </c>
      <c r="CD136" s="5" t="str">
        <f>Lineup!$G$1</f>
        <v>一軍例行賽</v>
      </c>
      <c r="CE136" s="4">
        <f>Lineup!$I$1</f>
        <v>148</v>
      </c>
      <c r="CF136" s="5" t="str">
        <f>Lineup!$G$5</f>
        <v>王俊宏</v>
      </c>
      <c r="CG136" s="5" t="str">
        <f>Lineup!$G$4</f>
        <v>桃園</v>
      </c>
    </row>
    <row r="137" spans="1:85" x14ac:dyDescent="0.3">
      <c r="A137" s="4">
        <v>137</v>
      </c>
      <c r="B137" s="4">
        <v>4</v>
      </c>
      <c r="C137" s="4">
        <v>8</v>
      </c>
      <c r="D137" s="4">
        <v>7</v>
      </c>
      <c r="E137" s="4" t="s">
        <v>316</v>
      </c>
      <c r="F137" s="4" t="s">
        <v>343</v>
      </c>
      <c r="G137" s="4">
        <v>10</v>
      </c>
      <c r="H137" s="4">
        <v>6</v>
      </c>
      <c r="I137" s="4">
        <v>4</v>
      </c>
      <c r="J137" s="4">
        <v>1</v>
      </c>
      <c r="K137" s="4">
        <v>134</v>
      </c>
      <c r="L137" s="4" t="s">
        <v>643</v>
      </c>
      <c r="M137" s="4" t="s">
        <v>231</v>
      </c>
      <c r="N137" s="4" t="s">
        <v>642</v>
      </c>
      <c r="O137" s="4">
        <v>106.5</v>
      </c>
      <c r="P137" s="4">
        <v>145.5</v>
      </c>
      <c r="Q137" s="4" t="s">
        <v>641</v>
      </c>
      <c r="R137" s="5" t="s">
        <v>731</v>
      </c>
      <c r="AD137" s="4" t="s">
        <v>360</v>
      </c>
      <c r="AE137" s="4" t="s">
        <v>661</v>
      </c>
      <c r="AF137" s="4" t="s">
        <v>661</v>
      </c>
      <c r="AG137" s="4" t="s">
        <v>661</v>
      </c>
      <c r="AO137" s="4">
        <v>2</v>
      </c>
      <c r="AP137" s="4">
        <v>2</v>
      </c>
      <c r="AQ137" s="4" t="s">
        <v>655</v>
      </c>
      <c r="AS137">
        <v>2</v>
      </c>
      <c r="AT137">
        <v>1</v>
      </c>
      <c r="AU137" s="33">
        <v>11445.999999999993</v>
      </c>
      <c r="AV137" s="36" t="s">
        <v>644</v>
      </c>
      <c r="AW137" s="4">
        <v>11430.999999999989</v>
      </c>
      <c r="AX137" s="4" t="str">
        <f>IFERROR(VLOOKUP(M137,Roster!$L$2:$M$27,2,FALSE),"")</f>
        <v>L</v>
      </c>
      <c r="AY137" s="4" t="str">
        <f t="shared" si="14"/>
        <v>2好1壞</v>
      </c>
      <c r="BI137" s="5" t="str">
        <f>Lineup!$G$2</f>
        <v>20210817</v>
      </c>
      <c r="BJ137" s="4" t="str">
        <f t="shared" si="13"/>
        <v>偏外角偏低</v>
      </c>
      <c r="BK137" s="4" t="str">
        <f t="shared" si="15"/>
        <v>2B1O</v>
      </c>
      <c r="BL137" s="4" t="str">
        <f>IFERROR(VLOOKUP(E137,Roster!$D$2:$E$27,2,FALSE),"")</f>
        <v>L</v>
      </c>
      <c r="BP137" s="49"/>
      <c r="BQ137" s="49"/>
      <c r="BR137" s="49"/>
      <c r="BS137" s="49"/>
      <c r="BT137" s="49"/>
      <c r="BU137" s="49"/>
      <c r="BY137" s="4">
        <f t="shared" si="11"/>
        <v>40.5</v>
      </c>
      <c r="BZ137" s="4">
        <f t="shared" si="12"/>
        <v>246</v>
      </c>
      <c r="CD137" s="5" t="str">
        <f>Lineup!$G$1</f>
        <v>一軍例行賽</v>
      </c>
      <c r="CE137" s="4">
        <f>Lineup!$I$1</f>
        <v>148</v>
      </c>
      <c r="CF137" s="5" t="str">
        <f>Lineup!$G$5</f>
        <v>王俊宏</v>
      </c>
      <c r="CG137" s="5" t="str">
        <f>Lineup!$G$4</f>
        <v>桃園</v>
      </c>
    </row>
    <row r="138" spans="1:85" x14ac:dyDescent="0.3">
      <c r="A138" s="4">
        <v>138</v>
      </c>
      <c r="B138" s="4">
        <v>4</v>
      </c>
      <c r="C138" s="4">
        <v>8</v>
      </c>
      <c r="D138" s="4">
        <v>7</v>
      </c>
      <c r="E138" s="4" t="s">
        <v>316</v>
      </c>
      <c r="F138" s="4" t="s">
        <v>343</v>
      </c>
      <c r="G138" s="4">
        <v>11</v>
      </c>
      <c r="H138" s="4">
        <v>7</v>
      </c>
      <c r="I138" s="4">
        <v>4</v>
      </c>
      <c r="J138" s="4">
        <v>2</v>
      </c>
      <c r="K138" s="4">
        <v>131</v>
      </c>
      <c r="L138" s="4" t="s">
        <v>646</v>
      </c>
      <c r="M138" s="4" t="s">
        <v>231</v>
      </c>
      <c r="N138" s="4" t="s">
        <v>649</v>
      </c>
      <c r="O138" s="4">
        <v>90.75</v>
      </c>
      <c r="P138" s="4">
        <v>108</v>
      </c>
      <c r="Q138" s="4" t="s">
        <v>639</v>
      </c>
      <c r="R138" s="5" t="s">
        <v>685</v>
      </c>
      <c r="AD138" s="4" t="s">
        <v>360</v>
      </c>
      <c r="AI138" s="4" t="s">
        <v>231</v>
      </c>
      <c r="AK138" s="4">
        <v>1</v>
      </c>
      <c r="AM138" s="4">
        <v>1</v>
      </c>
      <c r="AO138" s="4">
        <v>3</v>
      </c>
      <c r="AP138" s="4">
        <v>2</v>
      </c>
      <c r="AQ138" s="4" t="s">
        <v>683</v>
      </c>
      <c r="AR138" s="4" t="s">
        <v>710</v>
      </c>
      <c r="AS138">
        <v>2</v>
      </c>
      <c r="AT138">
        <v>2</v>
      </c>
      <c r="AU138" s="33">
        <v>11491.999999999996</v>
      </c>
      <c r="AV138" s="36" t="s">
        <v>644</v>
      </c>
      <c r="AW138" s="4">
        <v>11485.999999999995</v>
      </c>
      <c r="AX138" s="4" t="str">
        <f>IFERROR(VLOOKUP(M138,Roster!$L$2:$M$27,2,FALSE),"")</f>
        <v>L</v>
      </c>
      <c r="AY138" s="4" t="str">
        <f t="shared" si="14"/>
        <v>2好2壞</v>
      </c>
      <c r="BI138" s="5" t="str">
        <f>Lineup!$G$2</f>
        <v>20210817</v>
      </c>
      <c r="BJ138" s="4" t="str">
        <f t="shared" si="13"/>
        <v>外角低</v>
      </c>
      <c r="BK138" s="4" t="str">
        <f t="shared" si="15"/>
        <v>3B1O</v>
      </c>
      <c r="BL138" s="4" t="str">
        <f>IFERROR(VLOOKUP(E138,Roster!$D$2:$E$27,2,FALSE),"")</f>
        <v>L</v>
      </c>
      <c r="BP138" s="49"/>
      <c r="BQ138" s="49"/>
      <c r="BR138" s="49"/>
      <c r="BS138" s="49"/>
      <c r="BT138" s="49"/>
      <c r="BU138" s="49"/>
      <c r="BY138" s="4">
        <f t="shared" si="11"/>
        <v>78</v>
      </c>
      <c r="BZ138" s="4">
        <f t="shared" si="12"/>
        <v>246</v>
      </c>
      <c r="CD138" s="5" t="str">
        <f>Lineup!$G$1</f>
        <v>一軍例行賽</v>
      </c>
      <c r="CE138" s="4">
        <f>Lineup!$I$1</f>
        <v>148</v>
      </c>
      <c r="CF138" s="5" t="str">
        <f>Lineup!$G$5</f>
        <v>王俊宏</v>
      </c>
      <c r="CG138" s="5" t="str">
        <f>Lineup!$G$4</f>
        <v>桃園</v>
      </c>
    </row>
    <row r="139" spans="1:85" x14ac:dyDescent="0.3">
      <c r="A139" s="4">
        <v>139</v>
      </c>
      <c r="B139" s="4">
        <v>4</v>
      </c>
      <c r="C139" s="4">
        <v>8</v>
      </c>
      <c r="D139" s="4">
        <v>7</v>
      </c>
      <c r="E139" s="4" t="s">
        <v>316</v>
      </c>
      <c r="F139" s="4" t="s">
        <v>343</v>
      </c>
      <c r="G139" s="4">
        <v>12</v>
      </c>
      <c r="H139" s="4">
        <v>7</v>
      </c>
      <c r="I139" s="4">
        <v>5</v>
      </c>
      <c r="J139" s="4">
        <v>2</v>
      </c>
      <c r="K139" s="4">
        <v>131</v>
      </c>
      <c r="L139" s="4" t="s">
        <v>646</v>
      </c>
      <c r="M139" s="4" t="s">
        <v>350</v>
      </c>
      <c r="N139" s="4" t="s">
        <v>642</v>
      </c>
      <c r="O139" s="4">
        <v>94.5</v>
      </c>
      <c r="P139" s="4">
        <v>78</v>
      </c>
      <c r="Q139" s="4" t="s">
        <v>109</v>
      </c>
      <c r="AD139" s="4" t="s">
        <v>360</v>
      </c>
      <c r="AO139" s="4">
        <v>0</v>
      </c>
      <c r="AP139" s="4">
        <v>1</v>
      </c>
      <c r="AQ139" s="4" t="s">
        <v>652</v>
      </c>
      <c r="AS139">
        <v>0</v>
      </c>
      <c r="AT139">
        <v>0</v>
      </c>
      <c r="AU139" s="33">
        <v>11529.999999999996</v>
      </c>
      <c r="AV139" s="36" t="s">
        <v>644</v>
      </c>
      <c r="AW139" s="4">
        <v>11525.999999999989</v>
      </c>
      <c r="AX139" s="4" t="str">
        <f>IFERROR(VLOOKUP(M139,Roster!$L$2:$M$27,2,FALSE),"")</f>
        <v>L</v>
      </c>
      <c r="AY139" s="4" t="str">
        <f t="shared" si="14"/>
        <v>0好0壞</v>
      </c>
      <c r="BI139" s="5" t="str">
        <f>Lineup!$G$2</f>
        <v>20210817</v>
      </c>
      <c r="BJ139" s="4" t="str">
        <f t="shared" si="13"/>
        <v>外角高</v>
      </c>
      <c r="BK139" s="4" t="str">
        <f t="shared" si="15"/>
        <v>3B2O</v>
      </c>
      <c r="BL139" s="4" t="str">
        <f>IFERROR(VLOOKUP(E139,Roster!$D$2:$E$27,2,FALSE),"")</f>
        <v>L</v>
      </c>
      <c r="BP139" s="49"/>
      <c r="BQ139" s="49"/>
      <c r="BR139" s="49"/>
      <c r="BS139" s="49"/>
      <c r="BT139" s="49"/>
      <c r="BU139" s="49"/>
      <c r="BY139" s="4">
        <f t="shared" si="11"/>
        <v>108</v>
      </c>
      <c r="BZ139" s="4">
        <f t="shared" si="12"/>
        <v>246</v>
      </c>
      <c r="CD139" s="5" t="str">
        <f>Lineup!$G$1</f>
        <v>一軍例行賽</v>
      </c>
      <c r="CE139" s="4">
        <f>Lineup!$I$1</f>
        <v>148</v>
      </c>
      <c r="CF139" s="5" t="str">
        <f>Lineup!$G$5</f>
        <v>王俊宏</v>
      </c>
      <c r="CG139" s="5" t="str">
        <f>Lineup!$G$4</f>
        <v>桃園</v>
      </c>
    </row>
    <row r="140" spans="1:85" x14ac:dyDescent="0.3">
      <c r="A140" s="4">
        <v>140</v>
      </c>
      <c r="B140" s="4">
        <v>4</v>
      </c>
      <c r="C140" s="4">
        <v>9</v>
      </c>
      <c r="D140" s="4">
        <v>7</v>
      </c>
      <c r="E140" s="4" t="s">
        <v>316</v>
      </c>
      <c r="F140" s="4" t="s">
        <v>343</v>
      </c>
      <c r="G140" s="4">
        <v>13</v>
      </c>
      <c r="H140" s="4">
        <v>8</v>
      </c>
      <c r="I140" s="4">
        <v>5</v>
      </c>
      <c r="J140" s="4">
        <v>2</v>
      </c>
      <c r="K140" s="4">
        <v>142</v>
      </c>
      <c r="L140" s="4" t="s">
        <v>643</v>
      </c>
      <c r="M140" s="4" t="s">
        <v>350</v>
      </c>
      <c r="N140" s="4" t="s">
        <v>649</v>
      </c>
      <c r="O140" s="4">
        <v>57.75</v>
      </c>
      <c r="P140" s="4">
        <v>77.25</v>
      </c>
      <c r="Q140" s="4" t="s">
        <v>639</v>
      </c>
      <c r="R140" s="5" t="s">
        <v>656</v>
      </c>
      <c r="S140" s="4">
        <v>175.5</v>
      </c>
      <c r="T140" s="4">
        <v>93</v>
      </c>
      <c r="U140" s="4" t="s">
        <v>571</v>
      </c>
      <c r="AB140" s="4" t="s">
        <v>350</v>
      </c>
      <c r="AE140" s="4" t="s">
        <v>711</v>
      </c>
      <c r="AF140" s="4" t="s">
        <v>661</v>
      </c>
      <c r="AG140" s="4" t="s">
        <v>661</v>
      </c>
      <c r="AM140" s="4">
        <v>1</v>
      </c>
      <c r="AO140" s="4">
        <v>1</v>
      </c>
      <c r="AP140" s="4">
        <v>1</v>
      </c>
      <c r="AQ140" s="4" t="s">
        <v>645</v>
      </c>
      <c r="AS140">
        <v>0</v>
      </c>
      <c r="AT140">
        <v>1</v>
      </c>
      <c r="AU140" s="33">
        <v>11561.999999999995</v>
      </c>
      <c r="AV140" s="36" t="s">
        <v>644</v>
      </c>
      <c r="AW140" s="4">
        <v>11551</v>
      </c>
      <c r="AX140" s="4" t="str">
        <f>IFERROR(VLOOKUP(M140,Roster!$L$2:$M$27,2,FALSE),"")</f>
        <v>L</v>
      </c>
      <c r="AY140" s="4" t="str">
        <f t="shared" si="14"/>
        <v>0好1壞</v>
      </c>
      <c r="BI140" s="5" t="str">
        <f>Lineup!$G$2</f>
        <v>20210817</v>
      </c>
      <c r="BJ140" s="4" t="str">
        <f t="shared" si="13"/>
        <v>內角高</v>
      </c>
      <c r="BK140" s="4" t="str">
        <f t="shared" si="15"/>
        <v>3B2O</v>
      </c>
      <c r="BL140" s="4" t="str">
        <f>IFERROR(VLOOKUP(E140,Roster!$D$2:$E$27,2,FALSE),"")</f>
        <v>L</v>
      </c>
      <c r="BP140" s="49"/>
      <c r="BQ140" s="49"/>
      <c r="BR140" s="49"/>
      <c r="BS140" s="49"/>
      <c r="BT140" s="49"/>
      <c r="BU140" s="49"/>
      <c r="BY140" s="4">
        <f t="shared" si="11"/>
        <v>108.75</v>
      </c>
      <c r="BZ140" s="4">
        <f t="shared" si="12"/>
        <v>153</v>
      </c>
      <c r="CD140" s="5" t="str">
        <f>Lineup!$G$1</f>
        <v>一軍例行賽</v>
      </c>
      <c r="CE140" s="4">
        <f>Lineup!$I$1</f>
        <v>148</v>
      </c>
      <c r="CF140" s="5" t="str">
        <f>Lineup!$G$5</f>
        <v>王俊宏</v>
      </c>
      <c r="CG140" s="5" t="str">
        <f>Lineup!$G$4</f>
        <v>桃園</v>
      </c>
    </row>
    <row r="141" spans="1:85" x14ac:dyDescent="0.3">
      <c r="A141" s="4">
        <v>141</v>
      </c>
      <c r="B141" s="4">
        <v>4</v>
      </c>
      <c r="C141" s="4">
        <v>9</v>
      </c>
      <c r="D141" s="4">
        <v>7</v>
      </c>
      <c r="E141" s="4" t="s">
        <v>316</v>
      </c>
      <c r="F141" s="4" t="s">
        <v>343</v>
      </c>
      <c r="G141" s="4">
        <v>14</v>
      </c>
      <c r="H141" s="4">
        <v>8</v>
      </c>
      <c r="I141" s="4">
        <v>6</v>
      </c>
      <c r="J141" s="4">
        <v>2</v>
      </c>
      <c r="L141" s="4" t="s">
        <v>643</v>
      </c>
      <c r="M141" s="4" t="s">
        <v>369</v>
      </c>
      <c r="N141" s="4" t="s">
        <v>642</v>
      </c>
      <c r="O141" s="4">
        <v>118.5</v>
      </c>
      <c r="P141" s="4">
        <v>115.5</v>
      </c>
      <c r="Q141" s="4" t="s">
        <v>641</v>
      </c>
      <c r="AB141" s="4" t="s">
        <v>350</v>
      </c>
      <c r="AO141" s="4">
        <v>0</v>
      </c>
      <c r="AP141" s="4">
        <v>1</v>
      </c>
      <c r="AQ141" s="4" t="s">
        <v>652</v>
      </c>
      <c r="AS141">
        <v>0</v>
      </c>
      <c r="AT141">
        <v>0</v>
      </c>
      <c r="AU141" s="33">
        <v>11609.000000000005</v>
      </c>
      <c r="AV141" s="36" t="s">
        <v>644</v>
      </c>
      <c r="AW141" s="4">
        <v>11604.999999999998</v>
      </c>
      <c r="AX141" s="4" t="str">
        <f>IFERROR(VLOOKUP(M141,Roster!$L$2:$M$27,2,FALSE),"")</f>
        <v>R</v>
      </c>
      <c r="AY141" s="4" t="str">
        <f t="shared" si="14"/>
        <v>0好0壞</v>
      </c>
      <c r="BI141" s="5" t="str">
        <f>Lineup!$G$2</f>
        <v>20210817</v>
      </c>
      <c r="BJ141" s="4" t="str">
        <f t="shared" si="13"/>
        <v>偏內角低</v>
      </c>
      <c r="BK141" s="4" t="str">
        <f t="shared" si="15"/>
        <v>1B2O</v>
      </c>
      <c r="BL141" s="4" t="str">
        <f>IFERROR(VLOOKUP(E141,Roster!$D$2:$E$27,2,FALSE),"")</f>
        <v>L</v>
      </c>
      <c r="BP141" s="49"/>
      <c r="BQ141" s="49"/>
      <c r="BR141" s="49"/>
      <c r="BS141" s="49"/>
      <c r="BT141" s="49"/>
      <c r="BU141" s="49"/>
      <c r="BY141" s="4">
        <f t="shared" si="11"/>
        <v>70.5</v>
      </c>
      <c r="BZ141" s="4">
        <f t="shared" si="12"/>
        <v>246</v>
      </c>
      <c r="CD141" s="5" t="str">
        <f>Lineup!$G$1</f>
        <v>一軍例行賽</v>
      </c>
      <c r="CE141" s="4">
        <f>Lineup!$I$1</f>
        <v>148</v>
      </c>
      <c r="CF141" s="5" t="str">
        <f>Lineup!$G$5</f>
        <v>王俊宏</v>
      </c>
      <c r="CG141" s="5" t="str">
        <f>Lineup!$G$4</f>
        <v>桃園</v>
      </c>
    </row>
    <row r="142" spans="1:85" x14ac:dyDescent="0.3">
      <c r="A142" s="4">
        <v>142</v>
      </c>
      <c r="B142" s="4">
        <v>4</v>
      </c>
      <c r="C142" s="4">
        <v>9</v>
      </c>
      <c r="D142" s="4">
        <v>7</v>
      </c>
      <c r="E142" s="4" t="s">
        <v>316</v>
      </c>
      <c r="F142" s="4" t="s">
        <v>343</v>
      </c>
      <c r="G142" s="4">
        <v>15</v>
      </c>
      <c r="H142" s="4">
        <v>8</v>
      </c>
      <c r="I142" s="4">
        <v>7</v>
      </c>
      <c r="J142" s="4">
        <v>2</v>
      </c>
      <c r="K142" s="4">
        <v>139</v>
      </c>
      <c r="L142" s="4" t="s">
        <v>643</v>
      </c>
      <c r="M142" s="4" t="s">
        <v>369</v>
      </c>
      <c r="N142" s="4" t="s">
        <v>642</v>
      </c>
      <c r="O142" s="4">
        <v>102.75</v>
      </c>
      <c r="P142" s="4">
        <v>123.75</v>
      </c>
      <c r="Q142" s="4" t="s">
        <v>641</v>
      </c>
      <c r="AB142" s="4" t="s">
        <v>350</v>
      </c>
      <c r="AO142" s="4">
        <v>0</v>
      </c>
      <c r="AP142" s="4">
        <v>2</v>
      </c>
      <c r="AQ142" s="4" t="s">
        <v>653</v>
      </c>
      <c r="AS142">
        <v>0</v>
      </c>
      <c r="AT142">
        <v>1</v>
      </c>
      <c r="AU142" s="33">
        <v>11683.999999999998</v>
      </c>
      <c r="AV142" s="36" t="s">
        <v>644</v>
      </c>
      <c r="AW142" s="4">
        <v>11677</v>
      </c>
      <c r="AX142" s="4" t="str">
        <f>IFERROR(VLOOKUP(M142,Roster!$L$2:$M$27,2,FALSE),"")</f>
        <v>R</v>
      </c>
      <c r="AY142" s="4" t="str">
        <f t="shared" si="14"/>
        <v>0好1壞</v>
      </c>
      <c r="BI142" s="5" t="str">
        <f>Lineup!$G$2</f>
        <v>20210817</v>
      </c>
      <c r="BJ142" s="4" t="str">
        <f t="shared" si="13"/>
        <v>內角低</v>
      </c>
      <c r="BK142" s="4" t="str">
        <f t="shared" si="15"/>
        <v>1B2O</v>
      </c>
      <c r="BL142" s="4" t="str">
        <f>IFERROR(VLOOKUP(E142,Roster!$D$2:$E$27,2,FALSE),"")</f>
        <v>L</v>
      </c>
      <c r="BP142" s="49"/>
      <c r="BQ142" s="49"/>
      <c r="BR142" s="49"/>
      <c r="BS142" s="49"/>
      <c r="BT142" s="49"/>
      <c r="BU142" s="49"/>
      <c r="BY142" s="4">
        <f t="shared" si="11"/>
        <v>62.25</v>
      </c>
      <c r="BZ142" s="4">
        <f t="shared" si="12"/>
        <v>246</v>
      </c>
      <c r="CD142" s="5" t="str">
        <f>Lineup!$G$1</f>
        <v>一軍例行賽</v>
      </c>
      <c r="CE142" s="4">
        <f>Lineup!$I$1</f>
        <v>148</v>
      </c>
      <c r="CF142" s="5" t="str">
        <f>Lineup!$G$5</f>
        <v>王俊宏</v>
      </c>
      <c r="CG142" s="5" t="str">
        <f>Lineup!$G$4</f>
        <v>桃園</v>
      </c>
    </row>
    <row r="143" spans="1:85" x14ac:dyDescent="0.3">
      <c r="A143" s="4">
        <v>143</v>
      </c>
      <c r="B143" s="4">
        <v>4</v>
      </c>
      <c r="C143" s="4">
        <v>9</v>
      </c>
      <c r="D143" s="4">
        <v>7</v>
      </c>
      <c r="E143" s="4" t="s">
        <v>316</v>
      </c>
      <c r="F143" s="4" t="s">
        <v>343</v>
      </c>
      <c r="G143" s="4">
        <v>16</v>
      </c>
      <c r="H143" s="4">
        <v>9</v>
      </c>
      <c r="I143" s="4">
        <v>7</v>
      </c>
      <c r="J143" s="4">
        <v>2</v>
      </c>
      <c r="K143" s="4">
        <v>140</v>
      </c>
      <c r="L143" s="4" t="s">
        <v>643</v>
      </c>
      <c r="M143" s="4" t="s">
        <v>369</v>
      </c>
      <c r="N143" s="4" t="s">
        <v>642</v>
      </c>
      <c r="O143" s="4">
        <v>42</v>
      </c>
      <c r="P143" s="4">
        <v>80.25</v>
      </c>
      <c r="Q143" s="4" t="s">
        <v>639</v>
      </c>
      <c r="AB143" s="4" t="s">
        <v>350</v>
      </c>
      <c r="AO143" s="4">
        <v>1</v>
      </c>
      <c r="AP143" s="4">
        <v>2</v>
      </c>
      <c r="AQ143" s="4" t="s">
        <v>654</v>
      </c>
      <c r="AS143">
        <v>0</v>
      </c>
      <c r="AT143">
        <v>2</v>
      </c>
      <c r="AU143" s="33">
        <v>11713.999999999993</v>
      </c>
      <c r="AV143" s="36" t="s">
        <v>644</v>
      </c>
      <c r="AW143" s="4">
        <v>11708.999999999989</v>
      </c>
      <c r="AX143" s="4" t="str">
        <f>IFERROR(VLOOKUP(M143,Roster!$L$2:$M$27,2,FALSE),"")</f>
        <v>R</v>
      </c>
      <c r="AY143" s="4" t="str">
        <f t="shared" si="14"/>
        <v>0好2壞</v>
      </c>
      <c r="BI143" s="5" t="str">
        <f>Lineup!$G$2</f>
        <v>20210817</v>
      </c>
      <c r="BJ143" s="4" t="str">
        <f t="shared" si="13"/>
        <v>偏外角中</v>
      </c>
      <c r="BK143" s="4" t="str">
        <f t="shared" si="15"/>
        <v>1B2O</v>
      </c>
      <c r="BL143" s="4" t="str">
        <f>IFERROR(VLOOKUP(E143,Roster!$D$2:$E$27,2,FALSE),"")</f>
        <v>L</v>
      </c>
      <c r="BP143" s="49"/>
      <c r="BQ143" s="49"/>
      <c r="BR143" s="49"/>
      <c r="BS143" s="49"/>
      <c r="BT143" s="49"/>
      <c r="BU143" s="49"/>
      <c r="BY143" s="4">
        <f t="shared" si="11"/>
        <v>105.75</v>
      </c>
      <c r="BZ143" s="4">
        <f t="shared" si="12"/>
        <v>246</v>
      </c>
      <c r="CD143" s="5" t="str">
        <f>Lineup!$G$1</f>
        <v>一軍例行賽</v>
      </c>
      <c r="CE143" s="4">
        <f>Lineup!$I$1</f>
        <v>148</v>
      </c>
      <c r="CF143" s="5" t="str">
        <f>Lineup!$G$5</f>
        <v>王俊宏</v>
      </c>
      <c r="CG143" s="5" t="str">
        <f>Lineup!$G$4</f>
        <v>桃園</v>
      </c>
    </row>
    <row r="144" spans="1:85" x14ac:dyDescent="0.3">
      <c r="A144" s="4">
        <v>144</v>
      </c>
      <c r="B144" s="4">
        <v>4</v>
      </c>
      <c r="C144" s="4">
        <v>9</v>
      </c>
      <c r="D144" s="4">
        <v>7</v>
      </c>
      <c r="E144" s="4" t="s">
        <v>316</v>
      </c>
      <c r="F144" s="4" t="s">
        <v>343</v>
      </c>
      <c r="G144" s="4">
        <v>17</v>
      </c>
      <c r="H144" s="4">
        <v>10</v>
      </c>
      <c r="I144" s="4">
        <v>7</v>
      </c>
      <c r="J144" s="4">
        <v>3</v>
      </c>
      <c r="K144" s="4">
        <v>132</v>
      </c>
      <c r="L144" s="4" t="s">
        <v>646</v>
      </c>
      <c r="M144" s="4" t="s">
        <v>369</v>
      </c>
      <c r="N144" s="4" t="s">
        <v>649</v>
      </c>
      <c r="O144" s="4">
        <v>58.5</v>
      </c>
      <c r="P144" s="4">
        <v>112.5</v>
      </c>
      <c r="Q144" s="4" t="s">
        <v>109</v>
      </c>
      <c r="R144" s="5" t="s">
        <v>676</v>
      </c>
      <c r="S144" s="4">
        <v>251.25</v>
      </c>
      <c r="T144" s="4">
        <v>96.75</v>
      </c>
      <c r="U144" s="4" t="s">
        <v>381</v>
      </c>
      <c r="AB144" s="4" t="s">
        <v>350</v>
      </c>
      <c r="AE144" s="4" t="s">
        <v>661</v>
      </c>
      <c r="AF144" s="4" t="s">
        <v>661</v>
      </c>
      <c r="AG144" s="4" t="s">
        <v>661</v>
      </c>
      <c r="AJ144" s="4" t="s">
        <v>369</v>
      </c>
      <c r="AK144" s="4">
        <v>1</v>
      </c>
      <c r="AM144" s="4">
        <v>1</v>
      </c>
      <c r="AO144" s="4">
        <v>2</v>
      </c>
      <c r="AP144" s="4">
        <v>2</v>
      </c>
      <c r="AQ144" s="4" t="s">
        <v>655</v>
      </c>
      <c r="AR144" s="4" t="s">
        <v>667</v>
      </c>
      <c r="AS144">
        <v>1</v>
      </c>
      <c r="AT144">
        <v>2</v>
      </c>
      <c r="AU144" s="33">
        <v>11746</v>
      </c>
      <c r="AV144" s="36" t="s">
        <v>644</v>
      </c>
      <c r="AW144" s="4">
        <v>11737</v>
      </c>
      <c r="AX144" s="4" t="str">
        <f>IFERROR(VLOOKUP(M144,Roster!$L$2:$M$27,2,FALSE),"")</f>
        <v>R</v>
      </c>
      <c r="AY144" s="4" t="str">
        <f t="shared" si="14"/>
        <v>1好2壞</v>
      </c>
      <c r="BI144" s="5" t="str">
        <f>Lineup!$G$2</f>
        <v>20210817</v>
      </c>
      <c r="BJ144" s="4" t="str">
        <f t="shared" si="13"/>
        <v>外角低</v>
      </c>
      <c r="BK144" s="4" t="str">
        <f t="shared" si="15"/>
        <v>1B2O</v>
      </c>
      <c r="BL144" s="4" t="str">
        <f>IFERROR(VLOOKUP(E144,Roster!$D$2:$E$27,2,FALSE),"")</f>
        <v>L</v>
      </c>
      <c r="BP144" s="49"/>
      <c r="BQ144" s="49"/>
      <c r="BR144" s="49"/>
      <c r="BS144" s="49"/>
      <c r="BT144" s="49"/>
      <c r="BU144" s="49"/>
      <c r="BY144" s="4">
        <f t="shared" si="11"/>
        <v>73.5</v>
      </c>
      <c r="BZ144" s="4">
        <f t="shared" si="12"/>
        <v>149.25</v>
      </c>
      <c r="CD144" s="5" t="str">
        <f>Lineup!$G$1</f>
        <v>一軍例行賽</v>
      </c>
      <c r="CE144" s="4">
        <f>Lineup!$I$1</f>
        <v>148</v>
      </c>
      <c r="CF144" s="5" t="str">
        <f>Lineup!$G$5</f>
        <v>王俊宏</v>
      </c>
      <c r="CG144" s="5" t="str">
        <f>Lineup!$G$4</f>
        <v>桃園</v>
      </c>
    </row>
    <row r="145" spans="1:85" x14ac:dyDescent="0.3">
      <c r="A145" s="4">
        <v>145</v>
      </c>
      <c r="B145" s="4">
        <v>4</v>
      </c>
      <c r="C145" s="4">
        <v>9</v>
      </c>
      <c r="D145" s="4">
        <v>8</v>
      </c>
      <c r="E145" s="4" t="s">
        <v>605</v>
      </c>
      <c r="F145" s="4" t="s">
        <v>343</v>
      </c>
      <c r="G145" s="4">
        <v>1</v>
      </c>
      <c r="H145" s="4">
        <v>1</v>
      </c>
      <c r="I145" s="4">
        <v>0</v>
      </c>
      <c r="J145" s="4">
        <v>0</v>
      </c>
      <c r="L145" s="4" t="s">
        <v>643</v>
      </c>
      <c r="M145" s="4" t="s">
        <v>383</v>
      </c>
      <c r="N145" s="4" t="s">
        <v>649</v>
      </c>
      <c r="O145" s="4">
        <v>45.75</v>
      </c>
      <c r="P145" s="4">
        <v>121.5</v>
      </c>
      <c r="Q145" s="4" t="s">
        <v>639</v>
      </c>
      <c r="R145" s="5" t="s">
        <v>690</v>
      </c>
      <c r="AO145" s="4">
        <v>1</v>
      </c>
      <c r="AP145" s="4">
        <v>0</v>
      </c>
      <c r="AQ145" s="4" t="s">
        <v>640</v>
      </c>
      <c r="AS145">
        <v>0</v>
      </c>
      <c r="AT145">
        <v>0</v>
      </c>
      <c r="AU145" s="33">
        <v>12167.999999999993</v>
      </c>
      <c r="AV145" s="36" t="s">
        <v>644</v>
      </c>
      <c r="AW145" s="4">
        <v>12162.999999999989</v>
      </c>
      <c r="AX145" s="4" t="str">
        <f>IFERROR(VLOOKUP(M145,Roster!$L$2:$M$27,2,FALSE),"")</f>
        <v>L</v>
      </c>
      <c r="AY145" s="4" t="str">
        <f t="shared" si="14"/>
        <v>0好0壞</v>
      </c>
      <c r="BI145" s="5" t="str">
        <f>Lineup!$G$2</f>
        <v>20210817</v>
      </c>
      <c r="BJ145" s="4" t="str">
        <f t="shared" si="13"/>
        <v>偏內角低</v>
      </c>
      <c r="BK145" s="4" t="str">
        <f t="shared" si="15"/>
        <v>1B3O</v>
      </c>
      <c r="BL145" s="4" t="str">
        <f>IFERROR(VLOOKUP(E145,Roster!$D$2:$E$27,2,FALSE),"")</f>
        <v>L</v>
      </c>
      <c r="BP145" s="49"/>
      <c r="BQ145" s="49"/>
      <c r="BR145" s="49"/>
      <c r="BS145" s="49"/>
      <c r="BT145" s="49"/>
      <c r="BU145" s="49"/>
      <c r="BY145" s="4">
        <f t="shared" si="11"/>
        <v>64.5</v>
      </c>
      <c r="BZ145" s="4">
        <f t="shared" si="12"/>
        <v>246</v>
      </c>
      <c r="CD145" s="5" t="str">
        <f>Lineup!$G$1</f>
        <v>一軍例行賽</v>
      </c>
      <c r="CE145" s="4">
        <f>Lineup!$I$1</f>
        <v>148</v>
      </c>
      <c r="CF145" s="5" t="str">
        <f>Lineup!$G$5</f>
        <v>王俊宏</v>
      </c>
      <c r="CG145" s="5" t="str">
        <f>Lineup!$G$4</f>
        <v>桃園</v>
      </c>
    </row>
    <row r="146" spans="1:85" x14ac:dyDescent="0.3">
      <c r="A146" s="4">
        <v>146</v>
      </c>
      <c r="B146" s="4">
        <v>4</v>
      </c>
      <c r="C146" s="4">
        <v>9</v>
      </c>
      <c r="D146" s="4">
        <v>8</v>
      </c>
      <c r="E146" s="4" t="s">
        <v>605</v>
      </c>
      <c r="F146" s="4" t="s">
        <v>343</v>
      </c>
      <c r="G146" s="4">
        <v>2</v>
      </c>
      <c r="H146" s="4">
        <v>1</v>
      </c>
      <c r="I146" s="4">
        <v>1</v>
      </c>
      <c r="J146" s="4">
        <v>0</v>
      </c>
      <c r="L146" s="4" t="s">
        <v>643</v>
      </c>
      <c r="M146" s="4" t="s">
        <v>383</v>
      </c>
      <c r="N146" s="4" t="s">
        <v>642</v>
      </c>
      <c r="O146" s="4">
        <v>119.25</v>
      </c>
      <c r="P146" s="4">
        <v>133.5</v>
      </c>
      <c r="Q146" s="4" t="s">
        <v>641</v>
      </c>
      <c r="AO146" s="4">
        <v>1</v>
      </c>
      <c r="AP146" s="4">
        <v>1</v>
      </c>
      <c r="AQ146" s="4" t="s">
        <v>645</v>
      </c>
      <c r="AS146">
        <v>1</v>
      </c>
      <c r="AT146">
        <v>0</v>
      </c>
      <c r="AU146" s="33">
        <v>12186.999999999993</v>
      </c>
      <c r="AV146" s="36" t="s">
        <v>644</v>
      </c>
      <c r="AW146" s="4">
        <v>12182.999999999996</v>
      </c>
      <c r="AX146" s="4" t="str">
        <f>IFERROR(VLOOKUP(M146,Roster!$L$2:$M$27,2,FALSE),"")</f>
        <v>L</v>
      </c>
      <c r="AY146" s="4" t="str">
        <f t="shared" si="14"/>
        <v>1好0壞</v>
      </c>
      <c r="BI146" s="5" t="str">
        <f>Lineup!$G$2</f>
        <v>20210817</v>
      </c>
      <c r="BJ146" s="4" t="str">
        <f t="shared" si="13"/>
        <v>偏外角偏低</v>
      </c>
      <c r="BK146" s="4" t="str">
        <f t="shared" si="15"/>
        <v>B0O</v>
      </c>
      <c r="BL146" s="4" t="str">
        <f>IFERROR(VLOOKUP(E146,Roster!$D$2:$E$27,2,FALSE),"")</f>
        <v>L</v>
      </c>
      <c r="BP146" s="49"/>
      <c r="BQ146" s="49"/>
      <c r="BR146" s="49"/>
      <c r="BS146" s="49"/>
      <c r="BT146" s="49"/>
      <c r="BU146" s="49"/>
      <c r="BY146" s="4">
        <f t="shared" si="11"/>
        <v>52.5</v>
      </c>
      <c r="BZ146" s="4">
        <f t="shared" si="12"/>
        <v>246</v>
      </c>
      <c r="CD146" s="5" t="str">
        <f>Lineup!$G$1</f>
        <v>一軍例行賽</v>
      </c>
      <c r="CE146" s="4">
        <f>Lineup!$I$1</f>
        <v>148</v>
      </c>
      <c r="CF146" s="5" t="str">
        <f>Lineup!$G$5</f>
        <v>王俊宏</v>
      </c>
      <c r="CG146" s="5" t="str">
        <f>Lineup!$G$4</f>
        <v>桃園</v>
      </c>
    </row>
    <row r="147" spans="1:85" x14ac:dyDescent="0.3">
      <c r="A147" s="4">
        <v>147</v>
      </c>
      <c r="B147" s="4">
        <v>4</v>
      </c>
      <c r="C147" s="4">
        <v>9</v>
      </c>
      <c r="D147" s="4">
        <v>8</v>
      </c>
      <c r="E147" s="4" t="s">
        <v>605</v>
      </c>
      <c r="F147" s="4" t="s">
        <v>343</v>
      </c>
      <c r="G147" s="4">
        <v>3</v>
      </c>
      <c r="H147" s="4">
        <v>2</v>
      </c>
      <c r="I147" s="4">
        <v>1</v>
      </c>
      <c r="J147" s="4">
        <v>0</v>
      </c>
      <c r="K147" s="4">
        <v>141</v>
      </c>
      <c r="L147" s="4" t="s">
        <v>643</v>
      </c>
      <c r="M147" s="4" t="s">
        <v>383</v>
      </c>
      <c r="N147" s="4" t="s">
        <v>649</v>
      </c>
      <c r="O147" s="4">
        <v>60</v>
      </c>
      <c r="P147" s="4">
        <v>111.75</v>
      </c>
      <c r="Q147" s="4" t="s">
        <v>639</v>
      </c>
      <c r="R147" s="5" t="s">
        <v>690</v>
      </c>
      <c r="AO147" s="4">
        <v>2</v>
      </c>
      <c r="AP147" s="4">
        <v>1</v>
      </c>
      <c r="AQ147" s="4" t="s">
        <v>647</v>
      </c>
      <c r="AS147">
        <v>1</v>
      </c>
      <c r="AT147">
        <v>1</v>
      </c>
      <c r="AU147" s="33">
        <v>12210.999999999996</v>
      </c>
      <c r="AV147" s="36" t="s">
        <v>644</v>
      </c>
      <c r="AW147" s="4">
        <v>12207</v>
      </c>
      <c r="AX147" s="4" t="str">
        <f>IFERROR(VLOOKUP(M147,Roster!$L$2:$M$27,2,FALSE),"")</f>
        <v>L</v>
      </c>
      <c r="AY147" s="4" t="str">
        <f t="shared" si="14"/>
        <v>1好1壞</v>
      </c>
      <c r="BI147" s="5" t="str">
        <f>Lineup!$G$2</f>
        <v>20210817</v>
      </c>
      <c r="BJ147" s="4" t="str">
        <f t="shared" si="13"/>
        <v>內角低</v>
      </c>
      <c r="BK147" s="4" t="str">
        <f t="shared" si="15"/>
        <v>B0O</v>
      </c>
      <c r="BL147" s="4" t="str">
        <f>IFERROR(VLOOKUP(E147,Roster!$D$2:$E$27,2,FALSE),"")</f>
        <v>L</v>
      </c>
      <c r="BP147" s="49"/>
      <c r="BQ147" s="49"/>
      <c r="BR147" s="49"/>
      <c r="BS147" s="49"/>
      <c r="BT147" s="49"/>
      <c r="BU147" s="49"/>
      <c r="BY147" s="4">
        <f t="shared" si="11"/>
        <v>74.25</v>
      </c>
      <c r="BZ147" s="4">
        <f t="shared" si="12"/>
        <v>246</v>
      </c>
      <c r="CD147" s="5" t="str">
        <f>Lineup!$G$1</f>
        <v>一軍例行賽</v>
      </c>
      <c r="CE147" s="4">
        <f>Lineup!$I$1</f>
        <v>148</v>
      </c>
      <c r="CF147" s="5" t="str">
        <f>Lineup!$G$5</f>
        <v>王俊宏</v>
      </c>
      <c r="CG147" s="5" t="str">
        <f>Lineup!$G$4</f>
        <v>桃園</v>
      </c>
    </row>
    <row r="148" spans="1:85" x14ac:dyDescent="0.3">
      <c r="A148" s="4">
        <v>148</v>
      </c>
      <c r="B148" s="4">
        <v>4</v>
      </c>
      <c r="C148" s="4">
        <v>9</v>
      </c>
      <c r="D148" s="4">
        <v>8</v>
      </c>
      <c r="E148" s="4" t="s">
        <v>605</v>
      </c>
      <c r="F148" s="4" t="s">
        <v>343</v>
      </c>
      <c r="G148" s="4">
        <v>4</v>
      </c>
      <c r="H148" s="4">
        <v>2</v>
      </c>
      <c r="I148" s="4">
        <v>2</v>
      </c>
      <c r="J148" s="4">
        <v>0</v>
      </c>
      <c r="K148" s="4">
        <v>145</v>
      </c>
      <c r="L148" s="4" t="s">
        <v>643</v>
      </c>
      <c r="M148" s="4" t="s">
        <v>383</v>
      </c>
      <c r="N148" s="4" t="s">
        <v>642</v>
      </c>
      <c r="O148" s="4">
        <v>111</v>
      </c>
      <c r="P148" s="4">
        <v>112.5</v>
      </c>
      <c r="Q148" s="4" t="s">
        <v>641</v>
      </c>
      <c r="AO148" s="4">
        <v>2</v>
      </c>
      <c r="AP148" s="4">
        <v>2</v>
      </c>
      <c r="AQ148" s="4" t="s">
        <v>655</v>
      </c>
      <c r="AS148">
        <v>2</v>
      </c>
      <c r="AT148">
        <v>1</v>
      </c>
      <c r="AU148" s="33">
        <v>12235.999999999998</v>
      </c>
      <c r="AV148" s="36" t="s">
        <v>644</v>
      </c>
      <c r="AW148" s="4">
        <v>12231.000000000004</v>
      </c>
      <c r="AX148" s="4" t="str">
        <f>IFERROR(VLOOKUP(M148,Roster!$L$2:$M$27,2,FALSE),"")</f>
        <v>L</v>
      </c>
      <c r="AY148" s="4" t="str">
        <f t="shared" si="14"/>
        <v>2好1壞</v>
      </c>
      <c r="BI148" s="5" t="str">
        <f>Lineup!$G$2</f>
        <v>20210817</v>
      </c>
      <c r="BJ148" s="4" t="str">
        <f t="shared" si="13"/>
        <v>偏外角低</v>
      </c>
      <c r="BK148" s="4" t="str">
        <f t="shared" si="15"/>
        <v>B0O</v>
      </c>
      <c r="BL148" s="4" t="str">
        <f>IFERROR(VLOOKUP(E148,Roster!$D$2:$E$27,2,FALSE),"")</f>
        <v>L</v>
      </c>
      <c r="BP148" s="49"/>
      <c r="BQ148" s="49"/>
      <c r="BR148" s="49"/>
      <c r="BS148" s="49"/>
      <c r="BT148" s="49"/>
      <c r="BU148" s="49"/>
      <c r="BY148" s="4">
        <f t="shared" si="11"/>
        <v>73.5</v>
      </c>
      <c r="BZ148" s="4">
        <f t="shared" si="12"/>
        <v>246</v>
      </c>
      <c r="CD148" s="5" t="str">
        <f>Lineup!$G$1</f>
        <v>一軍例行賽</v>
      </c>
      <c r="CE148" s="4">
        <f>Lineup!$I$1</f>
        <v>148</v>
      </c>
      <c r="CF148" s="5" t="str">
        <f>Lineup!$G$5</f>
        <v>王俊宏</v>
      </c>
      <c r="CG148" s="5" t="str">
        <f>Lineup!$G$4</f>
        <v>桃園</v>
      </c>
    </row>
    <row r="149" spans="1:85" x14ac:dyDescent="0.3">
      <c r="A149" s="4">
        <v>149</v>
      </c>
      <c r="B149" s="4">
        <v>4</v>
      </c>
      <c r="C149" s="4">
        <v>9</v>
      </c>
      <c r="D149" s="4">
        <v>8</v>
      </c>
      <c r="E149" s="4" t="s">
        <v>605</v>
      </c>
      <c r="F149" s="4" t="s">
        <v>343</v>
      </c>
      <c r="G149" s="4">
        <v>5</v>
      </c>
      <c r="H149" s="4">
        <v>2</v>
      </c>
      <c r="I149" s="4">
        <v>3</v>
      </c>
      <c r="J149" s="4">
        <v>0</v>
      </c>
      <c r="K149" s="4">
        <v>135</v>
      </c>
      <c r="L149" s="4" t="s">
        <v>646</v>
      </c>
      <c r="M149" s="4" t="s">
        <v>383</v>
      </c>
      <c r="N149" s="4" t="s">
        <v>642</v>
      </c>
      <c r="O149" s="4">
        <v>126</v>
      </c>
      <c r="P149" s="4">
        <v>117</v>
      </c>
      <c r="Q149" s="4" t="s">
        <v>641</v>
      </c>
      <c r="AO149" s="4">
        <v>2</v>
      </c>
      <c r="AP149" s="4">
        <v>3</v>
      </c>
      <c r="AQ149" s="4" t="s">
        <v>674</v>
      </c>
      <c r="AS149">
        <v>2</v>
      </c>
      <c r="AT149">
        <v>2</v>
      </c>
      <c r="AU149" s="33">
        <v>12267</v>
      </c>
      <c r="AV149" s="36" t="s">
        <v>644</v>
      </c>
      <c r="AW149" s="4">
        <v>12262.999999999993</v>
      </c>
      <c r="AX149" s="4" t="str">
        <f>IFERROR(VLOOKUP(M149,Roster!$L$2:$M$27,2,FALSE),"")</f>
        <v>L</v>
      </c>
      <c r="AY149" s="4" t="str">
        <f t="shared" si="14"/>
        <v>2好2壞</v>
      </c>
      <c r="BI149" s="5" t="str">
        <f>Lineup!$G$2</f>
        <v>20210817</v>
      </c>
      <c r="BJ149" s="4" t="str">
        <f t="shared" si="13"/>
        <v>偏外角低</v>
      </c>
      <c r="BK149" s="4" t="str">
        <f t="shared" si="15"/>
        <v>B0O</v>
      </c>
      <c r="BL149" s="4" t="str">
        <f>IFERROR(VLOOKUP(E149,Roster!$D$2:$E$27,2,FALSE),"")</f>
        <v>L</v>
      </c>
      <c r="BP149" s="49"/>
      <c r="BQ149" s="49"/>
      <c r="BR149" s="49"/>
      <c r="BS149" s="49"/>
      <c r="BT149" s="49"/>
      <c r="BU149" s="49"/>
      <c r="BY149" s="4">
        <f t="shared" si="11"/>
        <v>69</v>
      </c>
      <c r="BZ149" s="4">
        <f t="shared" si="12"/>
        <v>246</v>
      </c>
      <c r="CD149" s="5" t="str">
        <f>Lineup!$G$1</f>
        <v>一軍例行賽</v>
      </c>
      <c r="CE149" s="4">
        <f>Lineup!$I$1</f>
        <v>148</v>
      </c>
      <c r="CF149" s="5" t="str">
        <f>Lineup!$G$5</f>
        <v>王俊宏</v>
      </c>
      <c r="CG149" s="5" t="str">
        <f>Lineup!$G$4</f>
        <v>桃園</v>
      </c>
    </row>
    <row r="150" spans="1:85" x14ac:dyDescent="0.3">
      <c r="A150" s="4">
        <v>150</v>
      </c>
      <c r="B150" s="4">
        <v>4</v>
      </c>
      <c r="C150" s="4">
        <v>9</v>
      </c>
      <c r="D150" s="4">
        <v>8</v>
      </c>
      <c r="E150" s="4" t="s">
        <v>605</v>
      </c>
      <c r="F150" s="4" t="s">
        <v>343</v>
      </c>
      <c r="G150" s="4">
        <v>6</v>
      </c>
      <c r="H150" s="4">
        <v>2</v>
      </c>
      <c r="I150" s="4">
        <v>4</v>
      </c>
      <c r="J150" s="4">
        <v>0</v>
      </c>
      <c r="K150" s="4">
        <v>144</v>
      </c>
      <c r="L150" s="4" t="s">
        <v>643</v>
      </c>
      <c r="M150" s="4" t="s">
        <v>383</v>
      </c>
      <c r="N150" s="4" t="s">
        <v>642</v>
      </c>
      <c r="O150" s="4">
        <v>102.75</v>
      </c>
      <c r="P150" s="4">
        <v>122.25</v>
      </c>
      <c r="Q150" s="4" t="s">
        <v>641</v>
      </c>
      <c r="R150" s="5" t="s">
        <v>660</v>
      </c>
      <c r="AB150" s="4" t="s">
        <v>383</v>
      </c>
      <c r="AM150" s="4">
        <v>1</v>
      </c>
      <c r="AO150" s="4">
        <v>2</v>
      </c>
      <c r="AP150" s="4">
        <v>4</v>
      </c>
      <c r="AQ150" s="4" t="s">
        <v>725</v>
      </c>
      <c r="AS150">
        <v>2</v>
      </c>
      <c r="AT150">
        <v>3</v>
      </c>
      <c r="AU150" s="33">
        <v>12295</v>
      </c>
      <c r="AV150" s="36" t="s">
        <v>644</v>
      </c>
      <c r="AW150" s="4">
        <v>12288.999999999989</v>
      </c>
      <c r="AX150" s="4" t="str">
        <f>IFERROR(VLOOKUP(M150,Roster!$L$2:$M$27,2,FALSE),"")</f>
        <v>L</v>
      </c>
      <c r="AY150" s="4" t="str">
        <f t="shared" si="14"/>
        <v>2好3壞</v>
      </c>
      <c r="BI150" s="5" t="str">
        <f>Lineup!$G$2</f>
        <v>20210817</v>
      </c>
      <c r="BJ150" s="4" t="str">
        <f t="shared" si="13"/>
        <v>外角低</v>
      </c>
      <c r="BK150" s="4" t="str">
        <f t="shared" si="15"/>
        <v>B0O</v>
      </c>
      <c r="BL150" s="4" t="str">
        <f>IFERROR(VLOOKUP(E150,Roster!$D$2:$E$27,2,FALSE),"")</f>
        <v>L</v>
      </c>
      <c r="BP150" s="49"/>
      <c r="BQ150" s="49"/>
      <c r="BR150" s="49"/>
      <c r="BS150" s="49"/>
      <c r="BT150" s="49"/>
      <c r="BU150" s="49"/>
      <c r="BY150" s="4">
        <f t="shared" si="11"/>
        <v>63.75</v>
      </c>
      <c r="BZ150" s="4">
        <f t="shared" si="12"/>
        <v>246</v>
      </c>
      <c r="CD150" s="5" t="str">
        <f>Lineup!$G$1</f>
        <v>一軍例行賽</v>
      </c>
      <c r="CE150" s="4">
        <f>Lineup!$I$1</f>
        <v>148</v>
      </c>
      <c r="CF150" s="5" t="str">
        <f>Lineup!$G$5</f>
        <v>王俊宏</v>
      </c>
      <c r="CG150" s="5" t="str">
        <f>Lineup!$G$4</f>
        <v>桃園</v>
      </c>
    </row>
    <row r="151" spans="1:85" x14ac:dyDescent="0.3">
      <c r="A151" s="4">
        <v>151</v>
      </c>
      <c r="B151" s="4">
        <v>4</v>
      </c>
      <c r="C151" s="4">
        <v>9</v>
      </c>
      <c r="D151" s="4">
        <v>8</v>
      </c>
      <c r="E151" s="4" t="s">
        <v>605</v>
      </c>
      <c r="F151" s="4" t="s">
        <v>343</v>
      </c>
      <c r="G151" s="4">
        <v>7</v>
      </c>
      <c r="H151" s="4">
        <v>3</v>
      </c>
      <c r="I151" s="4">
        <v>4</v>
      </c>
      <c r="J151" s="4">
        <v>0</v>
      </c>
      <c r="L151" s="4" t="s">
        <v>643</v>
      </c>
      <c r="M151" s="4" t="s">
        <v>266</v>
      </c>
      <c r="N151" s="4" t="s">
        <v>649</v>
      </c>
      <c r="O151" s="4">
        <v>89.25</v>
      </c>
      <c r="P151" s="4">
        <v>58.5</v>
      </c>
      <c r="Q151" s="4" t="s">
        <v>639</v>
      </c>
      <c r="R151" s="5" t="s">
        <v>656</v>
      </c>
      <c r="S151" s="4">
        <v>148.5</v>
      </c>
      <c r="T151" s="4">
        <v>103.5</v>
      </c>
      <c r="U151" s="4" t="s">
        <v>571</v>
      </c>
      <c r="AB151" s="4" t="s">
        <v>266</v>
      </c>
      <c r="AC151" s="4" t="s">
        <v>383</v>
      </c>
      <c r="AE151" s="4" t="s">
        <v>661</v>
      </c>
      <c r="AF151" s="4" t="s">
        <v>661</v>
      </c>
      <c r="AG151" s="4" t="s">
        <v>661</v>
      </c>
      <c r="AM151" s="4">
        <v>1</v>
      </c>
      <c r="AO151" s="4">
        <v>1</v>
      </c>
      <c r="AP151" s="4">
        <v>0</v>
      </c>
      <c r="AQ151" s="4" t="s">
        <v>640</v>
      </c>
      <c r="AS151">
        <v>0</v>
      </c>
      <c r="AT151">
        <v>0</v>
      </c>
      <c r="AU151" s="33">
        <v>12383.999999999989</v>
      </c>
      <c r="AV151" s="36" t="s">
        <v>644</v>
      </c>
      <c r="AW151" s="4">
        <v>12372.000000000005</v>
      </c>
      <c r="AX151" s="4" t="str">
        <f>IFERROR(VLOOKUP(M151,Roster!$L$2:$M$27,2,FALSE),"")</f>
        <v>L</v>
      </c>
      <c r="AY151" s="4" t="str">
        <f t="shared" si="14"/>
        <v>0好0壞</v>
      </c>
      <c r="BI151" s="5" t="str">
        <f>Lineup!$G$2</f>
        <v>20210817</v>
      </c>
      <c r="BJ151" s="4" t="str">
        <f t="shared" si="13"/>
        <v>外角高</v>
      </c>
      <c r="BK151" s="4" t="str">
        <f t="shared" si="15"/>
        <v>1B0O</v>
      </c>
      <c r="BL151" s="4" t="str">
        <f>IFERROR(VLOOKUP(E151,Roster!$D$2:$E$27,2,FALSE),"")</f>
        <v>L</v>
      </c>
      <c r="BP151" s="49"/>
      <c r="BQ151" s="49"/>
      <c r="BR151" s="49"/>
      <c r="BS151" s="49"/>
      <c r="BT151" s="49"/>
      <c r="BU151" s="49"/>
      <c r="BY151" s="4">
        <f t="shared" si="11"/>
        <v>127.5</v>
      </c>
      <c r="BZ151" s="4">
        <f t="shared" si="12"/>
        <v>142.5</v>
      </c>
      <c r="CD151" s="5" t="str">
        <f>Lineup!$G$1</f>
        <v>一軍例行賽</v>
      </c>
      <c r="CE151" s="4">
        <f>Lineup!$I$1</f>
        <v>148</v>
      </c>
      <c r="CF151" s="5" t="str">
        <f>Lineup!$G$5</f>
        <v>王俊宏</v>
      </c>
      <c r="CG151" s="5" t="str">
        <f>Lineup!$G$4</f>
        <v>桃園</v>
      </c>
    </row>
    <row r="152" spans="1:85" x14ac:dyDescent="0.3">
      <c r="A152" s="4">
        <v>152</v>
      </c>
      <c r="B152" s="4">
        <v>4</v>
      </c>
      <c r="C152" s="4">
        <v>9</v>
      </c>
      <c r="D152" s="4">
        <v>8</v>
      </c>
      <c r="E152" s="4" t="s">
        <v>605</v>
      </c>
      <c r="F152" s="4" t="s">
        <v>343</v>
      </c>
      <c r="G152" s="4">
        <v>8</v>
      </c>
      <c r="H152" s="4">
        <v>4</v>
      </c>
      <c r="I152" s="4">
        <v>4</v>
      </c>
      <c r="J152" s="4">
        <v>0</v>
      </c>
      <c r="K152" s="4">
        <v>132</v>
      </c>
      <c r="L152" s="4" t="s">
        <v>646</v>
      </c>
      <c r="M152" s="4" t="s">
        <v>396</v>
      </c>
      <c r="N152" s="4" t="s">
        <v>642</v>
      </c>
      <c r="O152" s="4">
        <v>105</v>
      </c>
      <c r="P152" s="4">
        <v>78.75</v>
      </c>
      <c r="Q152" s="4" t="s">
        <v>639</v>
      </c>
      <c r="AB152" s="4" t="s">
        <v>266</v>
      </c>
      <c r="AC152" s="4" t="s">
        <v>383</v>
      </c>
      <c r="AO152" s="4">
        <v>1</v>
      </c>
      <c r="AP152" s="4">
        <v>0</v>
      </c>
      <c r="AQ152" s="4" t="s">
        <v>640</v>
      </c>
      <c r="AS152">
        <v>0</v>
      </c>
      <c r="AT152">
        <v>0</v>
      </c>
      <c r="AU152" s="33">
        <v>12434.999999999996</v>
      </c>
      <c r="AV152" s="36" t="s">
        <v>644</v>
      </c>
      <c r="AW152" s="4">
        <v>12429.999999999993</v>
      </c>
      <c r="AX152" s="4" t="str">
        <f>IFERROR(VLOOKUP(M152,Roster!$L$2:$M$27,2,FALSE),"")</f>
        <v>R</v>
      </c>
      <c r="AY152" s="4" t="str">
        <f t="shared" si="14"/>
        <v>0好0壞</v>
      </c>
      <c r="BI152" s="5" t="str">
        <f>Lineup!$G$2</f>
        <v>20210817</v>
      </c>
      <c r="BJ152" s="4" t="str">
        <f t="shared" si="13"/>
        <v>偏內角高</v>
      </c>
      <c r="BK152" s="4" t="str">
        <f t="shared" si="15"/>
        <v>12B0O</v>
      </c>
      <c r="BL152" s="4" t="str">
        <f>IFERROR(VLOOKUP(E152,Roster!$D$2:$E$27,2,FALSE),"")</f>
        <v>L</v>
      </c>
      <c r="BP152" s="49"/>
      <c r="BQ152" s="49"/>
      <c r="BR152" s="49"/>
      <c r="BS152" s="49"/>
      <c r="BT152" s="49"/>
      <c r="BU152" s="49"/>
      <c r="BY152" s="4">
        <f t="shared" si="11"/>
        <v>107.25</v>
      </c>
      <c r="BZ152" s="4">
        <f t="shared" si="12"/>
        <v>246</v>
      </c>
      <c r="CD152" s="5" t="str">
        <f>Lineup!$G$1</f>
        <v>一軍例行賽</v>
      </c>
      <c r="CE152" s="4">
        <f>Lineup!$I$1</f>
        <v>148</v>
      </c>
      <c r="CF152" s="5" t="str">
        <f>Lineup!$G$5</f>
        <v>王俊宏</v>
      </c>
      <c r="CG152" s="5" t="str">
        <f>Lineup!$G$4</f>
        <v>桃園</v>
      </c>
    </row>
    <row r="153" spans="1:85" x14ac:dyDescent="0.3">
      <c r="A153" s="4">
        <v>153</v>
      </c>
      <c r="B153" s="4">
        <v>4</v>
      </c>
      <c r="C153" s="4">
        <v>9</v>
      </c>
      <c r="D153" s="4">
        <v>8</v>
      </c>
      <c r="E153" s="4" t="s">
        <v>605</v>
      </c>
      <c r="F153" s="4" t="s">
        <v>343</v>
      </c>
      <c r="G153" s="4">
        <v>9</v>
      </c>
      <c r="H153" s="4">
        <v>4</v>
      </c>
      <c r="I153" s="4">
        <v>5</v>
      </c>
      <c r="J153" s="4">
        <v>0</v>
      </c>
      <c r="K153" s="4">
        <v>134</v>
      </c>
      <c r="L153" s="4" t="s">
        <v>646</v>
      </c>
      <c r="M153" s="4" t="s">
        <v>396</v>
      </c>
      <c r="N153" s="4" t="s">
        <v>642</v>
      </c>
      <c r="O153" s="4">
        <v>105.75</v>
      </c>
      <c r="P153" s="4">
        <v>143.25</v>
      </c>
      <c r="Q153" s="4" t="s">
        <v>641</v>
      </c>
      <c r="AB153" s="4" t="s">
        <v>266</v>
      </c>
      <c r="AC153" s="4" t="s">
        <v>383</v>
      </c>
      <c r="AO153" s="4">
        <v>1</v>
      </c>
      <c r="AP153" s="4">
        <v>1</v>
      </c>
      <c r="AQ153" s="4" t="s">
        <v>645</v>
      </c>
      <c r="AS153">
        <v>1</v>
      </c>
      <c r="AT153">
        <v>0</v>
      </c>
      <c r="AU153" s="33">
        <v>12467.999999999993</v>
      </c>
      <c r="AV153" s="36" t="s">
        <v>644</v>
      </c>
      <c r="AW153" s="4">
        <v>12462.999999999998</v>
      </c>
      <c r="AX153" s="4" t="str">
        <f>IFERROR(VLOOKUP(M153,Roster!$L$2:$M$27,2,FALSE),"")</f>
        <v>R</v>
      </c>
      <c r="AY153" s="4" t="str">
        <f t="shared" si="14"/>
        <v>1好0壞</v>
      </c>
      <c r="BI153" s="5" t="str">
        <f>Lineup!$G$2</f>
        <v>20210817</v>
      </c>
      <c r="BJ153" s="4" t="str">
        <f t="shared" si="13"/>
        <v>偏內角偏低</v>
      </c>
      <c r="BK153" s="4" t="str">
        <f t="shared" si="15"/>
        <v>12B0O</v>
      </c>
      <c r="BL153" s="4" t="str">
        <f>IFERROR(VLOOKUP(E153,Roster!$D$2:$E$27,2,FALSE),"")</f>
        <v>L</v>
      </c>
      <c r="BP153" s="49"/>
      <c r="BQ153" s="49"/>
      <c r="BR153" s="49"/>
      <c r="BS153" s="49"/>
      <c r="BT153" s="49"/>
      <c r="BU153" s="49"/>
      <c r="BY153" s="4">
        <f t="shared" si="11"/>
        <v>42.75</v>
      </c>
      <c r="BZ153" s="4">
        <f t="shared" si="12"/>
        <v>246</v>
      </c>
      <c r="CD153" s="5" t="str">
        <f>Lineup!$G$1</f>
        <v>一軍例行賽</v>
      </c>
      <c r="CE153" s="4">
        <f>Lineup!$I$1</f>
        <v>148</v>
      </c>
      <c r="CF153" s="5" t="str">
        <f>Lineup!$G$5</f>
        <v>王俊宏</v>
      </c>
      <c r="CG153" s="5" t="str">
        <f>Lineup!$G$4</f>
        <v>桃園</v>
      </c>
    </row>
    <row r="154" spans="1:85" x14ac:dyDescent="0.3">
      <c r="A154" s="4">
        <v>154</v>
      </c>
      <c r="B154" s="4">
        <v>4</v>
      </c>
      <c r="C154" s="4">
        <v>9</v>
      </c>
      <c r="D154" s="4">
        <v>8</v>
      </c>
      <c r="E154" s="4" t="s">
        <v>605</v>
      </c>
      <c r="F154" s="4" t="s">
        <v>343</v>
      </c>
      <c r="G154" s="4">
        <v>10</v>
      </c>
      <c r="H154" s="4">
        <v>5</v>
      </c>
      <c r="I154" s="4">
        <v>5</v>
      </c>
      <c r="J154" s="4">
        <v>1</v>
      </c>
      <c r="K154" s="4">
        <v>133</v>
      </c>
      <c r="L154" s="4" t="s">
        <v>646</v>
      </c>
      <c r="M154" s="4" t="s">
        <v>396</v>
      </c>
      <c r="N154" s="4" t="s">
        <v>649</v>
      </c>
      <c r="O154" s="4">
        <v>64.5</v>
      </c>
      <c r="P154" s="4">
        <v>103.5</v>
      </c>
      <c r="Q154" s="4" t="s">
        <v>109</v>
      </c>
      <c r="R154" s="5" t="s">
        <v>666</v>
      </c>
      <c r="S154" s="4">
        <v>146.25</v>
      </c>
      <c r="T154" s="4">
        <v>172.5</v>
      </c>
      <c r="U154" s="4" t="s">
        <v>376</v>
      </c>
      <c r="V154" s="4" t="s">
        <v>543</v>
      </c>
      <c r="AB154" s="4" t="s">
        <v>396</v>
      </c>
      <c r="AD154" s="4" t="s">
        <v>383</v>
      </c>
      <c r="AE154" s="4" t="s">
        <v>661</v>
      </c>
      <c r="AF154" s="4" t="s">
        <v>661</v>
      </c>
      <c r="AG154" s="4" t="s">
        <v>661</v>
      </c>
      <c r="AH154" s="4" t="s">
        <v>266</v>
      </c>
      <c r="AK154" s="4">
        <v>1</v>
      </c>
      <c r="AM154" s="4">
        <v>1</v>
      </c>
      <c r="AO154" s="4">
        <v>2</v>
      </c>
      <c r="AP154" s="4">
        <v>1</v>
      </c>
      <c r="AQ154" s="4" t="s">
        <v>647</v>
      </c>
      <c r="AR154" s="4" t="s">
        <v>714</v>
      </c>
      <c r="AS154">
        <v>1</v>
      </c>
      <c r="AT154">
        <v>1</v>
      </c>
      <c r="AU154" s="33">
        <v>12531.999999999998</v>
      </c>
      <c r="AV154" s="36" t="s">
        <v>644</v>
      </c>
      <c r="AW154" s="4">
        <v>12519.999999999996</v>
      </c>
      <c r="AX154" s="4" t="str">
        <f>IFERROR(VLOOKUP(M154,Roster!$L$2:$M$27,2,FALSE),"")</f>
        <v>R</v>
      </c>
      <c r="AY154" s="4" t="str">
        <f t="shared" si="14"/>
        <v>1好1壞</v>
      </c>
      <c r="BI154" s="5" t="str">
        <f>Lineup!$G$2</f>
        <v>20210817</v>
      </c>
      <c r="BJ154" s="4" t="str">
        <f t="shared" si="13"/>
        <v>外角低</v>
      </c>
      <c r="BK154" s="4" t="str">
        <f t="shared" si="15"/>
        <v>12B0O</v>
      </c>
      <c r="BL154" s="4" t="str">
        <f>IFERROR(VLOOKUP(E154,Roster!$D$2:$E$27,2,FALSE),"")</f>
        <v>L</v>
      </c>
      <c r="BP154" s="49"/>
      <c r="BQ154" s="49"/>
      <c r="BR154" s="49"/>
      <c r="BS154" s="49"/>
      <c r="BT154" s="49"/>
      <c r="BU154" s="49"/>
      <c r="BY154" s="4">
        <f t="shared" si="11"/>
        <v>82.5</v>
      </c>
      <c r="BZ154" s="4">
        <f t="shared" si="12"/>
        <v>73.5</v>
      </c>
      <c r="CD154" s="5" t="str">
        <f>Lineup!$G$1</f>
        <v>一軍例行賽</v>
      </c>
      <c r="CE154" s="4">
        <f>Lineup!$I$1</f>
        <v>148</v>
      </c>
      <c r="CF154" s="5" t="str">
        <f>Lineup!$G$5</f>
        <v>王俊宏</v>
      </c>
      <c r="CG154" s="5" t="str">
        <f>Lineup!$G$4</f>
        <v>桃園</v>
      </c>
    </row>
    <row r="155" spans="1:85" x14ac:dyDescent="0.3">
      <c r="A155" s="4">
        <v>155</v>
      </c>
      <c r="B155" s="4">
        <v>4</v>
      </c>
      <c r="C155" s="4">
        <v>9</v>
      </c>
      <c r="D155" s="4">
        <v>8</v>
      </c>
      <c r="E155" s="4" t="s">
        <v>605</v>
      </c>
      <c r="F155" s="4" t="s">
        <v>343</v>
      </c>
      <c r="G155" s="4">
        <v>11</v>
      </c>
      <c r="H155" s="4">
        <v>6</v>
      </c>
      <c r="I155" s="4">
        <v>5</v>
      </c>
      <c r="J155" s="4">
        <v>1</v>
      </c>
      <c r="L155" s="4" t="s">
        <v>646</v>
      </c>
      <c r="M155" s="4" t="s">
        <v>346</v>
      </c>
      <c r="N155" s="4" t="s">
        <v>649</v>
      </c>
      <c r="O155" s="4">
        <v>93.75</v>
      </c>
      <c r="P155" s="4">
        <v>131.25</v>
      </c>
      <c r="Q155" s="4" t="s">
        <v>639</v>
      </c>
      <c r="R155" s="5" t="s">
        <v>690</v>
      </c>
      <c r="AB155" s="4" t="s">
        <v>506</v>
      </c>
      <c r="AD155" s="4" t="s">
        <v>383</v>
      </c>
      <c r="AO155" s="4">
        <v>1</v>
      </c>
      <c r="AP155" s="4">
        <v>0</v>
      </c>
      <c r="AQ155" s="4" t="s">
        <v>640</v>
      </c>
      <c r="AS155">
        <v>0</v>
      </c>
      <c r="AT155">
        <v>0</v>
      </c>
      <c r="AU155" s="33">
        <v>12626</v>
      </c>
      <c r="AV155" s="36" t="s">
        <v>644</v>
      </c>
      <c r="AW155" s="4">
        <v>12620</v>
      </c>
      <c r="AX155" s="4" t="str">
        <f>IFERROR(VLOOKUP(M155,Roster!$L$2:$M$27,2,FALSE),"")</f>
        <v>R</v>
      </c>
      <c r="AY155" s="4" t="str">
        <f t="shared" si="14"/>
        <v>0好0壞</v>
      </c>
      <c r="BI155" s="5" t="str">
        <f>Lineup!$G$2</f>
        <v>20210817</v>
      </c>
      <c r="BJ155" s="4" t="str">
        <f t="shared" si="13"/>
        <v>內角偏低</v>
      </c>
      <c r="BK155" s="4" t="str">
        <f t="shared" si="15"/>
        <v>13B1O</v>
      </c>
      <c r="BL155" s="4" t="str">
        <f>IFERROR(VLOOKUP(E155,Roster!$D$2:$E$27,2,FALSE),"")</f>
        <v>L</v>
      </c>
      <c r="BP155" s="49"/>
      <c r="BQ155" s="49"/>
      <c r="BR155" s="49"/>
      <c r="BS155" s="49"/>
      <c r="BT155" s="49"/>
      <c r="BU155" s="49"/>
      <c r="BY155" s="4">
        <f t="shared" si="11"/>
        <v>54.75</v>
      </c>
      <c r="BZ155" s="4">
        <f t="shared" si="12"/>
        <v>246</v>
      </c>
      <c r="CD155" s="5" t="str">
        <f>Lineup!$G$1</f>
        <v>一軍例行賽</v>
      </c>
      <c r="CE155" s="4">
        <f>Lineup!$I$1</f>
        <v>148</v>
      </c>
      <c r="CF155" s="5" t="str">
        <f>Lineup!$G$5</f>
        <v>王俊宏</v>
      </c>
      <c r="CG155" s="5" t="str">
        <f>Lineup!$G$4</f>
        <v>桃園</v>
      </c>
    </row>
    <row r="156" spans="1:85" x14ac:dyDescent="0.3">
      <c r="A156" s="4">
        <v>156</v>
      </c>
      <c r="B156" s="4">
        <v>4</v>
      </c>
      <c r="C156" s="4">
        <v>9</v>
      </c>
      <c r="D156" s="4">
        <v>8</v>
      </c>
      <c r="E156" s="4" t="s">
        <v>605</v>
      </c>
      <c r="F156" s="4" t="s">
        <v>343</v>
      </c>
      <c r="G156" s="4">
        <v>12</v>
      </c>
      <c r="H156" s="4">
        <v>7</v>
      </c>
      <c r="I156" s="4">
        <v>5</v>
      </c>
      <c r="J156" s="4">
        <v>1</v>
      </c>
      <c r="K156" s="4">
        <v>135</v>
      </c>
      <c r="L156" s="4" t="s">
        <v>643</v>
      </c>
      <c r="M156" s="4" t="s">
        <v>346</v>
      </c>
      <c r="N156" s="4" t="s">
        <v>649</v>
      </c>
      <c r="O156" s="4">
        <v>63</v>
      </c>
      <c r="P156" s="4">
        <v>97.5</v>
      </c>
      <c r="Q156" s="4" t="s">
        <v>639</v>
      </c>
      <c r="R156" s="5" t="s">
        <v>690</v>
      </c>
      <c r="AB156" s="4" t="s">
        <v>506</v>
      </c>
      <c r="AD156" s="4" t="s">
        <v>383</v>
      </c>
      <c r="AO156" s="4">
        <v>2</v>
      </c>
      <c r="AP156" s="4">
        <v>0</v>
      </c>
      <c r="AQ156" s="4" t="s">
        <v>662</v>
      </c>
      <c r="AS156">
        <v>1</v>
      </c>
      <c r="AT156">
        <v>0</v>
      </c>
      <c r="AU156" s="33">
        <v>12659.999999999993</v>
      </c>
      <c r="AV156" s="36" t="s">
        <v>644</v>
      </c>
      <c r="AW156" s="4">
        <v>12654.000000000002</v>
      </c>
      <c r="AX156" s="4" t="str">
        <f>IFERROR(VLOOKUP(M156,Roster!$L$2:$M$27,2,FALSE),"")</f>
        <v>R</v>
      </c>
      <c r="AY156" s="4" t="str">
        <f t="shared" si="14"/>
        <v>1好0壞</v>
      </c>
      <c r="BI156" s="5" t="str">
        <f>Lineup!$G$2</f>
        <v>20210817</v>
      </c>
      <c r="BJ156" s="4" t="str">
        <f t="shared" si="13"/>
        <v>外角中</v>
      </c>
      <c r="BK156" s="4" t="str">
        <f t="shared" si="15"/>
        <v>13B1O</v>
      </c>
      <c r="BL156" s="4" t="str">
        <f>IFERROR(VLOOKUP(E156,Roster!$D$2:$E$27,2,FALSE),"")</f>
        <v>L</v>
      </c>
      <c r="BP156" s="49"/>
      <c r="BQ156" s="49"/>
      <c r="BR156" s="49"/>
      <c r="BS156" s="49"/>
      <c r="BT156" s="49"/>
      <c r="BU156" s="49"/>
      <c r="BY156" s="4">
        <f t="shared" si="11"/>
        <v>88.5</v>
      </c>
      <c r="BZ156" s="4">
        <f t="shared" si="12"/>
        <v>246</v>
      </c>
      <c r="CD156" s="5" t="str">
        <f>Lineup!$G$1</f>
        <v>一軍例行賽</v>
      </c>
      <c r="CE156" s="4">
        <f>Lineup!$I$1</f>
        <v>148</v>
      </c>
      <c r="CF156" s="5" t="str">
        <f>Lineup!$G$5</f>
        <v>王俊宏</v>
      </c>
      <c r="CG156" s="5" t="str">
        <f>Lineup!$G$4</f>
        <v>桃園</v>
      </c>
    </row>
    <row r="157" spans="1:85" x14ac:dyDescent="0.3">
      <c r="A157" s="4">
        <v>156</v>
      </c>
      <c r="B157" s="4">
        <v>4</v>
      </c>
      <c r="C157" s="4">
        <v>9</v>
      </c>
      <c r="D157" s="4">
        <v>8</v>
      </c>
      <c r="E157" s="4" t="s">
        <v>605</v>
      </c>
      <c r="F157" s="4" t="s">
        <v>343</v>
      </c>
      <c r="G157" s="4">
        <v>12</v>
      </c>
      <c r="H157" s="4">
        <v>7</v>
      </c>
      <c r="I157" s="4">
        <v>5</v>
      </c>
      <c r="J157" s="4">
        <v>3</v>
      </c>
      <c r="K157" s="4">
        <v>137</v>
      </c>
      <c r="L157" s="4" t="s">
        <v>668</v>
      </c>
      <c r="M157" s="4" t="s">
        <v>346</v>
      </c>
      <c r="N157" s="4" t="s">
        <v>649</v>
      </c>
      <c r="O157" s="4">
        <v>65.25</v>
      </c>
      <c r="P157" s="4">
        <v>101.25</v>
      </c>
      <c r="Q157" s="4" t="s">
        <v>639</v>
      </c>
      <c r="R157" s="5" t="s">
        <v>685</v>
      </c>
      <c r="AA157" s="4" t="s">
        <v>732</v>
      </c>
      <c r="AB157" s="4" t="s">
        <v>506</v>
      </c>
      <c r="AE157" s="4" t="s">
        <v>661</v>
      </c>
      <c r="AF157" s="4" t="s">
        <v>661</v>
      </c>
      <c r="AG157" s="4" t="s">
        <v>661</v>
      </c>
      <c r="AI157" s="4" t="s">
        <v>383</v>
      </c>
      <c r="AJ157" s="4" t="s">
        <v>346</v>
      </c>
      <c r="AK157" s="4">
        <v>1</v>
      </c>
      <c r="AM157" s="4">
        <v>1</v>
      </c>
      <c r="AO157" s="4">
        <v>3</v>
      </c>
      <c r="AP157" s="4">
        <v>0</v>
      </c>
      <c r="AQ157" s="4" t="s">
        <v>691</v>
      </c>
      <c r="AR157" s="4" t="s">
        <v>733</v>
      </c>
      <c r="AS157">
        <v>2</v>
      </c>
      <c r="AT157">
        <v>0</v>
      </c>
      <c r="AU157" s="33">
        <v>12714.999999999998</v>
      </c>
      <c r="AV157" s="36" t="s">
        <v>644</v>
      </c>
      <c r="AW157" s="4">
        <v>12702</v>
      </c>
      <c r="AX157" s="4" t="str">
        <f>IFERROR(VLOOKUP(M157,Roster!$L$2:$M$27,2,FALSE),"")</f>
        <v>R</v>
      </c>
      <c r="AY157" s="4" t="str">
        <f t="shared" si="14"/>
        <v>2好0壞</v>
      </c>
      <c r="BI157" s="5" t="str">
        <f>Lineup!$G$2</f>
        <v>20210817</v>
      </c>
      <c r="BJ157" s="4" t="str">
        <f t="shared" si="13"/>
        <v>外角中</v>
      </c>
      <c r="BK157" s="4" t="str">
        <f t="shared" si="15"/>
        <v>13B1O</v>
      </c>
      <c r="BL157" s="4" t="str">
        <f>IFERROR(VLOOKUP(E157,Roster!$D$2:$E$27,2,FALSE),"")</f>
        <v>L</v>
      </c>
      <c r="BP157" s="49"/>
      <c r="BQ157" s="49"/>
      <c r="BR157" s="49"/>
      <c r="BS157" s="49"/>
      <c r="BT157" s="49"/>
      <c r="BU157" s="49"/>
      <c r="BY157" s="4">
        <f t="shared" si="11"/>
        <v>84.75</v>
      </c>
      <c r="BZ157" s="4">
        <f t="shared" si="12"/>
        <v>246</v>
      </c>
      <c r="CD157" s="5" t="str">
        <f>Lineup!$G$1</f>
        <v>一軍例行賽</v>
      </c>
      <c r="CE157" s="4">
        <f>Lineup!$I$1</f>
        <v>148</v>
      </c>
      <c r="CF157" s="5" t="str">
        <f>Lineup!$G$5</f>
        <v>王俊宏</v>
      </c>
      <c r="CG157" s="5" t="str">
        <f>Lineup!$G$4</f>
        <v>桃園</v>
      </c>
    </row>
    <row r="158" spans="1:85" x14ac:dyDescent="0.3">
      <c r="A158" s="4">
        <v>157</v>
      </c>
      <c r="B158" s="4">
        <v>4</v>
      </c>
      <c r="C158" s="4">
        <v>9</v>
      </c>
      <c r="D158" s="4">
        <v>9</v>
      </c>
      <c r="E158" s="4" t="s">
        <v>291</v>
      </c>
      <c r="F158" s="4" t="s">
        <v>343</v>
      </c>
      <c r="G158" s="4">
        <v>1</v>
      </c>
      <c r="H158" s="4">
        <v>0</v>
      </c>
      <c r="I158" s="4">
        <v>1</v>
      </c>
      <c r="J158" s="4">
        <v>0</v>
      </c>
      <c r="L158" s="4" t="s">
        <v>643</v>
      </c>
      <c r="M158" s="4" t="s">
        <v>360</v>
      </c>
      <c r="N158" s="4" t="s">
        <v>642</v>
      </c>
      <c r="O158" s="4">
        <v>105.75</v>
      </c>
      <c r="P158" s="4">
        <v>48</v>
      </c>
      <c r="Q158" s="4" t="s">
        <v>641</v>
      </c>
      <c r="AO158" s="4">
        <v>0</v>
      </c>
      <c r="AP158" s="4">
        <v>1</v>
      </c>
      <c r="AQ158" s="4" t="s">
        <v>652</v>
      </c>
      <c r="AS158">
        <v>0</v>
      </c>
      <c r="AT158">
        <v>0</v>
      </c>
      <c r="AU158" s="33">
        <v>13207.999999999996</v>
      </c>
      <c r="AV158" s="36" t="s">
        <v>644</v>
      </c>
      <c r="AW158" s="4">
        <v>13204.999999999996</v>
      </c>
      <c r="AX158" s="4" t="str">
        <f>IFERROR(VLOOKUP(M158,Roster!$L$2:$M$27,2,FALSE),"")</f>
        <v>L</v>
      </c>
      <c r="AY158" s="4" t="str">
        <f t="shared" si="14"/>
        <v>0好0壞</v>
      </c>
      <c r="BI158" s="5" t="str">
        <f>Lineup!$G$2</f>
        <v>20210817</v>
      </c>
      <c r="BJ158" s="4" t="str">
        <f t="shared" si="13"/>
        <v>偏外角偏高</v>
      </c>
      <c r="BK158" s="4" t="str">
        <f t="shared" si="15"/>
        <v>1B3O</v>
      </c>
      <c r="BL158" s="4" t="str">
        <f>IFERROR(VLOOKUP(E158,Roster!$D$2:$E$27,2,FALSE),"")</f>
        <v>R</v>
      </c>
      <c r="BP158" s="49"/>
      <c r="BQ158" s="49"/>
      <c r="BR158" s="49"/>
      <c r="BS158" s="49"/>
      <c r="BT158" s="49"/>
      <c r="BU158" s="49"/>
      <c r="BY158" s="4">
        <f t="shared" si="11"/>
        <v>138</v>
      </c>
      <c r="BZ158" s="4">
        <f t="shared" si="12"/>
        <v>246</v>
      </c>
      <c r="CD158" s="5" t="str">
        <f>Lineup!$G$1</f>
        <v>一軍例行賽</v>
      </c>
      <c r="CE158" s="4">
        <f>Lineup!$I$1</f>
        <v>148</v>
      </c>
      <c r="CF158" s="5" t="str">
        <f>Lineup!$G$5</f>
        <v>王俊宏</v>
      </c>
      <c r="CG158" s="5" t="str">
        <f>Lineup!$G$4</f>
        <v>桃園</v>
      </c>
    </row>
    <row r="159" spans="1:85" x14ac:dyDescent="0.3">
      <c r="A159" s="4">
        <v>158</v>
      </c>
      <c r="B159" s="4">
        <v>4</v>
      </c>
      <c r="C159" s="4">
        <v>9</v>
      </c>
      <c r="D159" s="4">
        <v>9</v>
      </c>
      <c r="E159" s="4" t="s">
        <v>291</v>
      </c>
      <c r="F159" s="4" t="s">
        <v>343</v>
      </c>
      <c r="G159" s="4">
        <v>2</v>
      </c>
      <c r="H159" s="4">
        <v>1</v>
      </c>
      <c r="I159" s="4">
        <v>1</v>
      </c>
      <c r="J159" s="4">
        <v>0</v>
      </c>
      <c r="L159" s="4" t="s">
        <v>643</v>
      </c>
      <c r="M159" s="4" t="s">
        <v>360</v>
      </c>
      <c r="N159" s="4" t="s">
        <v>642</v>
      </c>
      <c r="O159" s="4">
        <v>66</v>
      </c>
      <c r="P159" s="4">
        <v>59.25</v>
      </c>
      <c r="Q159" s="4" t="s">
        <v>639</v>
      </c>
      <c r="AO159" s="4">
        <v>1</v>
      </c>
      <c r="AP159" s="4">
        <v>1</v>
      </c>
      <c r="AQ159" s="4" t="s">
        <v>645</v>
      </c>
      <c r="AS159">
        <v>0</v>
      </c>
      <c r="AT159">
        <v>1</v>
      </c>
      <c r="AU159" s="33">
        <v>13226.999999999996</v>
      </c>
      <c r="AV159" s="36" t="s">
        <v>644</v>
      </c>
      <c r="AW159" s="4">
        <v>13222.999999999989</v>
      </c>
      <c r="AX159" s="4" t="str">
        <f>IFERROR(VLOOKUP(M159,Roster!$L$2:$M$27,2,FALSE),"")</f>
        <v>L</v>
      </c>
      <c r="AY159" s="4" t="str">
        <f t="shared" si="14"/>
        <v>0好1壞</v>
      </c>
      <c r="BI159" s="5" t="str">
        <f>Lineup!$G$2</f>
        <v>20210817</v>
      </c>
      <c r="BJ159" s="4" t="str">
        <f t="shared" si="13"/>
        <v>中高</v>
      </c>
      <c r="BK159" s="4" t="str">
        <f t="shared" si="15"/>
        <v>B0O</v>
      </c>
      <c r="BL159" s="4" t="str">
        <f>IFERROR(VLOOKUP(E159,Roster!$D$2:$E$27,2,FALSE),"")</f>
        <v>R</v>
      </c>
      <c r="BP159" s="49"/>
      <c r="BQ159" s="49"/>
      <c r="BR159" s="49"/>
      <c r="BS159" s="49"/>
      <c r="BT159" s="49"/>
      <c r="BU159" s="49"/>
      <c r="BY159" s="4">
        <f t="shared" si="11"/>
        <v>126.75</v>
      </c>
      <c r="BZ159" s="4">
        <f t="shared" si="12"/>
        <v>246</v>
      </c>
      <c r="CD159" s="5" t="str">
        <f>Lineup!$G$1</f>
        <v>一軍例行賽</v>
      </c>
      <c r="CE159" s="4">
        <f>Lineup!$I$1</f>
        <v>148</v>
      </c>
      <c r="CF159" s="5" t="str">
        <f>Lineup!$G$5</f>
        <v>王俊宏</v>
      </c>
      <c r="CG159" s="5" t="str">
        <f>Lineup!$G$4</f>
        <v>桃園</v>
      </c>
    </row>
    <row r="160" spans="1:85" x14ac:dyDescent="0.3">
      <c r="A160" s="4">
        <v>159</v>
      </c>
      <c r="B160" s="4">
        <v>4</v>
      </c>
      <c r="C160" s="4">
        <v>9</v>
      </c>
      <c r="D160" s="4">
        <v>9</v>
      </c>
      <c r="E160" s="4" t="s">
        <v>291</v>
      </c>
      <c r="F160" s="4" t="s">
        <v>343</v>
      </c>
      <c r="G160" s="4">
        <v>3</v>
      </c>
      <c r="H160" s="4">
        <v>2</v>
      </c>
      <c r="I160" s="4">
        <v>1</v>
      </c>
      <c r="J160" s="4">
        <v>0</v>
      </c>
      <c r="K160" s="4">
        <v>131</v>
      </c>
      <c r="L160" s="4" t="s">
        <v>646</v>
      </c>
      <c r="M160" s="4" t="s">
        <v>360</v>
      </c>
      <c r="N160" s="4" t="s">
        <v>649</v>
      </c>
      <c r="O160" s="4">
        <v>91.5</v>
      </c>
      <c r="P160" s="4">
        <v>82.5</v>
      </c>
      <c r="Q160" s="4" t="s">
        <v>109</v>
      </c>
      <c r="R160" s="5" t="s">
        <v>656</v>
      </c>
      <c r="S160" s="4">
        <v>183</v>
      </c>
      <c r="T160" s="4">
        <v>100.5</v>
      </c>
      <c r="U160" s="4" t="s">
        <v>571</v>
      </c>
      <c r="AB160" s="4" t="s">
        <v>360</v>
      </c>
      <c r="AM160" s="4">
        <v>1</v>
      </c>
      <c r="AO160" s="4">
        <v>2</v>
      </c>
      <c r="AP160" s="4">
        <v>1</v>
      </c>
      <c r="AQ160" s="4" t="s">
        <v>647</v>
      </c>
      <c r="AS160">
        <v>1</v>
      </c>
      <c r="AT160">
        <v>1</v>
      </c>
      <c r="AU160" s="33">
        <v>13249.000000000005</v>
      </c>
      <c r="AV160" s="36" t="s">
        <v>644</v>
      </c>
      <c r="AW160" s="4">
        <v>13239.999999999995</v>
      </c>
      <c r="AX160" s="4" t="str">
        <f>IFERROR(VLOOKUP(M160,Roster!$L$2:$M$27,2,FALSE),"")</f>
        <v>L</v>
      </c>
      <c r="AY160" s="4" t="str">
        <f t="shared" si="14"/>
        <v>1好1壞</v>
      </c>
      <c r="BI160" s="5" t="str">
        <f>Lineup!$G$2</f>
        <v>20210817</v>
      </c>
      <c r="BJ160" s="4" t="str">
        <f t="shared" si="13"/>
        <v>外角中</v>
      </c>
      <c r="BK160" s="4" t="str">
        <f t="shared" si="15"/>
        <v>B0O</v>
      </c>
      <c r="BL160" s="4" t="str">
        <f>IFERROR(VLOOKUP(E160,Roster!$D$2:$E$27,2,FALSE),"")</f>
        <v>R</v>
      </c>
      <c r="BP160" s="49"/>
      <c r="BQ160" s="49"/>
      <c r="BR160" s="49"/>
      <c r="BS160" s="49"/>
      <c r="BT160" s="49"/>
      <c r="BU160" s="49"/>
      <c r="BY160" s="4">
        <f t="shared" si="11"/>
        <v>103.5</v>
      </c>
      <c r="BZ160" s="4">
        <f t="shared" si="12"/>
        <v>145.5</v>
      </c>
      <c r="CD160" s="5" t="str">
        <f>Lineup!$G$1</f>
        <v>一軍例行賽</v>
      </c>
      <c r="CE160" s="4">
        <f>Lineup!$I$1</f>
        <v>148</v>
      </c>
      <c r="CF160" s="5" t="str">
        <f>Lineup!$G$5</f>
        <v>王俊宏</v>
      </c>
      <c r="CG160" s="5" t="str">
        <f>Lineup!$G$4</f>
        <v>桃園</v>
      </c>
    </row>
    <row r="161" spans="1:85" x14ac:dyDescent="0.3">
      <c r="A161" s="4">
        <v>160</v>
      </c>
      <c r="B161" s="4">
        <v>4</v>
      </c>
      <c r="C161" s="4">
        <v>9</v>
      </c>
      <c r="D161" s="4">
        <v>9</v>
      </c>
      <c r="E161" s="4" t="s">
        <v>291</v>
      </c>
      <c r="F161" s="4" t="s">
        <v>343</v>
      </c>
      <c r="G161" s="4">
        <v>4</v>
      </c>
      <c r="H161" s="4">
        <v>3</v>
      </c>
      <c r="I161" s="4">
        <v>1</v>
      </c>
      <c r="J161" s="4">
        <v>0</v>
      </c>
      <c r="L161" s="4" t="s">
        <v>643</v>
      </c>
      <c r="M161" s="4" t="s">
        <v>341</v>
      </c>
      <c r="N161" s="4" t="s">
        <v>679</v>
      </c>
      <c r="O161" s="4">
        <v>93.75</v>
      </c>
      <c r="P161" s="4">
        <v>76.5</v>
      </c>
      <c r="Q161" s="4" t="s">
        <v>639</v>
      </c>
      <c r="R161" s="5" t="s">
        <v>678</v>
      </c>
      <c r="S161" s="4">
        <v>164.25</v>
      </c>
      <c r="T161" s="4">
        <v>200.25</v>
      </c>
      <c r="U161" s="4" t="s">
        <v>611</v>
      </c>
      <c r="V161" s="4" t="s">
        <v>376</v>
      </c>
      <c r="Y161" s="4" t="s">
        <v>611</v>
      </c>
      <c r="AB161" s="4" t="s">
        <v>341</v>
      </c>
      <c r="AC161" s="4" t="s">
        <v>360</v>
      </c>
      <c r="AE161" s="4" t="s">
        <v>661</v>
      </c>
      <c r="AF161" s="4" t="s">
        <v>661</v>
      </c>
      <c r="AG161" s="4" t="s">
        <v>661</v>
      </c>
      <c r="AM161" s="4">
        <v>1</v>
      </c>
      <c r="AO161" s="4">
        <v>1</v>
      </c>
      <c r="AP161" s="4">
        <v>0</v>
      </c>
      <c r="AQ161" s="4" t="s">
        <v>640</v>
      </c>
      <c r="AS161">
        <v>0</v>
      </c>
      <c r="AT161">
        <v>0</v>
      </c>
      <c r="AU161" s="33">
        <v>13299.999999999995</v>
      </c>
      <c r="AV161" s="36" t="s">
        <v>644</v>
      </c>
      <c r="AW161" s="4">
        <v>13288.999999999998</v>
      </c>
      <c r="AX161" s="4" t="str">
        <f>IFERROR(VLOOKUP(M161,Roster!$L$2:$M$27,2,FALSE),"")</f>
        <v>R</v>
      </c>
      <c r="AY161" s="4" t="str">
        <f t="shared" si="14"/>
        <v>0好0壞</v>
      </c>
      <c r="BI161" s="5" t="str">
        <f>Lineup!$G$2</f>
        <v>20210817</v>
      </c>
      <c r="BJ161" s="4" t="str">
        <f t="shared" si="13"/>
        <v>內角高</v>
      </c>
      <c r="BK161" s="4" t="str">
        <f t="shared" si="15"/>
        <v>1B0O</v>
      </c>
      <c r="BL161" s="4" t="str">
        <f>IFERROR(VLOOKUP(E161,Roster!$D$2:$E$27,2,FALSE),"")</f>
        <v>R</v>
      </c>
      <c r="BP161" s="49"/>
      <c r="BQ161" s="49"/>
      <c r="BR161" s="49"/>
      <c r="BS161" s="49"/>
      <c r="BT161" s="49"/>
      <c r="BU161" s="49"/>
      <c r="BY161" s="4">
        <f t="shared" si="11"/>
        <v>109.5</v>
      </c>
      <c r="BZ161" s="4">
        <f t="shared" si="12"/>
        <v>45.75</v>
      </c>
      <c r="CD161" s="5" t="str">
        <f>Lineup!$G$1</f>
        <v>一軍例行賽</v>
      </c>
      <c r="CE161" s="4">
        <f>Lineup!$I$1</f>
        <v>148</v>
      </c>
      <c r="CF161" s="5" t="str">
        <f>Lineup!$G$5</f>
        <v>王俊宏</v>
      </c>
      <c r="CG161" s="5" t="str">
        <f>Lineup!$G$4</f>
        <v>桃園</v>
      </c>
    </row>
    <row r="162" spans="1:85" x14ac:dyDescent="0.3">
      <c r="A162" s="4">
        <v>161</v>
      </c>
      <c r="B162" s="4">
        <v>4</v>
      </c>
      <c r="C162" s="4">
        <v>9</v>
      </c>
      <c r="D162" s="4">
        <v>9</v>
      </c>
      <c r="E162" s="4" t="s">
        <v>291</v>
      </c>
      <c r="F162" s="4" t="s">
        <v>343</v>
      </c>
      <c r="G162" s="4">
        <v>5</v>
      </c>
      <c r="H162" s="4">
        <v>3</v>
      </c>
      <c r="I162" s="4">
        <v>2</v>
      </c>
      <c r="J162" s="4">
        <v>0</v>
      </c>
      <c r="K162" s="4">
        <v>128</v>
      </c>
      <c r="L162" s="4" t="s">
        <v>646</v>
      </c>
      <c r="M162" s="4" t="s">
        <v>231</v>
      </c>
      <c r="N162" s="4" t="s">
        <v>642</v>
      </c>
      <c r="O162" s="4">
        <v>109.5</v>
      </c>
      <c r="P162" s="4">
        <v>73.5</v>
      </c>
      <c r="Q162" s="4" t="s">
        <v>641</v>
      </c>
      <c r="AB162" s="4" t="s">
        <v>341</v>
      </c>
      <c r="AC162" s="4" t="s">
        <v>360</v>
      </c>
      <c r="AO162" s="4">
        <v>0</v>
      </c>
      <c r="AP162" s="4">
        <v>1</v>
      </c>
      <c r="AQ162" s="4" t="s">
        <v>652</v>
      </c>
      <c r="AS162">
        <v>0</v>
      </c>
      <c r="AT162">
        <v>0</v>
      </c>
      <c r="AU162" s="33">
        <v>13358.999999999996</v>
      </c>
      <c r="AV162" s="36" t="s">
        <v>644</v>
      </c>
      <c r="AW162" s="4">
        <v>13356.000000000005</v>
      </c>
      <c r="AX162" s="4" t="str">
        <f>IFERROR(VLOOKUP(M162,Roster!$L$2:$M$27,2,FALSE),"")</f>
        <v>L</v>
      </c>
      <c r="AY162" s="4" t="str">
        <f t="shared" si="14"/>
        <v>0好0壞</v>
      </c>
      <c r="BI162" s="5" t="str">
        <f>Lineup!$G$2</f>
        <v>20210817</v>
      </c>
      <c r="BJ162" s="4" t="str">
        <f t="shared" si="13"/>
        <v>偏外角高</v>
      </c>
      <c r="BK162" s="4" t="str">
        <f t="shared" si="15"/>
        <v>12B0O</v>
      </c>
      <c r="BL162" s="4" t="str">
        <f>IFERROR(VLOOKUP(E162,Roster!$D$2:$E$27,2,FALSE),"")</f>
        <v>R</v>
      </c>
      <c r="BP162" s="49"/>
      <c r="BQ162" s="49"/>
      <c r="BR162" s="49"/>
      <c r="BS162" s="49"/>
      <c r="BT162" s="49"/>
      <c r="BU162" s="49"/>
      <c r="BY162" s="4">
        <f t="shared" si="11"/>
        <v>112.5</v>
      </c>
      <c r="BZ162" s="4">
        <f t="shared" si="12"/>
        <v>246</v>
      </c>
      <c r="CD162" s="5" t="str">
        <f>Lineup!$G$1</f>
        <v>一軍例行賽</v>
      </c>
      <c r="CE162" s="4">
        <f>Lineup!$I$1</f>
        <v>148</v>
      </c>
      <c r="CF162" s="5" t="str">
        <f>Lineup!$G$5</f>
        <v>王俊宏</v>
      </c>
      <c r="CG162" s="5" t="str">
        <f>Lineup!$G$4</f>
        <v>桃園</v>
      </c>
    </row>
    <row r="163" spans="1:85" x14ac:dyDescent="0.3">
      <c r="A163" s="4">
        <v>162</v>
      </c>
      <c r="B163" s="4">
        <v>4</v>
      </c>
      <c r="C163" s="4">
        <v>9</v>
      </c>
      <c r="D163" s="4">
        <v>9</v>
      </c>
      <c r="E163" s="4" t="s">
        <v>291</v>
      </c>
      <c r="F163" s="4" t="s">
        <v>343</v>
      </c>
      <c r="G163" s="4">
        <v>6</v>
      </c>
      <c r="H163" s="4">
        <v>3</v>
      </c>
      <c r="I163" s="4">
        <v>3</v>
      </c>
      <c r="J163" s="4">
        <v>0</v>
      </c>
      <c r="K163" s="4">
        <v>129</v>
      </c>
      <c r="L163" s="4" t="s">
        <v>724</v>
      </c>
      <c r="M163" s="4" t="s">
        <v>231</v>
      </c>
      <c r="N163" s="4" t="s">
        <v>642</v>
      </c>
      <c r="O163" s="4">
        <v>38.25</v>
      </c>
      <c r="P163" s="4">
        <v>150</v>
      </c>
      <c r="Q163" s="4" t="s">
        <v>641</v>
      </c>
      <c r="AB163" s="4" t="s">
        <v>341</v>
      </c>
      <c r="AC163" s="4" t="s">
        <v>360</v>
      </c>
      <c r="AO163" s="4">
        <v>0</v>
      </c>
      <c r="AP163" s="4">
        <v>2</v>
      </c>
      <c r="AQ163" s="4" t="s">
        <v>653</v>
      </c>
      <c r="AS163">
        <v>0</v>
      </c>
      <c r="AT163">
        <v>1</v>
      </c>
      <c r="AU163" s="33">
        <v>13403.999999999995</v>
      </c>
      <c r="AV163" s="36" t="s">
        <v>644</v>
      </c>
      <c r="AW163" s="4">
        <v>13398.000000000004</v>
      </c>
      <c r="AX163" s="4" t="str">
        <f>IFERROR(VLOOKUP(M163,Roster!$L$2:$M$27,2,FALSE),"")</f>
        <v>L</v>
      </c>
      <c r="AY163" s="4" t="str">
        <f t="shared" si="14"/>
        <v>0好1壞</v>
      </c>
      <c r="BI163" s="5" t="str">
        <f>Lineup!$G$2</f>
        <v>20210817</v>
      </c>
      <c r="BJ163" s="4" t="str">
        <f t="shared" si="13"/>
        <v>偏內角偏低</v>
      </c>
      <c r="BK163" s="4" t="str">
        <f t="shared" si="15"/>
        <v>12B0O</v>
      </c>
      <c r="BL163" s="4" t="str">
        <f>IFERROR(VLOOKUP(E163,Roster!$D$2:$E$27,2,FALSE),"")</f>
        <v>R</v>
      </c>
      <c r="BP163" s="49"/>
      <c r="BQ163" s="49"/>
      <c r="BR163" s="49"/>
      <c r="BS163" s="49"/>
      <c r="BT163" s="49"/>
      <c r="BU163" s="49"/>
      <c r="BY163" s="4">
        <f t="shared" si="11"/>
        <v>36</v>
      </c>
      <c r="BZ163" s="4">
        <f t="shared" si="12"/>
        <v>246</v>
      </c>
      <c r="CD163" s="5" t="str">
        <f>Lineup!$G$1</f>
        <v>一軍例行賽</v>
      </c>
      <c r="CE163" s="4">
        <f>Lineup!$I$1</f>
        <v>148</v>
      </c>
      <c r="CF163" s="5" t="str">
        <f>Lineup!$G$5</f>
        <v>王俊宏</v>
      </c>
      <c r="CG163" s="5" t="str">
        <f>Lineup!$G$4</f>
        <v>桃園</v>
      </c>
    </row>
    <row r="164" spans="1:85" x14ac:dyDescent="0.3">
      <c r="A164" s="4">
        <v>163</v>
      </c>
      <c r="B164" s="4">
        <v>4</v>
      </c>
      <c r="C164" s="4">
        <v>9</v>
      </c>
      <c r="D164" s="4">
        <v>9</v>
      </c>
      <c r="E164" s="4" t="s">
        <v>291</v>
      </c>
      <c r="F164" s="4" t="s">
        <v>343</v>
      </c>
      <c r="G164" s="4">
        <v>7</v>
      </c>
      <c r="H164" s="4">
        <v>4</v>
      </c>
      <c r="I164" s="4">
        <v>3</v>
      </c>
      <c r="J164" s="4">
        <v>1</v>
      </c>
      <c r="K164" s="4">
        <v>129</v>
      </c>
      <c r="L164" s="4" t="s">
        <v>724</v>
      </c>
      <c r="M164" s="4" t="s">
        <v>231</v>
      </c>
      <c r="N164" s="4" t="s">
        <v>679</v>
      </c>
      <c r="O164" s="4">
        <v>50.25</v>
      </c>
      <c r="P164" s="4">
        <v>81.75</v>
      </c>
      <c r="Q164" s="4" t="s">
        <v>639</v>
      </c>
      <c r="R164" s="5" t="s">
        <v>709</v>
      </c>
      <c r="S164" s="4">
        <v>159.75</v>
      </c>
      <c r="T164" s="4">
        <v>198.75</v>
      </c>
      <c r="U164" s="4" t="s">
        <v>611</v>
      </c>
      <c r="V164" s="4" t="s">
        <v>352</v>
      </c>
      <c r="AC164" s="4" t="s">
        <v>341</v>
      </c>
      <c r="AD164" s="4" t="s">
        <v>360</v>
      </c>
      <c r="AE164" s="4" t="s">
        <v>661</v>
      </c>
      <c r="AF164" s="4" t="s">
        <v>661</v>
      </c>
      <c r="AG164" s="4" t="s">
        <v>661</v>
      </c>
      <c r="AH164" s="4" t="s">
        <v>231</v>
      </c>
      <c r="AK164" s="4">
        <v>1</v>
      </c>
      <c r="AM164" s="4">
        <v>1</v>
      </c>
      <c r="AO164" s="4">
        <v>1</v>
      </c>
      <c r="AP164" s="4">
        <v>2</v>
      </c>
      <c r="AQ164" s="4" t="s">
        <v>654</v>
      </c>
      <c r="AR164" s="4" t="s">
        <v>710</v>
      </c>
      <c r="AS164">
        <v>0</v>
      </c>
      <c r="AT164">
        <v>2</v>
      </c>
      <c r="AU164" s="33">
        <v>13458.000000000004</v>
      </c>
      <c r="AV164" s="36" t="s">
        <v>644</v>
      </c>
      <c r="AW164" s="4">
        <v>13448.999999999993</v>
      </c>
      <c r="AX164" s="4" t="str">
        <f>IFERROR(VLOOKUP(M164,Roster!$L$2:$M$27,2,FALSE),"")</f>
        <v>L</v>
      </c>
      <c r="AY164" s="4" t="str">
        <f t="shared" si="14"/>
        <v>0好2壞</v>
      </c>
      <c r="BI164" s="5" t="str">
        <f>Lineup!$G$2</f>
        <v>20210817</v>
      </c>
      <c r="BJ164" s="4" t="str">
        <f t="shared" si="13"/>
        <v>內角中</v>
      </c>
      <c r="BK164" s="4" t="str">
        <f t="shared" si="15"/>
        <v>12B0O</v>
      </c>
      <c r="BL164" s="4" t="str">
        <f>IFERROR(VLOOKUP(E164,Roster!$D$2:$E$27,2,FALSE),"")</f>
        <v>R</v>
      </c>
      <c r="BP164" s="49"/>
      <c r="BQ164" s="49"/>
      <c r="BR164" s="49"/>
      <c r="BS164" s="49"/>
      <c r="BT164" s="49"/>
      <c r="BU164" s="49"/>
      <c r="BY164" s="4">
        <f t="shared" si="11"/>
        <v>104.25</v>
      </c>
      <c r="BZ164" s="4">
        <f t="shared" si="12"/>
        <v>47.25</v>
      </c>
      <c r="CD164" s="5" t="str">
        <f>Lineup!$G$1</f>
        <v>一軍例行賽</v>
      </c>
      <c r="CE164" s="4">
        <f>Lineup!$I$1</f>
        <v>148</v>
      </c>
      <c r="CF164" s="5" t="str">
        <f>Lineup!$G$5</f>
        <v>王俊宏</v>
      </c>
      <c r="CG164" s="5" t="str">
        <f>Lineup!$G$4</f>
        <v>桃園</v>
      </c>
    </row>
    <row r="165" spans="1:85" x14ac:dyDescent="0.3">
      <c r="A165" s="4">
        <v>164</v>
      </c>
      <c r="B165" s="4">
        <v>4</v>
      </c>
      <c r="C165" s="4">
        <v>9</v>
      </c>
      <c r="D165" s="4">
        <v>9</v>
      </c>
      <c r="E165" s="4" t="s">
        <v>291</v>
      </c>
      <c r="F165" s="4" t="s">
        <v>343</v>
      </c>
      <c r="G165" s="4">
        <v>8</v>
      </c>
      <c r="H165" s="4">
        <v>4</v>
      </c>
      <c r="I165" s="4">
        <v>4</v>
      </c>
      <c r="J165" s="4">
        <v>1</v>
      </c>
      <c r="K165" s="4">
        <v>144</v>
      </c>
      <c r="L165" s="4" t="s">
        <v>643</v>
      </c>
      <c r="M165" s="4" t="s">
        <v>350</v>
      </c>
      <c r="N165" s="4" t="s">
        <v>642</v>
      </c>
      <c r="O165" s="4">
        <v>125.25</v>
      </c>
      <c r="P165" s="4">
        <v>75</v>
      </c>
      <c r="Q165" s="4" t="s">
        <v>641</v>
      </c>
      <c r="AC165" s="4" t="s">
        <v>341</v>
      </c>
      <c r="AD165" s="4" t="s">
        <v>360</v>
      </c>
      <c r="AO165" s="4">
        <v>0</v>
      </c>
      <c r="AP165" s="4">
        <v>1</v>
      </c>
      <c r="AQ165" s="4" t="s">
        <v>652</v>
      </c>
      <c r="AS165">
        <v>0</v>
      </c>
      <c r="AT165">
        <v>0</v>
      </c>
      <c r="AU165" s="33">
        <v>13525.999999999998</v>
      </c>
      <c r="AV165" s="36" t="s">
        <v>644</v>
      </c>
      <c r="AW165" s="4">
        <v>13522</v>
      </c>
      <c r="AX165" s="4" t="str">
        <f>IFERROR(VLOOKUP(M165,Roster!$L$2:$M$27,2,FALSE),"")</f>
        <v>L</v>
      </c>
      <c r="AY165" s="4" t="str">
        <f t="shared" si="14"/>
        <v>0好0壞</v>
      </c>
      <c r="BI165" s="5" t="str">
        <f>Lineup!$G$2</f>
        <v>20210817</v>
      </c>
      <c r="BJ165" s="4" t="str">
        <f t="shared" si="13"/>
        <v>偏外角高</v>
      </c>
      <c r="BK165" s="4" t="str">
        <f t="shared" si="15"/>
        <v>23B1O</v>
      </c>
      <c r="BL165" s="4" t="str">
        <f>IFERROR(VLOOKUP(E165,Roster!$D$2:$E$27,2,FALSE),"")</f>
        <v>R</v>
      </c>
      <c r="BP165" s="49"/>
      <c r="BQ165" s="49"/>
      <c r="BR165" s="49"/>
      <c r="BS165" s="49"/>
      <c r="BT165" s="49"/>
      <c r="BU165" s="49"/>
      <c r="BY165" s="4">
        <f t="shared" si="11"/>
        <v>111</v>
      </c>
      <c r="BZ165" s="4">
        <f t="shared" si="12"/>
        <v>246</v>
      </c>
      <c r="CD165" s="5" t="str">
        <f>Lineup!$G$1</f>
        <v>一軍例行賽</v>
      </c>
      <c r="CE165" s="4">
        <f>Lineup!$I$1</f>
        <v>148</v>
      </c>
      <c r="CF165" s="5" t="str">
        <f>Lineup!$G$5</f>
        <v>王俊宏</v>
      </c>
      <c r="CG165" s="5" t="str">
        <f>Lineup!$G$4</f>
        <v>桃園</v>
      </c>
    </row>
    <row r="166" spans="1:85" x14ac:dyDescent="0.3">
      <c r="A166" s="4">
        <v>165</v>
      </c>
      <c r="B166" s="4">
        <v>4</v>
      </c>
      <c r="C166" s="4">
        <v>9</v>
      </c>
      <c r="D166" s="4">
        <v>9</v>
      </c>
      <c r="E166" s="4" t="s">
        <v>291</v>
      </c>
      <c r="F166" s="4" t="s">
        <v>343</v>
      </c>
      <c r="G166" s="4">
        <v>9</v>
      </c>
      <c r="H166" s="4">
        <v>4</v>
      </c>
      <c r="I166" s="4">
        <v>5</v>
      </c>
      <c r="J166" s="4">
        <v>1</v>
      </c>
      <c r="K166" s="4">
        <v>142</v>
      </c>
      <c r="L166" s="4" t="s">
        <v>643</v>
      </c>
      <c r="M166" s="4" t="s">
        <v>350</v>
      </c>
      <c r="N166" s="4" t="s">
        <v>642</v>
      </c>
      <c r="O166" s="4">
        <v>117.75</v>
      </c>
      <c r="P166" s="4">
        <v>63.75</v>
      </c>
      <c r="Q166" s="4" t="s">
        <v>641</v>
      </c>
      <c r="AC166" s="4" t="s">
        <v>341</v>
      </c>
      <c r="AD166" s="4" t="s">
        <v>360</v>
      </c>
      <c r="AO166" s="4">
        <v>0</v>
      </c>
      <c r="AP166" s="4">
        <v>2</v>
      </c>
      <c r="AQ166" s="4" t="s">
        <v>653</v>
      </c>
      <c r="AS166">
        <v>0</v>
      </c>
      <c r="AT166">
        <v>1</v>
      </c>
      <c r="AU166" s="33">
        <v>13551.999999999995</v>
      </c>
      <c r="AV166" s="36" t="s">
        <v>644</v>
      </c>
      <c r="AW166" s="4">
        <v>13547.999999999998</v>
      </c>
      <c r="AX166" s="4" t="str">
        <f>IFERROR(VLOOKUP(M166,Roster!$L$2:$M$27,2,FALSE),"")</f>
        <v>L</v>
      </c>
      <c r="AY166" s="4" t="str">
        <f t="shared" si="14"/>
        <v>0好1壞</v>
      </c>
      <c r="BI166" s="5" t="str">
        <f>Lineup!$G$2</f>
        <v>20210817</v>
      </c>
      <c r="BJ166" s="4" t="str">
        <f t="shared" si="13"/>
        <v>偏外角高</v>
      </c>
      <c r="BK166" s="4" t="str">
        <f t="shared" si="15"/>
        <v>23B1O</v>
      </c>
      <c r="BL166" s="4" t="str">
        <f>IFERROR(VLOOKUP(E166,Roster!$D$2:$E$27,2,FALSE),"")</f>
        <v>R</v>
      </c>
      <c r="BP166" s="49"/>
      <c r="BQ166" s="49"/>
      <c r="BR166" s="49"/>
      <c r="BS166" s="49"/>
      <c r="BT166" s="49"/>
      <c r="BU166" s="49"/>
      <c r="BY166" s="4">
        <f t="shared" si="11"/>
        <v>122.25</v>
      </c>
      <c r="BZ166" s="4">
        <f t="shared" si="12"/>
        <v>246</v>
      </c>
      <c r="CD166" s="5" t="str">
        <f>Lineup!$G$1</f>
        <v>一軍例行賽</v>
      </c>
      <c r="CE166" s="4">
        <f>Lineup!$I$1</f>
        <v>148</v>
      </c>
      <c r="CF166" s="5" t="str">
        <f>Lineup!$G$5</f>
        <v>王俊宏</v>
      </c>
      <c r="CG166" s="5" t="str">
        <f>Lineup!$G$4</f>
        <v>桃園</v>
      </c>
    </row>
    <row r="167" spans="1:85" x14ac:dyDescent="0.3">
      <c r="A167" s="4">
        <v>166</v>
      </c>
      <c r="B167" s="4">
        <v>4</v>
      </c>
      <c r="C167" s="4">
        <v>9</v>
      </c>
      <c r="D167" s="4">
        <v>9</v>
      </c>
      <c r="E167" s="4" t="s">
        <v>291</v>
      </c>
      <c r="F167" s="4" t="s">
        <v>343</v>
      </c>
      <c r="G167" s="4">
        <v>10</v>
      </c>
      <c r="H167" s="4">
        <v>5</v>
      </c>
      <c r="I167" s="4">
        <v>5</v>
      </c>
      <c r="J167" s="4">
        <v>1</v>
      </c>
      <c r="K167" s="4">
        <v>132</v>
      </c>
      <c r="L167" s="4" t="s">
        <v>724</v>
      </c>
      <c r="M167" s="4" t="s">
        <v>350</v>
      </c>
      <c r="N167" s="4" t="s">
        <v>649</v>
      </c>
      <c r="O167" s="4">
        <v>90.75</v>
      </c>
      <c r="P167" s="4">
        <v>121.5</v>
      </c>
      <c r="Q167" s="4" t="s">
        <v>639</v>
      </c>
      <c r="R167" s="5" t="s">
        <v>657</v>
      </c>
      <c r="AC167" s="4" t="s">
        <v>341</v>
      </c>
      <c r="AD167" s="4" t="s">
        <v>360</v>
      </c>
      <c r="AO167" s="4">
        <v>1</v>
      </c>
      <c r="AP167" s="4">
        <v>2</v>
      </c>
      <c r="AQ167" s="4" t="s">
        <v>654</v>
      </c>
      <c r="AS167">
        <v>0</v>
      </c>
      <c r="AT167">
        <v>2</v>
      </c>
      <c r="AU167" s="33">
        <v>13596.999999999993</v>
      </c>
      <c r="AV167" s="36" t="s">
        <v>644</v>
      </c>
      <c r="AW167" s="4">
        <v>13591.000000000002</v>
      </c>
      <c r="AX167" s="4" t="str">
        <f>IFERROR(VLOOKUP(M167,Roster!$L$2:$M$27,2,FALSE),"")</f>
        <v>L</v>
      </c>
      <c r="AY167" s="4" t="str">
        <f t="shared" si="14"/>
        <v>0好2壞</v>
      </c>
      <c r="BI167" s="5" t="str">
        <f>Lineup!$G$2</f>
        <v>20210817</v>
      </c>
      <c r="BJ167" s="4" t="str">
        <f t="shared" si="13"/>
        <v>外角低</v>
      </c>
      <c r="BK167" s="4" t="str">
        <f t="shared" si="15"/>
        <v>23B1O</v>
      </c>
      <c r="BL167" s="4" t="str">
        <f>IFERROR(VLOOKUP(E167,Roster!$D$2:$E$27,2,FALSE),"")</f>
        <v>R</v>
      </c>
      <c r="BP167" s="49"/>
      <c r="BQ167" s="49"/>
      <c r="BR167" s="49"/>
      <c r="BS167" s="49"/>
      <c r="BT167" s="49"/>
      <c r="BU167" s="49"/>
      <c r="BY167" s="4">
        <f t="shared" si="11"/>
        <v>64.5</v>
      </c>
      <c r="BZ167" s="4">
        <f t="shared" si="12"/>
        <v>246</v>
      </c>
      <c r="CD167" s="5" t="str">
        <f>Lineup!$G$1</f>
        <v>一軍例行賽</v>
      </c>
      <c r="CE167" s="4">
        <f>Lineup!$I$1</f>
        <v>148</v>
      </c>
      <c r="CF167" s="5" t="str">
        <f>Lineup!$G$5</f>
        <v>王俊宏</v>
      </c>
      <c r="CG167" s="5" t="str">
        <f>Lineup!$G$4</f>
        <v>桃園</v>
      </c>
    </row>
    <row r="168" spans="1:85" x14ac:dyDescent="0.3">
      <c r="A168" s="4">
        <v>167</v>
      </c>
      <c r="B168" s="4">
        <v>4</v>
      </c>
      <c r="C168" s="4">
        <v>9</v>
      </c>
      <c r="D168" s="4">
        <v>9</v>
      </c>
      <c r="E168" s="4" t="s">
        <v>291</v>
      </c>
      <c r="F168" s="4" t="s">
        <v>343</v>
      </c>
      <c r="G168" s="4">
        <v>11</v>
      </c>
      <c r="H168" s="4">
        <v>6</v>
      </c>
      <c r="I168" s="4">
        <v>5</v>
      </c>
      <c r="J168" s="4">
        <v>1</v>
      </c>
      <c r="K168" s="4">
        <v>146</v>
      </c>
      <c r="L168" s="4" t="s">
        <v>643</v>
      </c>
      <c r="M168" s="4" t="s">
        <v>350</v>
      </c>
      <c r="N168" s="4" t="s">
        <v>642</v>
      </c>
      <c r="O168" s="4">
        <v>109.5</v>
      </c>
      <c r="P168" s="4">
        <v>130.5</v>
      </c>
      <c r="Q168" s="4" t="s">
        <v>639</v>
      </c>
      <c r="AC168" s="4" t="s">
        <v>341</v>
      </c>
      <c r="AD168" s="4" t="s">
        <v>360</v>
      </c>
      <c r="AO168" s="4">
        <v>2</v>
      </c>
      <c r="AP168" s="4">
        <v>2</v>
      </c>
      <c r="AQ168" s="4" t="s">
        <v>655</v>
      </c>
      <c r="AS168">
        <v>1</v>
      </c>
      <c r="AT168">
        <v>2</v>
      </c>
      <c r="AU168" s="33">
        <v>13629.999999999998</v>
      </c>
      <c r="AV168" s="36" t="s">
        <v>644</v>
      </c>
      <c r="AW168" s="4">
        <v>13626</v>
      </c>
      <c r="AX168" s="4" t="str">
        <f>IFERROR(VLOOKUP(M168,Roster!$L$2:$M$27,2,FALSE),"")</f>
        <v>L</v>
      </c>
      <c r="AY168" s="4" t="str">
        <f t="shared" si="14"/>
        <v>1好2壞</v>
      </c>
      <c r="BI168" s="5" t="str">
        <f>Lineup!$G$2</f>
        <v>20210817</v>
      </c>
      <c r="BJ168" s="4" t="str">
        <f t="shared" si="13"/>
        <v>偏外角偏低</v>
      </c>
      <c r="BK168" s="4" t="str">
        <f t="shared" si="15"/>
        <v>23B1O</v>
      </c>
      <c r="BL168" s="4" t="str">
        <f>IFERROR(VLOOKUP(E168,Roster!$D$2:$E$27,2,FALSE),"")</f>
        <v>R</v>
      </c>
      <c r="BP168" s="49"/>
      <c r="BQ168" s="49"/>
      <c r="BR168" s="49"/>
      <c r="BS168" s="49"/>
      <c r="BT168" s="49"/>
      <c r="BU168" s="49"/>
      <c r="BY168" s="4">
        <f t="shared" si="11"/>
        <v>55.5</v>
      </c>
      <c r="BZ168" s="4">
        <f t="shared" si="12"/>
        <v>246</v>
      </c>
      <c r="CD168" s="5" t="str">
        <f>Lineup!$G$1</f>
        <v>一軍例行賽</v>
      </c>
      <c r="CE168" s="4">
        <f>Lineup!$I$1</f>
        <v>148</v>
      </c>
      <c r="CF168" s="5" t="str">
        <f>Lineup!$G$5</f>
        <v>王俊宏</v>
      </c>
      <c r="CG168" s="5" t="str">
        <f>Lineup!$G$4</f>
        <v>桃園</v>
      </c>
    </row>
    <row r="169" spans="1:85" x14ac:dyDescent="0.3">
      <c r="A169" s="4">
        <v>168</v>
      </c>
      <c r="B169" s="4">
        <v>4</v>
      </c>
      <c r="C169" s="4">
        <v>9</v>
      </c>
      <c r="D169" s="4">
        <v>9</v>
      </c>
      <c r="E169" s="4" t="s">
        <v>291</v>
      </c>
      <c r="F169" s="4" t="s">
        <v>343</v>
      </c>
      <c r="G169" s="4">
        <v>12</v>
      </c>
      <c r="H169" s="4">
        <v>7</v>
      </c>
      <c r="I169" s="4">
        <v>5</v>
      </c>
      <c r="J169" s="4">
        <v>2</v>
      </c>
      <c r="K169" s="4">
        <v>143</v>
      </c>
      <c r="L169" s="4" t="s">
        <v>643</v>
      </c>
      <c r="M169" s="4" t="s">
        <v>350</v>
      </c>
      <c r="N169" s="4" t="s">
        <v>649</v>
      </c>
      <c r="O169" s="4">
        <v>93</v>
      </c>
      <c r="P169" s="4">
        <v>121.5</v>
      </c>
      <c r="Q169" s="4" t="s">
        <v>639</v>
      </c>
      <c r="R169" s="5" t="s">
        <v>685</v>
      </c>
      <c r="AC169" s="4" t="s">
        <v>341</v>
      </c>
      <c r="AD169" s="4" t="s">
        <v>360</v>
      </c>
      <c r="AI169" s="4" t="s">
        <v>350</v>
      </c>
      <c r="AK169" s="4">
        <v>1</v>
      </c>
      <c r="AM169" s="4">
        <v>1</v>
      </c>
      <c r="AO169" s="4">
        <v>3</v>
      </c>
      <c r="AP169" s="4">
        <v>2</v>
      </c>
      <c r="AQ169" s="4" t="s">
        <v>683</v>
      </c>
      <c r="AR169" s="4" t="s">
        <v>651</v>
      </c>
      <c r="AS169">
        <v>2</v>
      </c>
      <c r="AT169">
        <v>2</v>
      </c>
      <c r="AU169" s="33">
        <v>13665.999999999995</v>
      </c>
      <c r="AV169" s="36" t="s">
        <v>644</v>
      </c>
      <c r="AW169" s="4">
        <v>13661.999999999996</v>
      </c>
      <c r="AX169" s="4" t="str">
        <f>IFERROR(VLOOKUP(M169,Roster!$L$2:$M$27,2,FALSE),"")</f>
        <v>L</v>
      </c>
      <c r="AY169" s="4" t="str">
        <f t="shared" si="14"/>
        <v>2好2壞</v>
      </c>
      <c r="BI169" s="5" t="str">
        <f>Lineup!$G$2</f>
        <v>20210817</v>
      </c>
      <c r="BJ169" s="4" t="str">
        <f t="shared" si="13"/>
        <v>外角低</v>
      </c>
      <c r="BK169" s="4" t="str">
        <f t="shared" si="15"/>
        <v>23B1O</v>
      </c>
      <c r="BL169" s="4" t="str">
        <f>IFERROR(VLOOKUP(E169,Roster!$D$2:$E$27,2,FALSE),"")</f>
        <v>R</v>
      </c>
      <c r="BP169" s="49"/>
      <c r="BQ169" s="49"/>
      <c r="BR169" s="49"/>
      <c r="BS169" s="49"/>
      <c r="BT169" s="49"/>
      <c r="BU169" s="49"/>
      <c r="BY169" s="4">
        <f t="shared" si="11"/>
        <v>64.5</v>
      </c>
      <c r="BZ169" s="4">
        <f t="shared" si="12"/>
        <v>246</v>
      </c>
      <c r="CD169" s="5" t="str">
        <f>Lineup!$G$1</f>
        <v>一軍例行賽</v>
      </c>
      <c r="CE169" s="4">
        <f>Lineup!$I$1</f>
        <v>148</v>
      </c>
      <c r="CF169" s="5" t="str">
        <f>Lineup!$G$5</f>
        <v>王俊宏</v>
      </c>
      <c r="CG169" s="5" t="str">
        <f>Lineup!$G$4</f>
        <v>桃園</v>
      </c>
    </row>
    <row r="170" spans="1:85" x14ac:dyDescent="0.3">
      <c r="A170" s="4">
        <v>169</v>
      </c>
      <c r="B170" s="4">
        <v>4</v>
      </c>
      <c r="C170" s="4">
        <v>9</v>
      </c>
      <c r="D170" s="4">
        <v>9</v>
      </c>
      <c r="E170" s="4" t="s">
        <v>291</v>
      </c>
      <c r="F170" s="4" t="s">
        <v>343</v>
      </c>
      <c r="G170" s="4">
        <v>13</v>
      </c>
      <c r="H170" s="4">
        <v>8</v>
      </c>
      <c r="I170" s="4">
        <v>5</v>
      </c>
      <c r="J170" s="4">
        <v>2</v>
      </c>
      <c r="K170" s="4">
        <v>145</v>
      </c>
      <c r="L170" s="4" t="s">
        <v>643</v>
      </c>
      <c r="M170" s="4" t="s">
        <v>369</v>
      </c>
      <c r="N170" s="4" t="s">
        <v>642</v>
      </c>
      <c r="O170" s="4">
        <v>49.5</v>
      </c>
      <c r="P170" s="4">
        <v>105</v>
      </c>
      <c r="Q170" s="4" t="s">
        <v>639</v>
      </c>
      <c r="AC170" s="4" t="s">
        <v>341</v>
      </c>
      <c r="AD170" s="4" t="s">
        <v>360</v>
      </c>
      <c r="AO170" s="4">
        <v>1</v>
      </c>
      <c r="AP170" s="4">
        <v>0</v>
      </c>
      <c r="AQ170" s="4" t="s">
        <v>640</v>
      </c>
      <c r="AS170">
        <v>0</v>
      </c>
      <c r="AT170">
        <v>0</v>
      </c>
      <c r="AU170" s="33">
        <v>13708.999999999998</v>
      </c>
      <c r="AV170" s="36" t="s">
        <v>644</v>
      </c>
      <c r="AW170" s="4">
        <v>13705</v>
      </c>
      <c r="AX170" s="4" t="str">
        <f>IFERROR(VLOOKUP(M170,Roster!$L$2:$M$27,2,FALSE),"")</f>
        <v>R</v>
      </c>
      <c r="AY170" s="4" t="str">
        <f t="shared" si="14"/>
        <v>0好0壞</v>
      </c>
      <c r="BI170" s="5" t="str">
        <f>Lineup!$G$2</f>
        <v>20210817</v>
      </c>
      <c r="BJ170" s="4" t="str">
        <f t="shared" si="13"/>
        <v>外角低</v>
      </c>
      <c r="BK170" s="4" t="str">
        <f t="shared" si="15"/>
        <v>23B2O</v>
      </c>
      <c r="BL170" s="4" t="str">
        <f>IFERROR(VLOOKUP(E170,Roster!$D$2:$E$27,2,FALSE),"")</f>
        <v>R</v>
      </c>
      <c r="BP170" s="49"/>
      <c r="BQ170" s="49"/>
      <c r="BR170" s="49"/>
      <c r="BS170" s="49"/>
      <c r="BT170" s="49"/>
      <c r="BU170" s="49"/>
      <c r="BY170" s="4">
        <f t="shared" si="11"/>
        <v>81</v>
      </c>
      <c r="BZ170" s="4">
        <f t="shared" si="12"/>
        <v>246</v>
      </c>
      <c r="CD170" s="5" t="str">
        <f>Lineup!$G$1</f>
        <v>一軍例行賽</v>
      </c>
      <c r="CE170" s="4">
        <f>Lineup!$I$1</f>
        <v>148</v>
      </c>
      <c r="CF170" s="5" t="str">
        <f>Lineup!$G$5</f>
        <v>王俊宏</v>
      </c>
      <c r="CG170" s="5" t="str">
        <f>Lineup!$G$4</f>
        <v>桃園</v>
      </c>
    </row>
    <row r="171" spans="1:85" x14ac:dyDescent="0.3">
      <c r="A171" s="4">
        <v>170</v>
      </c>
      <c r="B171" s="4">
        <v>4</v>
      </c>
      <c r="C171" s="4">
        <v>9</v>
      </c>
      <c r="D171" s="4">
        <v>9</v>
      </c>
      <c r="E171" s="4" t="s">
        <v>291</v>
      </c>
      <c r="F171" s="4" t="s">
        <v>343</v>
      </c>
      <c r="G171" s="4">
        <v>14</v>
      </c>
      <c r="H171" s="4">
        <v>9</v>
      </c>
      <c r="I171" s="4">
        <v>5</v>
      </c>
      <c r="J171" s="4">
        <v>2</v>
      </c>
      <c r="K171" s="4">
        <v>144</v>
      </c>
      <c r="L171" s="4" t="s">
        <v>643</v>
      </c>
      <c r="M171" s="4" t="s">
        <v>369</v>
      </c>
      <c r="N171" s="4" t="s">
        <v>649</v>
      </c>
      <c r="O171" s="4">
        <v>99</v>
      </c>
      <c r="P171" s="4">
        <v>77.25</v>
      </c>
      <c r="Q171" s="4" t="s">
        <v>639</v>
      </c>
      <c r="R171" s="5" t="s">
        <v>657</v>
      </c>
      <c r="AC171" s="4" t="s">
        <v>341</v>
      </c>
      <c r="AD171" s="4" t="s">
        <v>360</v>
      </c>
      <c r="AO171" s="4">
        <v>2</v>
      </c>
      <c r="AP171" s="4">
        <v>0</v>
      </c>
      <c r="AQ171" s="4" t="s">
        <v>662</v>
      </c>
      <c r="AS171">
        <v>1</v>
      </c>
      <c r="AT171">
        <v>0</v>
      </c>
      <c r="AU171" s="33">
        <v>13743.999999999996</v>
      </c>
      <c r="AV171" s="36" t="s">
        <v>644</v>
      </c>
      <c r="AW171" s="4">
        <v>13737.999999999996</v>
      </c>
      <c r="AX171" s="4" t="str">
        <f>IFERROR(VLOOKUP(M171,Roster!$L$2:$M$27,2,FALSE),"")</f>
        <v>R</v>
      </c>
      <c r="AY171" s="4" t="str">
        <f t="shared" si="14"/>
        <v>1好0壞</v>
      </c>
      <c r="BI171" s="5" t="str">
        <f>Lineup!$G$2</f>
        <v>20210817</v>
      </c>
      <c r="BJ171" s="4" t="str">
        <f t="shared" si="13"/>
        <v>內角高</v>
      </c>
      <c r="BK171" s="4" t="str">
        <f t="shared" si="15"/>
        <v>23B2O</v>
      </c>
      <c r="BL171" s="4" t="str">
        <f>IFERROR(VLOOKUP(E171,Roster!$D$2:$E$27,2,FALSE),"")</f>
        <v>R</v>
      </c>
      <c r="BP171" s="49"/>
      <c r="BQ171" s="49"/>
      <c r="BR171" s="49"/>
      <c r="BS171" s="49"/>
      <c r="BT171" s="49"/>
      <c r="BU171" s="49"/>
      <c r="BY171" s="4">
        <f t="shared" si="11"/>
        <v>108.75</v>
      </c>
      <c r="BZ171" s="4">
        <f t="shared" si="12"/>
        <v>246</v>
      </c>
      <c r="CD171" s="5" t="str">
        <f>Lineup!$G$1</f>
        <v>一軍例行賽</v>
      </c>
      <c r="CE171" s="4">
        <f>Lineup!$I$1</f>
        <v>148</v>
      </c>
      <c r="CF171" s="5" t="str">
        <f>Lineup!$G$5</f>
        <v>王俊宏</v>
      </c>
      <c r="CG171" s="5" t="str">
        <f>Lineup!$G$4</f>
        <v>桃園</v>
      </c>
    </row>
    <row r="172" spans="1:85" x14ac:dyDescent="0.3">
      <c r="A172" s="4">
        <v>171</v>
      </c>
      <c r="B172" s="4">
        <v>4</v>
      </c>
      <c r="C172" s="4">
        <v>9</v>
      </c>
      <c r="D172" s="4">
        <v>9</v>
      </c>
      <c r="E172" s="4" t="s">
        <v>291</v>
      </c>
      <c r="F172" s="4" t="s">
        <v>343</v>
      </c>
      <c r="G172" s="4">
        <v>15</v>
      </c>
      <c r="H172" s="4">
        <v>9</v>
      </c>
      <c r="I172" s="4">
        <v>6</v>
      </c>
      <c r="J172" s="4">
        <v>2</v>
      </c>
      <c r="K172" s="4">
        <v>143</v>
      </c>
      <c r="L172" s="4" t="s">
        <v>643</v>
      </c>
      <c r="M172" s="4" t="s">
        <v>369</v>
      </c>
      <c r="N172" s="4" t="s">
        <v>642</v>
      </c>
      <c r="O172" s="4">
        <v>77.25</v>
      </c>
      <c r="P172" s="4">
        <v>19.5</v>
      </c>
      <c r="Q172" s="4" t="s">
        <v>641</v>
      </c>
      <c r="AC172" s="4" t="s">
        <v>341</v>
      </c>
      <c r="AD172" s="4" t="s">
        <v>360</v>
      </c>
      <c r="AO172" s="4">
        <v>2</v>
      </c>
      <c r="AP172" s="4">
        <v>1</v>
      </c>
      <c r="AQ172" s="4" t="s">
        <v>647</v>
      </c>
      <c r="AS172">
        <v>2</v>
      </c>
      <c r="AT172">
        <v>0</v>
      </c>
      <c r="AU172" s="33">
        <v>13783.999999999991</v>
      </c>
      <c r="AV172" s="36" t="s">
        <v>644</v>
      </c>
      <c r="AW172" s="4">
        <v>13779.999999999993</v>
      </c>
      <c r="AX172" s="4" t="str">
        <f>IFERROR(VLOOKUP(M172,Roster!$L$2:$M$27,2,FALSE),"")</f>
        <v>R</v>
      </c>
      <c r="AY172" s="4" t="str">
        <f t="shared" si="14"/>
        <v>2好0壞</v>
      </c>
      <c r="BI172" s="5" t="str">
        <f>Lineup!$G$2</f>
        <v>20210817</v>
      </c>
      <c r="BJ172" s="4" t="str">
        <f t="shared" si="13"/>
        <v>中偏高</v>
      </c>
      <c r="BK172" s="4" t="str">
        <f t="shared" si="15"/>
        <v>23B2O</v>
      </c>
      <c r="BL172" s="4" t="str">
        <f>IFERROR(VLOOKUP(E172,Roster!$D$2:$E$27,2,FALSE),"")</f>
        <v>R</v>
      </c>
      <c r="BP172" s="49"/>
      <c r="BQ172" s="49"/>
      <c r="BR172" s="49"/>
      <c r="BS172" s="49"/>
      <c r="BT172" s="49"/>
      <c r="BU172" s="49"/>
      <c r="BY172" s="4">
        <f t="shared" si="11"/>
        <v>166.5</v>
      </c>
      <c r="BZ172" s="4">
        <f t="shared" si="12"/>
        <v>246</v>
      </c>
      <c r="CD172" s="5" t="str">
        <f>Lineup!$G$1</f>
        <v>一軍例行賽</v>
      </c>
      <c r="CE172" s="4">
        <f>Lineup!$I$1</f>
        <v>148</v>
      </c>
      <c r="CF172" s="5" t="str">
        <f>Lineup!$G$5</f>
        <v>王俊宏</v>
      </c>
      <c r="CG172" s="5" t="str">
        <f>Lineup!$G$4</f>
        <v>桃園</v>
      </c>
    </row>
    <row r="173" spans="1:85" x14ac:dyDescent="0.3">
      <c r="A173" s="4">
        <v>172</v>
      </c>
      <c r="B173" s="4">
        <v>4</v>
      </c>
      <c r="C173" s="4">
        <v>9</v>
      </c>
      <c r="D173" s="4">
        <v>9</v>
      </c>
      <c r="E173" s="4" t="s">
        <v>291</v>
      </c>
      <c r="F173" s="4" t="s">
        <v>343</v>
      </c>
      <c r="G173" s="4">
        <v>16</v>
      </c>
      <c r="H173" s="4">
        <v>10</v>
      </c>
      <c r="I173" s="4">
        <v>6</v>
      </c>
      <c r="J173" s="4">
        <v>3</v>
      </c>
      <c r="K173" s="4">
        <v>130</v>
      </c>
      <c r="L173" s="4" t="s">
        <v>724</v>
      </c>
      <c r="M173" s="4" t="s">
        <v>369</v>
      </c>
      <c r="N173" s="4" t="s">
        <v>649</v>
      </c>
      <c r="O173" s="4">
        <v>114.75</v>
      </c>
      <c r="P173" s="4">
        <v>75.75</v>
      </c>
      <c r="Q173" s="4" t="s">
        <v>639</v>
      </c>
      <c r="R173" s="5" t="s">
        <v>735</v>
      </c>
      <c r="S173" s="4">
        <v>121.5</v>
      </c>
      <c r="T173" s="4">
        <v>193.5</v>
      </c>
      <c r="U173" s="4" t="s">
        <v>535</v>
      </c>
      <c r="AC173" s="4" t="s">
        <v>341</v>
      </c>
      <c r="AD173" s="4" t="s">
        <v>360</v>
      </c>
      <c r="AE173" s="4" t="s">
        <v>669</v>
      </c>
      <c r="AF173" s="4" t="s">
        <v>670</v>
      </c>
      <c r="AG173" s="4" t="s">
        <v>670</v>
      </c>
      <c r="AJ173" s="4" t="s">
        <v>369</v>
      </c>
      <c r="AK173" s="4">
        <v>1</v>
      </c>
      <c r="AM173" s="4">
        <v>1</v>
      </c>
      <c r="AO173" s="4">
        <v>2</v>
      </c>
      <c r="AP173" s="4">
        <v>1</v>
      </c>
      <c r="AQ173" s="4" t="s">
        <v>647</v>
      </c>
      <c r="AR173" s="4" t="s">
        <v>736</v>
      </c>
      <c r="AS173">
        <v>2</v>
      </c>
      <c r="AT173">
        <v>1</v>
      </c>
      <c r="AU173" s="33">
        <v>13824.000000000002</v>
      </c>
      <c r="AV173" s="36" t="s">
        <v>644</v>
      </c>
      <c r="AW173" s="4">
        <v>13814.999999999991</v>
      </c>
      <c r="AX173" s="4" t="str">
        <f>IFERROR(VLOOKUP(M173,Roster!$L$2:$M$27,2,FALSE),"")</f>
        <v>R</v>
      </c>
      <c r="AY173" s="4" t="str">
        <f t="shared" si="14"/>
        <v>2好1壞</v>
      </c>
      <c r="BI173" s="5" t="str">
        <f>Lineup!$G$2</f>
        <v>20210817</v>
      </c>
      <c r="BJ173" s="4" t="str">
        <f t="shared" si="13"/>
        <v>偏內角高</v>
      </c>
      <c r="BK173" s="4" t="str">
        <f t="shared" si="15"/>
        <v>23B2O</v>
      </c>
      <c r="BL173" s="4" t="str">
        <f>IFERROR(VLOOKUP(E173,Roster!$D$2:$E$27,2,FALSE),"")</f>
        <v>R</v>
      </c>
      <c r="BP173" s="49"/>
      <c r="BQ173" s="49"/>
      <c r="BR173" s="49"/>
      <c r="BS173" s="49"/>
      <c r="BT173" s="49"/>
      <c r="BU173" s="49"/>
      <c r="BY173" s="4">
        <f t="shared" si="11"/>
        <v>110.25</v>
      </c>
      <c r="BZ173" s="4">
        <f t="shared" si="12"/>
        <v>52.5</v>
      </c>
      <c r="CD173" s="5" t="str">
        <f>Lineup!$G$1</f>
        <v>一軍例行賽</v>
      </c>
      <c r="CE173" s="4">
        <f>Lineup!$I$1</f>
        <v>148</v>
      </c>
      <c r="CF173" s="5" t="str">
        <f>Lineup!$G$5</f>
        <v>王俊宏</v>
      </c>
      <c r="CG173" s="5" t="str">
        <f>Lineup!$G$4</f>
        <v>桃園</v>
      </c>
    </row>
    <row r="174" spans="1:85" x14ac:dyDescent="0.3">
      <c r="A174" s="43"/>
      <c r="AX174" s="4" t="str">
        <f>IFERROR(VLOOKUP(M174,Roster!$L$2:$M$27,2,FALSE),"")</f>
        <v/>
      </c>
      <c r="AY174" s="4" t="str">
        <f t="shared" ref="AY174:AY180" si="16">IF(M174=M173,AS174&amp;"好"&amp;AT174&amp;"壞","0好0壞")</f>
        <v>0好0壞</v>
      </c>
      <c r="BI174" s="5" t="str">
        <f>Lineup!$G$2</f>
        <v>20210817</v>
      </c>
      <c r="BJ174" s="4" t="str">
        <f t="shared" si="13"/>
        <v>偏內角偏高</v>
      </c>
      <c r="BK174" s="4" t="str">
        <f t="shared" si="15"/>
        <v>23B3O</v>
      </c>
      <c r="BL174" s="4" t="str">
        <f>IFERROR(VLOOKUP(E174,Roster!$D$2:$E$27,2,FALSE),"")</f>
        <v/>
      </c>
      <c r="BP174" s="49"/>
      <c r="BQ174" s="49"/>
      <c r="BR174" s="49"/>
      <c r="BS174" s="49"/>
      <c r="BT174" s="49"/>
      <c r="BU174" s="49"/>
      <c r="BY174" s="4">
        <f t="shared" si="11"/>
        <v>186</v>
      </c>
      <c r="BZ174" s="4">
        <f t="shared" si="12"/>
        <v>246</v>
      </c>
      <c r="CD174" s="5" t="str">
        <f>Lineup!$G$1</f>
        <v>一軍例行賽</v>
      </c>
      <c r="CE174" s="4">
        <f>Lineup!$I$1</f>
        <v>148</v>
      </c>
      <c r="CF174" s="5" t="str">
        <f>Lineup!$G$5</f>
        <v>王俊宏</v>
      </c>
      <c r="CG174" s="5" t="str">
        <f>Lineup!$G$4</f>
        <v>桃園</v>
      </c>
    </row>
    <row r="175" spans="1:85" x14ac:dyDescent="0.3">
      <c r="A175" s="43"/>
      <c r="AX175" s="4" t="str">
        <f>IFERROR(VLOOKUP(M175,Roster!$L$2:$M$27,2,FALSE),"")</f>
        <v/>
      </c>
      <c r="AY175" s="4" t="str">
        <f t="shared" si="16"/>
        <v>好壞</v>
      </c>
      <c r="BI175" s="5" t="str">
        <f>Lineup!$G$2</f>
        <v>20210817</v>
      </c>
      <c r="BJ175" s="4" t="str">
        <f t="shared" si="13"/>
        <v>偏內角偏高</v>
      </c>
      <c r="BK175" s="4" t="str">
        <f t="shared" ref="BK175:BK180" si="17">IF(AB174&lt;&gt;"","1","")&amp;IF(AC174&lt;&gt;"","2","")&amp;IF(AD174&lt;&gt;"","3","")&amp;"B"&amp;J174&amp;"O"</f>
        <v>BO</v>
      </c>
      <c r="BL175" s="4" t="str">
        <f>IFERROR(VLOOKUP(E175,Roster!$D$2:$E$27,2,FALSE),"")</f>
        <v/>
      </c>
      <c r="BP175" s="49"/>
      <c r="BQ175" s="49"/>
      <c r="BR175" s="49"/>
      <c r="BS175" s="49"/>
      <c r="BT175" s="49"/>
      <c r="BU175" s="49"/>
      <c r="BY175" s="4">
        <f t="shared" si="11"/>
        <v>186</v>
      </c>
      <c r="BZ175" s="4">
        <f t="shared" si="12"/>
        <v>246</v>
      </c>
      <c r="CD175" s="5" t="str">
        <f>Lineup!$G$1</f>
        <v>一軍例行賽</v>
      </c>
      <c r="CE175" s="4">
        <f>Lineup!$I$1</f>
        <v>148</v>
      </c>
      <c r="CF175" s="5" t="str">
        <f>Lineup!$G$5</f>
        <v>王俊宏</v>
      </c>
      <c r="CG175" s="5" t="str">
        <f>Lineup!$G$4</f>
        <v>桃園</v>
      </c>
    </row>
    <row r="176" spans="1:85" x14ac:dyDescent="0.3">
      <c r="A176" s="43"/>
      <c r="AX176" s="4" t="str">
        <f>IFERROR(VLOOKUP(M176,Roster!$L$2:$M$27,2,FALSE),"")</f>
        <v/>
      </c>
      <c r="AY176" s="4" t="str">
        <f t="shared" si="16"/>
        <v>好壞</v>
      </c>
      <c r="BI176" s="5" t="str">
        <f>Lineup!$G$2</f>
        <v>20210817</v>
      </c>
      <c r="BJ176" s="4" t="str">
        <f t="shared" si="13"/>
        <v>偏內角偏高</v>
      </c>
      <c r="BK176" s="4" t="str">
        <f t="shared" si="17"/>
        <v>BO</v>
      </c>
      <c r="BL176" s="4" t="str">
        <f>IFERROR(VLOOKUP(E176,Roster!$D$2:$E$27,2,FALSE),"")</f>
        <v/>
      </c>
      <c r="BP176" s="49"/>
      <c r="BQ176" s="49"/>
      <c r="BR176" s="49"/>
      <c r="BS176" s="49"/>
      <c r="BT176" s="49"/>
      <c r="BU176" s="49"/>
      <c r="BY176" s="4">
        <f t="shared" si="11"/>
        <v>186</v>
      </c>
      <c r="BZ176" s="4">
        <f t="shared" si="12"/>
        <v>246</v>
      </c>
      <c r="CD176" s="5" t="str">
        <f>Lineup!$G$1</f>
        <v>一軍例行賽</v>
      </c>
      <c r="CE176" s="4">
        <f>Lineup!$I$1</f>
        <v>148</v>
      </c>
      <c r="CF176" s="5" t="str">
        <f>Lineup!$G$5</f>
        <v>王俊宏</v>
      </c>
      <c r="CG176" s="5" t="str">
        <f>Lineup!$G$4</f>
        <v>桃園</v>
      </c>
    </row>
    <row r="177" spans="1:85" x14ac:dyDescent="0.3">
      <c r="A177" s="43"/>
      <c r="AX177" s="4" t="str">
        <f>IFERROR(VLOOKUP(M177,Roster!$L$2:$M$27,2,FALSE),"")</f>
        <v/>
      </c>
      <c r="AY177" s="4" t="str">
        <f t="shared" si="16"/>
        <v>好壞</v>
      </c>
      <c r="BI177" s="5" t="str">
        <f>Lineup!$G$2</f>
        <v>20210817</v>
      </c>
      <c r="BJ177" s="4" t="str">
        <f t="shared" si="13"/>
        <v>偏內角偏高</v>
      </c>
      <c r="BK177" s="4" t="str">
        <f t="shared" si="17"/>
        <v>BO</v>
      </c>
      <c r="BL177" s="4" t="str">
        <f>IFERROR(VLOOKUP(E177,Roster!$D$2:$E$27,2,FALSE),"")</f>
        <v/>
      </c>
      <c r="BP177" s="49"/>
      <c r="BQ177" s="49"/>
      <c r="BR177" s="49"/>
      <c r="BS177" s="49"/>
      <c r="BT177" s="49"/>
      <c r="BU177" s="49"/>
      <c r="BY177" s="4">
        <f t="shared" si="11"/>
        <v>186</v>
      </c>
      <c r="BZ177" s="4">
        <f t="shared" si="12"/>
        <v>246</v>
      </c>
      <c r="CD177" s="5" t="str">
        <f>Lineup!$G$1</f>
        <v>一軍例行賽</v>
      </c>
      <c r="CE177" s="4">
        <f>Lineup!$I$1</f>
        <v>148</v>
      </c>
      <c r="CF177" s="5" t="str">
        <f>Lineup!$G$5</f>
        <v>王俊宏</v>
      </c>
      <c r="CG177" s="5" t="str">
        <f>Lineup!$G$4</f>
        <v>桃園</v>
      </c>
    </row>
    <row r="178" spans="1:85" x14ac:dyDescent="0.3">
      <c r="A178" s="43"/>
      <c r="AX178" s="4" t="str">
        <f>IFERROR(VLOOKUP(M178,Roster!$L$2:$M$27,2,FALSE),"")</f>
        <v/>
      </c>
      <c r="AY178" s="4" t="str">
        <f t="shared" si="16"/>
        <v>好壞</v>
      </c>
      <c r="BI178" s="5" t="str">
        <f>Lineup!$G$2</f>
        <v>20210817</v>
      </c>
      <c r="BJ178" s="4" t="str">
        <f t="shared" si="13"/>
        <v>偏內角偏高</v>
      </c>
      <c r="BK178" s="4" t="str">
        <f t="shared" si="17"/>
        <v>BO</v>
      </c>
      <c r="BL178" s="4" t="str">
        <f>IFERROR(VLOOKUP(E178,Roster!$D$2:$E$27,2,FALSE),"")</f>
        <v/>
      </c>
      <c r="BP178" s="49"/>
      <c r="BQ178" s="49"/>
      <c r="BR178" s="49"/>
      <c r="BS178" s="49"/>
      <c r="BT178" s="49"/>
      <c r="BU178" s="49"/>
      <c r="BY178" s="4">
        <f t="shared" si="11"/>
        <v>186</v>
      </c>
      <c r="BZ178" s="4">
        <f t="shared" si="12"/>
        <v>246</v>
      </c>
      <c r="CD178" s="5" t="str">
        <f>Lineup!$G$1</f>
        <v>一軍例行賽</v>
      </c>
      <c r="CE178" s="4">
        <f>Lineup!$I$1</f>
        <v>148</v>
      </c>
      <c r="CF178" s="5" t="str">
        <f>Lineup!$G$5</f>
        <v>王俊宏</v>
      </c>
      <c r="CG178" s="5" t="str">
        <f>Lineup!$G$4</f>
        <v>桃園</v>
      </c>
    </row>
    <row r="179" spans="1:85" x14ac:dyDescent="0.3">
      <c r="A179" s="43"/>
      <c r="AX179" s="4" t="str">
        <f>IFERROR(VLOOKUP(M179,Roster!$L$2:$M$27,2,FALSE),"")</f>
        <v/>
      </c>
      <c r="AY179" s="4" t="str">
        <f t="shared" si="16"/>
        <v>好壞</v>
      </c>
      <c r="BI179" s="5" t="str">
        <f>Lineup!$G$2</f>
        <v>20210817</v>
      </c>
      <c r="BJ179" s="4" t="str">
        <f t="shared" si="13"/>
        <v>偏內角偏高</v>
      </c>
      <c r="BK179" s="4" t="str">
        <f t="shared" si="17"/>
        <v>BO</v>
      </c>
      <c r="BL179" s="4" t="str">
        <f>IFERROR(VLOOKUP(E179,Roster!$D$2:$E$27,2,FALSE),"")</f>
        <v/>
      </c>
      <c r="BP179" s="49"/>
      <c r="BQ179" s="49"/>
      <c r="BR179" s="49"/>
      <c r="BS179" s="49"/>
      <c r="BT179" s="49"/>
      <c r="BU179" s="49"/>
      <c r="BY179" s="4">
        <f t="shared" si="11"/>
        <v>186</v>
      </c>
      <c r="BZ179" s="4">
        <f t="shared" si="12"/>
        <v>246</v>
      </c>
      <c r="CD179" s="5" t="str">
        <f>Lineup!$G$1</f>
        <v>一軍例行賽</v>
      </c>
      <c r="CE179" s="4">
        <f>Lineup!$I$1</f>
        <v>148</v>
      </c>
      <c r="CF179" s="5" t="str">
        <f>Lineup!$G$5</f>
        <v>王俊宏</v>
      </c>
      <c r="CG179" s="5" t="str">
        <f>Lineup!$G$4</f>
        <v>桃園</v>
      </c>
    </row>
    <row r="180" spans="1:85" x14ac:dyDescent="0.3">
      <c r="A180" s="43"/>
      <c r="AX180" s="4" t="str">
        <f>IFERROR(VLOOKUP(M180,Roster!$L$2:$M$27,2,FALSE),"")</f>
        <v/>
      </c>
      <c r="AY180" s="4" t="str">
        <f t="shared" si="16"/>
        <v>好壞</v>
      </c>
      <c r="BI180" s="5" t="str">
        <f>Lineup!$G$2</f>
        <v>20210817</v>
      </c>
      <c r="BJ180" s="4" t="str">
        <f t="shared" si="13"/>
        <v>偏內角偏高</v>
      </c>
      <c r="BK180" s="4" t="str">
        <f t="shared" si="17"/>
        <v>BO</v>
      </c>
      <c r="BL180" s="4" t="str">
        <f>IFERROR(VLOOKUP(E180,Roster!$D$2:$E$27,2,FALSE),"")</f>
        <v/>
      </c>
      <c r="BP180" s="49"/>
      <c r="BQ180" s="49"/>
      <c r="BR180" s="49"/>
      <c r="BS180" s="49"/>
      <c r="BT180" s="49"/>
      <c r="BU180" s="49"/>
      <c r="BY180" s="4">
        <f t="shared" ref="BY180:BY243" si="18">186-P180</f>
        <v>186</v>
      </c>
      <c r="BZ180" s="4">
        <f t="shared" ref="BZ180:BZ243" si="19">246-T180</f>
        <v>246</v>
      </c>
      <c r="CD180" s="5" t="str">
        <f>Lineup!$G$1</f>
        <v>一軍例行賽</v>
      </c>
      <c r="CE180" s="4">
        <f>Lineup!$I$1</f>
        <v>148</v>
      </c>
      <c r="CF180" s="5" t="str">
        <f>Lineup!$G$5</f>
        <v>王俊宏</v>
      </c>
      <c r="CG180" s="5" t="str">
        <f>Lineup!$G$4</f>
        <v>桃園</v>
      </c>
    </row>
    <row r="181" spans="1:85" x14ac:dyDescent="0.3">
      <c r="A181" s="43"/>
      <c r="AX181" s="4" t="str">
        <f>IFERROR(VLOOKUP(M181,Roster!$L$2:$M$27,2,FALSE),"")</f>
        <v/>
      </c>
      <c r="AY181" s="4" t="str">
        <f t="shared" ref="AY181:AY236" si="20">IF(M181=M180,AS181&amp;"好"&amp;AT181&amp;"壞","0好0壞")</f>
        <v>好壞</v>
      </c>
      <c r="BI181" s="5" t="str">
        <f>Lineup!$G$2</f>
        <v>20210817</v>
      </c>
      <c r="BJ181" s="4" t="str">
        <f t="shared" ref="BJ181:BJ236" si="21">IF(AX181="R",IF(O181&lt;46.8,"偏外角",IF(O181&lt;65.5,"外角",IF(O181&lt;84.4,"中",IF(O181 &lt; 103.2,"內角","偏內角"))))&amp;IF(P181&lt;57,"偏高",IF(P181&lt;79.8,"高",IF(P181&lt;102.7,"中",IF(P181 &lt; 125.5,"低","偏低")))),IF(O181&lt;46.8,"偏內角",IF(O181&lt;65.5,"內角",IF(O181&lt;84.4,"中",IF(O181 &lt; 103.2,"外角","偏外角"))))&amp;IF(P181&lt;57,"偏高",IF(P181&lt;79.8,"高",IF(P181&lt;102.7,"中",IF(P181 &lt; 125.5,"低","偏低"))))
)</f>
        <v>偏內角偏高</v>
      </c>
      <c r="BK181" s="4" t="str">
        <f t="shared" ref="BK181:BK236" si="22">IF(AB180&lt;&gt;"","1","")&amp;IF(AC180&lt;&gt;"","2","")&amp;IF(AD180&lt;&gt;"","3","")&amp;"B"&amp;J180&amp;"O"</f>
        <v>BO</v>
      </c>
      <c r="BL181" s="4" t="str">
        <f>IFERROR(VLOOKUP(E181,Roster!$D$2:$E$27,2,FALSE),"")</f>
        <v/>
      </c>
      <c r="BP181" s="49"/>
      <c r="BQ181" s="49"/>
      <c r="BR181" s="49"/>
      <c r="BS181" s="49"/>
      <c r="BT181" s="49"/>
      <c r="BU181" s="49"/>
      <c r="BY181" s="4">
        <f t="shared" si="18"/>
        <v>186</v>
      </c>
      <c r="BZ181" s="4">
        <f t="shared" si="19"/>
        <v>246</v>
      </c>
      <c r="CD181" s="5" t="str">
        <f>Lineup!$G$1</f>
        <v>一軍例行賽</v>
      </c>
      <c r="CE181" s="4">
        <f>Lineup!$I$1</f>
        <v>148</v>
      </c>
      <c r="CF181" s="5" t="str">
        <f>Lineup!$G$5</f>
        <v>王俊宏</v>
      </c>
      <c r="CG181" s="5" t="str">
        <f>Lineup!$G$4</f>
        <v>桃園</v>
      </c>
    </row>
    <row r="182" spans="1:85" x14ac:dyDescent="0.3">
      <c r="A182" s="43"/>
      <c r="AX182" s="4" t="str">
        <f>IFERROR(VLOOKUP(M182,Roster!$L$2:$M$27,2,FALSE),"")</f>
        <v/>
      </c>
      <c r="AY182" s="4" t="str">
        <f t="shared" si="20"/>
        <v>好壞</v>
      </c>
      <c r="BI182" s="5" t="str">
        <f>Lineup!$G$2</f>
        <v>20210817</v>
      </c>
      <c r="BJ182" s="4" t="str">
        <f t="shared" si="21"/>
        <v>偏內角偏高</v>
      </c>
      <c r="BK182" s="4" t="str">
        <f t="shared" si="22"/>
        <v>BO</v>
      </c>
      <c r="BL182" s="4" t="str">
        <f>IFERROR(VLOOKUP(E182,Roster!$D$2:$E$27,2,FALSE),"")</f>
        <v/>
      </c>
      <c r="BP182" s="49"/>
      <c r="BQ182" s="49"/>
      <c r="BR182" s="49"/>
      <c r="BS182" s="49"/>
      <c r="BT182" s="49"/>
      <c r="BU182" s="49"/>
      <c r="BY182" s="4">
        <f t="shared" si="18"/>
        <v>186</v>
      </c>
      <c r="BZ182" s="4">
        <f t="shared" si="19"/>
        <v>246</v>
      </c>
      <c r="CD182" s="5" t="str">
        <f>Lineup!$G$1</f>
        <v>一軍例行賽</v>
      </c>
      <c r="CE182" s="4">
        <f>Lineup!$I$1</f>
        <v>148</v>
      </c>
      <c r="CF182" s="5" t="str">
        <f>Lineup!$G$5</f>
        <v>王俊宏</v>
      </c>
      <c r="CG182" s="5" t="str">
        <f>Lineup!$G$4</f>
        <v>桃園</v>
      </c>
    </row>
    <row r="183" spans="1:85" x14ac:dyDescent="0.3">
      <c r="A183" s="43"/>
      <c r="AX183" s="4" t="str">
        <f>IFERROR(VLOOKUP(M183,Roster!$L$2:$M$27,2,FALSE),"")</f>
        <v/>
      </c>
      <c r="AY183" s="4" t="str">
        <f t="shared" si="20"/>
        <v>好壞</v>
      </c>
      <c r="BI183" s="5" t="str">
        <f>Lineup!$G$2</f>
        <v>20210817</v>
      </c>
      <c r="BJ183" s="4" t="str">
        <f t="shared" si="21"/>
        <v>偏內角偏高</v>
      </c>
      <c r="BK183" s="4" t="str">
        <f t="shared" si="22"/>
        <v>BO</v>
      </c>
      <c r="BL183" s="4" t="str">
        <f>IFERROR(VLOOKUP(E183,Roster!$D$2:$E$27,2,FALSE),"")</f>
        <v/>
      </c>
      <c r="BP183" s="49"/>
      <c r="BQ183" s="49"/>
      <c r="BR183" s="49"/>
      <c r="BS183" s="49"/>
      <c r="BT183" s="49"/>
      <c r="BU183" s="49"/>
      <c r="BY183" s="4">
        <f t="shared" si="18"/>
        <v>186</v>
      </c>
      <c r="BZ183" s="4">
        <f t="shared" si="19"/>
        <v>246</v>
      </c>
      <c r="CD183" s="5" t="str">
        <f>Lineup!$G$1</f>
        <v>一軍例行賽</v>
      </c>
      <c r="CE183" s="4">
        <f>Lineup!$I$1</f>
        <v>148</v>
      </c>
      <c r="CF183" s="5" t="str">
        <f>Lineup!$G$5</f>
        <v>王俊宏</v>
      </c>
      <c r="CG183" s="5" t="str">
        <f>Lineup!$G$4</f>
        <v>桃園</v>
      </c>
    </row>
    <row r="184" spans="1:85" x14ac:dyDescent="0.3">
      <c r="A184" s="43"/>
      <c r="AX184" s="4" t="str">
        <f>IFERROR(VLOOKUP(M184,Roster!$L$2:$M$27,2,FALSE),"")</f>
        <v/>
      </c>
      <c r="AY184" s="4" t="str">
        <f t="shared" si="20"/>
        <v>好壞</v>
      </c>
      <c r="BI184" s="5" t="str">
        <f>Lineup!$G$2</f>
        <v>20210817</v>
      </c>
      <c r="BJ184" s="4" t="str">
        <f t="shared" si="21"/>
        <v>偏內角偏高</v>
      </c>
      <c r="BK184" s="4" t="str">
        <f t="shared" si="22"/>
        <v>BO</v>
      </c>
      <c r="BL184" s="4" t="str">
        <f>IFERROR(VLOOKUP(E184,Roster!$D$2:$E$27,2,FALSE),"")</f>
        <v/>
      </c>
      <c r="BP184" s="49"/>
      <c r="BQ184" s="49"/>
      <c r="BR184" s="49"/>
      <c r="BS184" s="49"/>
      <c r="BT184" s="49"/>
      <c r="BU184" s="49"/>
      <c r="BY184" s="4">
        <f t="shared" si="18"/>
        <v>186</v>
      </c>
      <c r="BZ184" s="4">
        <f t="shared" si="19"/>
        <v>246</v>
      </c>
      <c r="CD184" s="5" t="str">
        <f>Lineup!$G$1</f>
        <v>一軍例行賽</v>
      </c>
      <c r="CE184" s="4">
        <f>Lineup!$I$1</f>
        <v>148</v>
      </c>
      <c r="CF184" s="5" t="str">
        <f>Lineup!$G$5</f>
        <v>王俊宏</v>
      </c>
      <c r="CG184" s="5" t="str">
        <f>Lineup!$G$4</f>
        <v>桃園</v>
      </c>
    </row>
    <row r="185" spans="1:85" x14ac:dyDescent="0.3">
      <c r="A185" s="43"/>
      <c r="AX185" s="4" t="str">
        <f>IFERROR(VLOOKUP(M185,Roster!$L$2:$M$27,2,FALSE),"")</f>
        <v/>
      </c>
      <c r="AY185" s="4" t="str">
        <f t="shared" si="20"/>
        <v>好壞</v>
      </c>
      <c r="BI185" s="5" t="str">
        <f>Lineup!$G$2</f>
        <v>20210817</v>
      </c>
      <c r="BJ185" s="4" t="str">
        <f t="shared" si="21"/>
        <v>偏內角偏高</v>
      </c>
      <c r="BK185" s="4" t="str">
        <f t="shared" si="22"/>
        <v>BO</v>
      </c>
      <c r="BL185" s="4" t="str">
        <f>IFERROR(VLOOKUP(E185,Roster!$D$2:$E$27,2,FALSE),"")</f>
        <v/>
      </c>
      <c r="BP185" s="49"/>
      <c r="BQ185" s="49"/>
      <c r="BR185" s="49"/>
      <c r="BS185" s="49"/>
      <c r="BT185" s="49"/>
      <c r="BU185" s="49"/>
      <c r="BY185" s="4">
        <f t="shared" si="18"/>
        <v>186</v>
      </c>
      <c r="BZ185" s="4">
        <f t="shared" si="19"/>
        <v>246</v>
      </c>
      <c r="CD185" s="5" t="str">
        <f>Lineup!$G$1</f>
        <v>一軍例行賽</v>
      </c>
      <c r="CE185" s="4">
        <f>Lineup!$I$1</f>
        <v>148</v>
      </c>
      <c r="CF185" s="5" t="str">
        <f>Lineup!$G$5</f>
        <v>王俊宏</v>
      </c>
      <c r="CG185" s="5" t="str">
        <f>Lineup!$G$4</f>
        <v>桃園</v>
      </c>
    </row>
    <row r="186" spans="1:85" x14ac:dyDescent="0.3">
      <c r="A186" s="43"/>
      <c r="AX186" s="4" t="str">
        <f>IFERROR(VLOOKUP(M186,Roster!$L$2:$M$27,2,FALSE),"")</f>
        <v/>
      </c>
      <c r="AY186" s="4" t="str">
        <f t="shared" si="20"/>
        <v>好壞</v>
      </c>
      <c r="BI186" s="5" t="str">
        <f>Lineup!$G$2</f>
        <v>20210817</v>
      </c>
      <c r="BJ186" s="4" t="str">
        <f t="shared" si="21"/>
        <v>偏內角偏高</v>
      </c>
      <c r="BK186" s="4" t="str">
        <f t="shared" si="22"/>
        <v>BO</v>
      </c>
      <c r="BL186" s="4" t="str">
        <f>IFERROR(VLOOKUP(E186,Roster!$D$2:$E$27,2,FALSE),"")</f>
        <v/>
      </c>
      <c r="BP186" s="49"/>
      <c r="BQ186" s="49"/>
      <c r="BR186" s="49"/>
      <c r="BS186" s="49"/>
      <c r="BT186" s="49"/>
      <c r="BU186" s="49"/>
      <c r="BY186" s="4">
        <f t="shared" si="18"/>
        <v>186</v>
      </c>
      <c r="BZ186" s="4">
        <f t="shared" si="19"/>
        <v>246</v>
      </c>
      <c r="CD186" s="5" t="str">
        <f>Lineup!$G$1</f>
        <v>一軍例行賽</v>
      </c>
      <c r="CE186" s="4">
        <f>Lineup!$I$1</f>
        <v>148</v>
      </c>
      <c r="CF186" s="5" t="str">
        <f>Lineup!$G$5</f>
        <v>王俊宏</v>
      </c>
      <c r="CG186" s="5" t="str">
        <f>Lineup!$G$4</f>
        <v>桃園</v>
      </c>
    </row>
    <row r="187" spans="1:85" x14ac:dyDescent="0.3">
      <c r="A187" s="43"/>
      <c r="AX187" s="4" t="str">
        <f>IFERROR(VLOOKUP(M187,Roster!$L$2:$M$27,2,FALSE),"")</f>
        <v/>
      </c>
      <c r="AY187" s="4" t="str">
        <f t="shared" si="20"/>
        <v>好壞</v>
      </c>
      <c r="BI187" s="5" t="str">
        <f>Lineup!$G$2</f>
        <v>20210817</v>
      </c>
      <c r="BJ187" s="4" t="str">
        <f t="shared" si="21"/>
        <v>偏內角偏高</v>
      </c>
      <c r="BK187" s="4" t="str">
        <f t="shared" si="22"/>
        <v>BO</v>
      </c>
      <c r="BL187" s="4" t="str">
        <f>IFERROR(VLOOKUP(E187,Roster!$D$2:$E$27,2,FALSE),"")</f>
        <v/>
      </c>
      <c r="BP187" s="49"/>
      <c r="BQ187" s="49"/>
      <c r="BR187" s="49"/>
      <c r="BS187" s="49"/>
      <c r="BT187" s="49"/>
      <c r="BU187" s="49"/>
      <c r="BY187" s="4">
        <f t="shared" si="18"/>
        <v>186</v>
      </c>
      <c r="BZ187" s="4">
        <f t="shared" si="19"/>
        <v>246</v>
      </c>
      <c r="CD187" s="5" t="str">
        <f>Lineup!$G$1</f>
        <v>一軍例行賽</v>
      </c>
      <c r="CE187" s="4">
        <f>Lineup!$I$1</f>
        <v>148</v>
      </c>
      <c r="CF187" s="5" t="str">
        <f>Lineup!$G$5</f>
        <v>王俊宏</v>
      </c>
      <c r="CG187" s="5" t="str">
        <f>Lineup!$G$4</f>
        <v>桃園</v>
      </c>
    </row>
    <row r="188" spans="1:85" x14ac:dyDescent="0.3">
      <c r="A188" s="43"/>
      <c r="AX188" s="4" t="str">
        <f>IFERROR(VLOOKUP(M188,Roster!$L$2:$M$27,2,FALSE),"")</f>
        <v/>
      </c>
      <c r="AY188" s="4" t="str">
        <f t="shared" si="20"/>
        <v>好壞</v>
      </c>
      <c r="BI188" s="5" t="str">
        <f>Lineup!$G$2</f>
        <v>20210817</v>
      </c>
      <c r="BJ188" s="4" t="str">
        <f t="shared" si="21"/>
        <v>偏內角偏高</v>
      </c>
      <c r="BK188" s="4" t="str">
        <f t="shared" si="22"/>
        <v>BO</v>
      </c>
      <c r="BL188" s="4" t="str">
        <f>IFERROR(VLOOKUP(E188,Roster!$D$2:$E$27,2,FALSE),"")</f>
        <v/>
      </c>
      <c r="BP188" s="49"/>
      <c r="BQ188" s="49"/>
      <c r="BR188" s="49"/>
      <c r="BS188" s="49"/>
      <c r="BT188" s="49"/>
      <c r="BU188" s="49"/>
      <c r="BY188" s="4">
        <f t="shared" si="18"/>
        <v>186</v>
      </c>
      <c r="BZ188" s="4">
        <f t="shared" si="19"/>
        <v>246</v>
      </c>
      <c r="CD188" s="5" t="str">
        <f>Lineup!$G$1</f>
        <v>一軍例行賽</v>
      </c>
      <c r="CE188" s="4">
        <f>Lineup!$I$1</f>
        <v>148</v>
      </c>
      <c r="CF188" s="5" t="str">
        <f>Lineup!$G$5</f>
        <v>王俊宏</v>
      </c>
      <c r="CG188" s="5" t="str">
        <f>Lineup!$G$4</f>
        <v>桃園</v>
      </c>
    </row>
    <row r="189" spans="1:85" x14ac:dyDescent="0.3">
      <c r="A189" s="43"/>
      <c r="AX189" s="4" t="str">
        <f>IFERROR(VLOOKUP(M189,Roster!$L$2:$M$27,2,FALSE),"")</f>
        <v/>
      </c>
      <c r="AY189" s="4" t="str">
        <f t="shared" si="20"/>
        <v>好壞</v>
      </c>
      <c r="BI189" s="5" t="str">
        <f>Lineup!$G$2</f>
        <v>20210817</v>
      </c>
      <c r="BJ189" s="4" t="str">
        <f t="shared" si="21"/>
        <v>偏內角偏高</v>
      </c>
      <c r="BK189" s="4" t="str">
        <f t="shared" si="22"/>
        <v>BO</v>
      </c>
      <c r="BL189" s="4" t="str">
        <f>IFERROR(VLOOKUP(E189,Roster!$D$2:$E$27,2,FALSE),"")</f>
        <v/>
      </c>
      <c r="BP189" s="49"/>
      <c r="BQ189" s="49"/>
      <c r="BR189" s="49"/>
      <c r="BS189" s="49"/>
      <c r="BT189" s="49"/>
      <c r="BU189" s="49"/>
      <c r="BY189" s="4">
        <f t="shared" si="18"/>
        <v>186</v>
      </c>
      <c r="BZ189" s="4">
        <f t="shared" si="19"/>
        <v>246</v>
      </c>
      <c r="CD189" s="5" t="str">
        <f>Lineup!$G$1</f>
        <v>一軍例行賽</v>
      </c>
      <c r="CE189" s="4">
        <f>Lineup!$I$1</f>
        <v>148</v>
      </c>
      <c r="CF189" s="5" t="str">
        <f>Lineup!$G$5</f>
        <v>王俊宏</v>
      </c>
      <c r="CG189" s="5" t="str">
        <f>Lineup!$G$4</f>
        <v>桃園</v>
      </c>
    </row>
    <row r="190" spans="1:85" x14ac:dyDescent="0.3">
      <c r="A190" s="43"/>
      <c r="AX190" s="4" t="str">
        <f>IFERROR(VLOOKUP(M190,Roster!$L$2:$M$27,2,FALSE),"")</f>
        <v/>
      </c>
      <c r="AY190" s="4" t="str">
        <f t="shared" si="20"/>
        <v>好壞</v>
      </c>
      <c r="BI190" s="5" t="str">
        <f>Lineup!$G$2</f>
        <v>20210817</v>
      </c>
      <c r="BJ190" s="4" t="str">
        <f t="shared" si="21"/>
        <v>偏內角偏高</v>
      </c>
      <c r="BK190" s="4" t="str">
        <f t="shared" si="22"/>
        <v>BO</v>
      </c>
      <c r="BL190" s="4" t="str">
        <f>IFERROR(VLOOKUP(E190,Roster!$D$2:$E$27,2,FALSE),"")</f>
        <v/>
      </c>
      <c r="BP190" s="49"/>
      <c r="BQ190" s="49"/>
      <c r="BR190" s="49"/>
      <c r="BS190" s="49"/>
      <c r="BT190" s="49"/>
      <c r="BU190" s="49"/>
      <c r="BY190" s="4">
        <f t="shared" si="18"/>
        <v>186</v>
      </c>
      <c r="BZ190" s="4">
        <f t="shared" si="19"/>
        <v>246</v>
      </c>
      <c r="CD190" s="5" t="str">
        <f>Lineup!$G$1</f>
        <v>一軍例行賽</v>
      </c>
      <c r="CE190" s="4">
        <f>Lineup!$I$1</f>
        <v>148</v>
      </c>
      <c r="CF190" s="5" t="str">
        <f>Lineup!$G$5</f>
        <v>王俊宏</v>
      </c>
      <c r="CG190" s="5" t="str">
        <f>Lineup!$G$4</f>
        <v>桃園</v>
      </c>
    </row>
    <row r="191" spans="1:85" x14ac:dyDescent="0.3">
      <c r="A191" s="43"/>
      <c r="AX191" s="4" t="str">
        <f>IFERROR(VLOOKUP(M191,Roster!$L$2:$M$27,2,FALSE),"")</f>
        <v/>
      </c>
      <c r="AY191" s="4" t="str">
        <f t="shared" si="20"/>
        <v>好壞</v>
      </c>
      <c r="BI191" s="5" t="str">
        <f>Lineup!$G$2</f>
        <v>20210817</v>
      </c>
      <c r="BJ191" s="4" t="str">
        <f t="shared" si="21"/>
        <v>偏內角偏高</v>
      </c>
      <c r="BK191" s="4" t="str">
        <f t="shared" si="22"/>
        <v>BO</v>
      </c>
      <c r="BL191" s="4" t="str">
        <f>IFERROR(VLOOKUP(E191,Roster!$D$2:$E$27,2,FALSE),"")</f>
        <v/>
      </c>
      <c r="BP191" s="49"/>
      <c r="BQ191" s="49"/>
      <c r="BR191" s="49"/>
      <c r="BS191" s="49"/>
      <c r="BT191" s="49"/>
      <c r="BU191" s="49"/>
      <c r="BY191" s="4">
        <f t="shared" si="18"/>
        <v>186</v>
      </c>
      <c r="BZ191" s="4">
        <f t="shared" si="19"/>
        <v>246</v>
      </c>
      <c r="CD191" s="5" t="str">
        <f>Lineup!$G$1</f>
        <v>一軍例行賽</v>
      </c>
      <c r="CE191" s="4">
        <f>Lineup!$I$1</f>
        <v>148</v>
      </c>
      <c r="CF191" s="5" t="str">
        <f>Lineup!$G$5</f>
        <v>王俊宏</v>
      </c>
      <c r="CG191" s="5" t="str">
        <f>Lineup!$G$4</f>
        <v>桃園</v>
      </c>
    </row>
    <row r="192" spans="1:85" x14ac:dyDescent="0.3">
      <c r="A192" s="43"/>
      <c r="AX192" s="4" t="str">
        <f>IFERROR(VLOOKUP(M192,Roster!$L$2:$M$27,2,FALSE),"")</f>
        <v/>
      </c>
      <c r="AY192" s="4" t="str">
        <f t="shared" si="20"/>
        <v>好壞</v>
      </c>
      <c r="BI192" s="5" t="str">
        <f>Lineup!$G$2</f>
        <v>20210817</v>
      </c>
      <c r="BJ192" s="4" t="str">
        <f t="shared" si="21"/>
        <v>偏內角偏高</v>
      </c>
      <c r="BK192" s="4" t="str">
        <f t="shared" si="22"/>
        <v>BO</v>
      </c>
      <c r="BL192" s="4" t="str">
        <f>IFERROR(VLOOKUP(E192,Roster!$D$2:$E$27,2,FALSE),"")</f>
        <v/>
      </c>
      <c r="BP192" s="49"/>
      <c r="BQ192" s="49"/>
      <c r="BR192" s="49"/>
      <c r="BS192" s="49"/>
      <c r="BT192" s="49"/>
      <c r="BU192" s="49"/>
      <c r="BY192" s="4">
        <f t="shared" si="18"/>
        <v>186</v>
      </c>
      <c r="BZ192" s="4">
        <f t="shared" si="19"/>
        <v>246</v>
      </c>
      <c r="CD192" s="5" t="str">
        <f>Lineup!$G$1</f>
        <v>一軍例行賽</v>
      </c>
      <c r="CE192" s="4">
        <f>Lineup!$I$1</f>
        <v>148</v>
      </c>
      <c r="CF192" s="5" t="str">
        <f>Lineup!$G$5</f>
        <v>王俊宏</v>
      </c>
      <c r="CG192" s="5" t="str">
        <f>Lineup!$G$4</f>
        <v>桃園</v>
      </c>
    </row>
    <row r="193" spans="1:85" x14ac:dyDescent="0.3">
      <c r="A193" s="43"/>
      <c r="AX193" s="4" t="str">
        <f>IFERROR(VLOOKUP(M193,Roster!$L$2:$M$27,2,FALSE),"")</f>
        <v/>
      </c>
      <c r="AY193" s="4" t="str">
        <f t="shared" si="20"/>
        <v>好壞</v>
      </c>
      <c r="BI193" s="5" t="str">
        <f>Lineup!$G$2</f>
        <v>20210817</v>
      </c>
      <c r="BJ193" s="4" t="str">
        <f t="shared" si="21"/>
        <v>偏內角偏高</v>
      </c>
      <c r="BK193" s="4" t="str">
        <f t="shared" si="22"/>
        <v>BO</v>
      </c>
      <c r="BL193" s="4" t="str">
        <f>IFERROR(VLOOKUP(E193,Roster!$D$2:$E$27,2,FALSE),"")</f>
        <v/>
      </c>
      <c r="BP193" s="49"/>
      <c r="BQ193" s="49"/>
      <c r="BR193" s="49"/>
      <c r="BS193" s="49"/>
      <c r="BT193" s="49"/>
      <c r="BU193" s="49"/>
      <c r="BY193" s="4">
        <f t="shared" si="18"/>
        <v>186</v>
      </c>
      <c r="BZ193" s="4">
        <f t="shared" si="19"/>
        <v>246</v>
      </c>
      <c r="CD193" s="5" t="str">
        <f>Lineup!$G$1</f>
        <v>一軍例行賽</v>
      </c>
      <c r="CE193" s="4">
        <f>Lineup!$I$1</f>
        <v>148</v>
      </c>
      <c r="CF193" s="5" t="str">
        <f>Lineup!$G$5</f>
        <v>王俊宏</v>
      </c>
      <c r="CG193" s="5" t="str">
        <f>Lineup!$G$4</f>
        <v>桃園</v>
      </c>
    </row>
    <row r="194" spans="1:85" x14ac:dyDescent="0.3">
      <c r="A194" s="43"/>
      <c r="AX194" s="4" t="str">
        <f>IFERROR(VLOOKUP(M194,Roster!$L$2:$M$27,2,FALSE),"")</f>
        <v/>
      </c>
      <c r="AY194" s="4" t="str">
        <f t="shared" si="20"/>
        <v>好壞</v>
      </c>
      <c r="BI194" s="5" t="str">
        <f>Lineup!$G$2</f>
        <v>20210817</v>
      </c>
      <c r="BJ194" s="4" t="str">
        <f t="shared" si="21"/>
        <v>偏內角偏高</v>
      </c>
      <c r="BK194" s="4" t="str">
        <f t="shared" si="22"/>
        <v>BO</v>
      </c>
      <c r="BL194" s="4" t="str">
        <f>IFERROR(VLOOKUP(E194,Roster!$D$2:$E$27,2,FALSE),"")</f>
        <v/>
      </c>
      <c r="BP194" s="49"/>
      <c r="BQ194" s="49"/>
      <c r="BR194" s="49"/>
      <c r="BS194" s="49"/>
      <c r="BT194" s="49"/>
      <c r="BU194" s="49"/>
      <c r="BY194" s="4">
        <f t="shared" si="18"/>
        <v>186</v>
      </c>
      <c r="BZ194" s="4">
        <f t="shared" si="19"/>
        <v>246</v>
      </c>
      <c r="CD194" s="5" t="str">
        <f>Lineup!$G$1</f>
        <v>一軍例行賽</v>
      </c>
      <c r="CE194" s="4">
        <f>Lineup!$I$1</f>
        <v>148</v>
      </c>
      <c r="CF194" s="5" t="str">
        <f>Lineup!$G$5</f>
        <v>王俊宏</v>
      </c>
      <c r="CG194" s="5" t="str">
        <f>Lineup!$G$4</f>
        <v>桃園</v>
      </c>
    </row>
    <row r="195" spans="1:85" x14ac:dyDescent="0.3">
      <c r="A195" s="43"/>
      <c r="AX195" s="4" t="str">
        <f>IFERROR(VLOOKUP(M195,Roster!$L$2:$M$27,2,FALSE),"")</f>
        <v/>
      </c>
      <c r="AY195" s="4" t="str">
        <f t="shared" si="20"/>
        <v>好壞</v>
      </c>
      <c r="BI195" s="5" t="str">
        <f>Lineup!$G$2</f>
        <v>20210817</v>
      </c>
      <c r="BJ195" s="4" t="str">
        <f t="shared" si="21"/>
        <v>偏內角偏高</v>
      </c>
      <c r="BK195" s="4" t="str">
        <f t="shared" si="22"/>
        <v>BO</v>
      </c>
      <c r="BL195" s="4" t="str">
        <f>IFERROR(VLOOKUP(E195,Roster!$D$2:$E$27,2,FALSE),"")</f>
        <v/>
      </c>
      <c r="BP195" s="49"/>
      <c r="BQ195" s="49"/>
      <c r="BR195" s="49"/>
      <c r="BS195" s="49"/>
      <c r="BT195" s="49"/>
      <c r="BU195" s="49"/>
      <c r="BY195" s="4">
        <f t="shared" si="18"/>
        <v>186</v>
      </c>
      <c r="BZ195" s="4">
        <f t="shared" si="19"/>
        <v>246</v>
      </c>
      <c r="CD195" s="5" t="str">
        <f>Lineup!$G$1</f>
        <v>一軍例行賽</v>
      </c>
      <c r="CE195" s="4">
        <f>Lineup!$I$1</f>
        <v>148</v>
      </c>
      <c r="CF195" s="5" t="str">
        <f>Lineup!$G$5</f>
        <v>王俊宏</v>
      </c>
      <c r="CG195" s="5" t="str">
        <f>Lineup!$G$4</f>
        <v>桃園</v>
      </c>
    </row>
    <row r="196" spans="1:85" x14ac:dyDescent="0.3">
      <c r="A196" s="43"/>
      <c r="AX196" s="4" t="str">
        <f>IFERROR(VLOOKUP(M196,Roster!$L$2:$M$27,2,FALSE),"")</f>
        <v/>
      </c>
      <c r="AY196" s="4" t="str">
        <f t="shared" si="20"/>
        <v>好壞</v>
      </c>
      <c r="BI196" s="5" t="str">
        <f>Lineup!$G$2</f>
        <v>20210817</v>
      </c>
      <c r="BJ196" s="4" t="str">
        <f t="shared" si="21"/>
        <v>偏內角偏高</v>
      </c>
      <c r="BK196" s="4" t="str">
        <f t="shared" si="22"/>
        <v>BO</v>
      </c>
      <c r="BL196" s="4" t="str">
        <f>IFERROR(VLOOKUP(E196,Roster!$D$2:$E$27,2,FALSE),"")</f>
        <v/>
      </c>
      <c r="BP196" s="49"/>
      <c r="BQ196" s="49"/>
      <c r="BR196" s="49"/>
      <c r="BS196" s="49"/>
      <c r="BT196" s="49"/>
      <c r="BU196" s="49"/>
      <c r="BY196" s="4">
        <f t="shared" si="18"/>
        <v>186</v>
      </c>
      <c r="BZ196" s="4">
        <f t="shared" si="19"/>
        <v>246</v>
      </c>
      <c r="CD196" s="5" t="str">
        <f>Lineup!$G$1</f>
        <v>一軍例行賽</v>
      </c>
      <c r="CE196" s="4">
        <f>Lineup!$I$1</f>
        <v>148</v>
      </c>
      <c r="CF196" s="5" t="str">
        <f>Lineup!$G$5</f>
        <v>王俊宏</v>
      </c>
      <c r="CG196" s="5" t="str">
        <f>Lineup!$G$4</f>
        <v>桃園</v>
      </c>
    </row>
    <row r="197" spans="1:85" x14ac:dyDescent="0.3">
      <c r="A197" s="43"/>
      <c r="AX197" s="4" t="str">
        <f>IFERROR(VLOOKUP(M197,Roster!$L$2:$M$27,2,FALSE),"")</f>
        <v/>
      </c>
      <c r="AY197" s="4" t="str">
        <f t="shared" si="20"/>
        <v>好壞</v>
      </c>
      <c r="BI197" s="5" t="str">
        <f>Lineup!$G$2</f>
        <v>20210817</v>
      </c>
      <c r="BJ197" s="4" t="str">
        <f t="shared" si="21"/>
        <v>偏內角偏高</v>
      </c>
      <c r="BK197" s="4" t="str">
        <f t="shared" si="22"/>
        <v>BO</v>
      </c>
      <c r="BL197" s="4" t="str">
        <f>IFERROR(VLOOKUP(E197,Roster!$D$2:$E$27,2,FALSE),"")</f>
        <v/>
      </c>
      <c r="BP197" s="49"/>
      <c r="BQ197" s="49"/>
      <c r="BR197" s="49"/>
      <c r="BS197" s="49"/>
      <c r="BT197" s="49"/>
      <c r="BU197" s="49"/>
      <c r="BY197" s="4">
        <f t="shared" si="18"/>
        <v>186</v>
      </c>
      <c r="BZ197" s="4">
        <f t="shared" si="19"/>
        <v>246</v>
      </c>
      <c r="CD197" s="5" t="str">
        <f>Lineup!$G$1</f>
        <v>一軍例行賽</v>
      </c>
      <c r="CE197" s="4">
        <f>Lineup!$I$1</f>
        <v>148</v>
      </c>
      <c r="CF197" s="5" t="str">
        <f>Lineup!$G$5</f>
        <v>王俊宏</v>
      </c>
      <c r="CG197" s="5" t="str">
        <f>Lineup!$G$4</f>
        <v>桃園</v>
      </c>
    </row>
    <row r="198" spans="1:85" x14ac:dyDescent="0.3">
      <c r="A198" s="43"/>
      <c r="AX198" s="4" t="str">
        <f>IFERROR(VLOOKUP(M198,Roster!$L$2:$M$27,2,FALSE),"")</f>
        <v/>
      </c>
      <c r="AY198" s="4" t="str">
        <f t="shared" si="20"/>
        <v>好壞</v>
      </c>
      <c r="BI198" s="5" t="str">
        <f>Lineup!$G$2</f>
        <v>20210817</v>
      </c>
      <c r="BJ198" s="4" t="str">
        <f t="shared" si="21"/>
        <v>偏內角偏高</v>
      </c>
      <c r="BK198" s="4" t="str">
        <f t="shared" si="22"/>
        <v>BO</v>
      </c>
      <c r="BL198" s="4" t="str">
        <f>IFERROR(VLOOKUP(E198,Roster!$D$2:$E$27,2,FALSE),"")</f>
        <v/>
      </c>
      <c r="BP198" s="49"/>
      <c r="BQ198" s="49"/>
      <c r="BR198" s="49"/>
      <c r="BS198" s="49"/>
      <c r="BT198" s="49"/>
      <c r="BU198" s="49"/>
      <c r="BY198" s="4">
        <f t="shared" si="18"/>
        <v>186</v>
      </c>
      <c r="BZ198" s="4">
        <f t="shared" si="19"/>
        <v>246</v>
      </c>
      <c r="CD198" s="5" t="str">
        <f>Lineup!$G$1</f>
        <v>一軍例行賽</v>
      </c>
      <c r="CE198" s="4">
        <f>Lineup!$I$1</f>
        <v>148</v>
      </c>
      <c r="CF198" s="5" t="str">
        <f>Lineup!$G$5</f>
        <v>王俊宏</v>
      </c>
      <c r="CG198" s="5" t="str">
        <f>Lineup!$G$4</f>
        <v>桃園</v>
      </c>
    </row>
    <row r="199" spans="1:85" x14ac:dyDescent="0.3">
      <c r="A199" s="43"/>
      <c r="AX199" s="4" t="str">
        <f>IFERROR(VLOOKUP(M199,Roster!$L$2:$M$27,2,FALSE),"")</f>
        <v/>
      </c>
      <c r="AY199" s="4" t="str">
        <f t="shared" si="20"/>
        <v>好壞</v>
      </c>
      <c r="BI199" s="5" t="str">
        <f>Lineup!$G$2</f>
        <v>20210817</v>
      </c>
      <c r="BJ199" s="4" t="str">
        <f t="shared" si="21"/>
        <v>偏內角偏高</v>
      </c>
      <c r="BK199" s="4" t="str">
        <f t="shared" si="22"/>
        <v>BO</v>
      </c>
      <c r="BL199" s="4" t="str">
        <f>IFERROR(VLOOKUP(E199,Roster!$D$2:$E$27,2,FALSE),"")</f>
        <v/>
      </c>
      <c r="BP199" s="49"/>
      <c r="BQ199" s="49"/>
      <c r="BR199" s="49"/>
      <c r="BS199" s="49"/>
      <c r="BT199" s="49"/>
      <c r="BU199" s="49"/>
      <c r="BY199" s="4">
        <f t="shared" si="18"/>
        <v>186</v>
      </c>
      <c r="BZ199" s="4">
        <f t="shared" si="19"/>
        <v>246</v>
      </c>
      <c r="CD199" s="5" t="str">
        <f>Lineup!$G$1</f>
        <v>一軍例行賽</v>
      </c>
      <c r="CE199" s="4">
        <f>Lineup!$I$1</f>
        <v>148</v>
      </c>
      <c r="CF199" s="5" t="str">
        <f>Lineup!$G$5</f>
        <v>王俊宏</v>
      </c>
      <c r="CG199" s="5" t="str">
        <f>Lineup!$G$4</f>
        <v>桃園</v>
      </c>
    </row>
    <row r="200" spans="1:85" x14ac:dyDescent="0.3">
      <c r="A200" s="43"/>
      <c r="AX200" s="4" t="str">
        <f>IFERROR(VLOOKUP(M200,Roster!$L$2:$M$27,2,FALSE),"")</f>
        <v/>
      </c>
      <c r="AY200" s="4" t="str">
        <f t="shared" si="20"/>
        <v>好壞</v>
      </c>
      <c r="BI200" s="5" t="str">
        <f>Lineup!$G$2</f>
        <v>20210817</v>
      </c>
      <c r="BJ200" s="4" t="str">
        <f t="shared" si="21"/>
        <v>偏內角偏高</v>
      </c>
      <c r="BK200" s="4" t="str">
        <f t="shared" si="22"/>
        <v>BO</v>
      </c>
      <c r="BL200" s="4" t="str">
        <f>IFERROR(VLOOKUP(E200,Roster!$D$2:$E$27,2,FALSE),"")</f>
        <v/>
      </c>
      <c r="BP200" s="49"/>
      <c r="BQ200" s="49"/>
      <c r="BR200" s="49"/>
      <c r="BS200" s="49"/>
      <c r="BT200" s="49"/>
      <c r="BU200" s="49"/>
      <c r="BY200" s="4">
        <f t="shared" si="18"/>
        <v>186</v>
      </c>
      <c r="BZ200" s="4">
        <f t="shared" si="19"/>
        <v>246</v>
      </c>
      <c r="CD200" s="5" t="str">
        <f>Lineup!$G$1</f>
        <v>一軍例行賽</v>
      </c>
      <c r="CE200" s="4">
        <f>Lineup!$I$1</f>
        <v>148</v>
      </c>
      <c r="CF200" s="5" t="str">
        <f>Lineup!$G$5</f>
        <v>王俊宏</v>
      </c>
      <c r="CG200" s="5" t="str">
        <f>Lineup!$G$4</f>
        <v>桃園</v>
      </c>
    </row>
    <row r="201" spans="1:85" x14ac:dyDescent="0.3">
      <c r="A201" s="43"/>
      <c r="AX201" s="4" t="str">
        <f>IFERROR(VLOOKUP(M201,Roster!$L$2:$M$27,2,FALSE),"")</f>
        <v/>
      </c>
      <c r="AY201" s="4" t="str">
        <f t="shared" si="20"/>
        <v>好壞</v>
      </c>
      <c r="BI201" s="5" t="str">
        <f>Lineup!$G$2</f>
        <v>20210817</v>
      </c>
      <c r="BJ201" s="4" t="str">
        <f t="shared" si="21"/>
        <v>偏內角偏高</v>
      </c>
      <c r="BK201" s="4" t="str">
        <f t="shared" si="22"/>
        <v>BO</v>
      </c>
      <c r="BL201" s="4" t="str">
        <f>IFERROR(VLOOKUP(E201,Roster!$D$2:$E$27,2,FALSE),"")</f>
        <v/>
      </c>
      <c r="BP201" s="49"/>
      <c r="BQ201" s="49"/>
      <c r="BR201" s="49"/>
      <c r="BS201" s="49"/>
      <c r="BT201" s="49"/>
      <c r="BU201" s="49"/>
      <c r="BY201" s="4">
        <f t="shared" si="18"/>
        <v>186</v>
      </c>
      <c r="BZ201" s="4">
        <f t="shared" si="19"/>
        <v>246</v>
      </c>
      <c r="CD201" s="5" t="str">
        <f>Lineup!$G$1</f>
        <v>一軍例行賽</v>
      </c>
      <c r="CE201" s="4">
        <f>Lineup!$I$1</f>
        <v>148</v>
      </c>
      <c r="CF201" s="5" t="str">
        <f>Lineup!$G$5</f>
        <v>王俊宏</v>
      </c>
      <c r="CG201" s="5" t="str">
        <f>Lineup!$G$4</f>
        <v>桃園</v>
      </c>
    </row>
    <row r="202" spans="1:85" x14ac:dyDescent="0.3">
      <c r="A202" s="43"/>
      <c r="AX202" s="4" t="str">
        <f>IFERROR(VLOOKUP(M202,Roster!$L$2:$M$27,2,FALSE),"")</f>
        <v/>
      </c>
      <c r="AY202" s="4" t="str">
        <f t="shared" si="20"/>
        <v>好壞</v>
      </c>
      <c r="BI202" s="5" t="str">
        <f>Lineup!$G$2</f>
        <v>20210817</v>
      </c>
      <c r="BJ202" s="4" t="str">
        <f t="shared" si="21"/>
        <v>偏內角偏高</v>
      </c>
      <c r="BK202" s="4" t="str">
        <f t="shared" si="22"/>
        <v>BO</v>
      </c>
      <c r="BL202" s="4" t="str">
        <f>IFERROR(VLOOKUP(E202,Roster!$D$2:$E$27,2,FALSE),"")</f>
        <v/>
      </c>
      <c r="BP202" s="49"/>
      <c r="BQ202" s="49"/>
      <c r="BR202" s="49"/>
      <c r="BS202" s="49"/>
      <c r="BT202" s="49"/>
      <c r="BU202" s="49"/>
      <c r="BY202" s="4">
        <f t="shared" si="18"/>
        <v>186</v>
      </c>
      <c r="BZ202" s="4">
        <f t="shared" si="19"/>
        <v>246</v>
      </c>
      <c r="CD202" s="5" t="str">
        <f>Lineup!$G$1</f>
        <v>一軍例行賽</v>
      </c>
      <c r="CE202" s="4">
        <f>Lineup!$I$1</f>
        <v>148</v>
      </c>
      <c r="CF202" s="5" t="str">
        <f>Lineup!$G$5</f>
        <v>王俊宏</v>
      </c>
      <c r="CG202" s="5" t="str">
        <f>Lineup!$G$4</f>
        <v>桃園</v>
      </c>
    </row>
    <row r="203" spans="1:85" x14ac:dyDescent="0.3">
      <c r="A203" s="43"/>
      <c r="AX203" s="4" t="str">
        <f>IFERROR(VLOOKUP(M203,Roster!$L$2:$M$27,2,FALSE),"")</f>
        <v/>
      </c>
      <c r="AY203" s="4" t="str">
        <f t="shared" si="20"/>
        <v>好壞</v>
      </c>
      <c r="BI203" s="5" t="str">
        <f>Lineup!$G$2</f>
        <v>20210817</v>
      </c>
      <c r="BJ203" s="4" t="str">
        <f t="shared" si="21"/>
        <v>偏內角偏高</v>
      </c>
      <c r="BK203" s="4" t="str">
        <f t="shared" si="22"/>
        <v>BO</v>
      </c>
      <c r="BL203" s="4" t="str">
        <f>IFERROR(VLOOKUP(E203,Roster!$D$2:$E$27,2,FALSE),"")</f>
        <v/>
      </c>
      <c r="BP203" s="49"/>
      <c r="BQ203" s="49"/>
      <c r="BR203" s="49"/>
      <c r="BS203" s="49"/>
      <c r="BT203" s="49"/>
      <c r="BU203" s="49"/>
      <c r="BY203" s="4">
        <f t="shared" si="18"/>
        <v>186</v>
      </c>
      <c r="BZ203" s="4">
        <f t="shared" si="19"/>
        <v>246</v>
      </c>
      <c r="CD203" s="5" t="str">
        <f>Lineup!$G$1</f>
        <v>一軍例行賽</v>
      </c>
      <c r="CE203" s="4">
        <f>Lineup!$I$1</f>
        <v>148</v>
      </c>
      <c r="CF203" s="5" t="str">
        <f>Lineup!$G$5</f>
        <v>王俊宏</v>
      </c>
      <c r="CG203" s="5" t="str">
        <f>Lineup!$G$4</f>
        <v>桃園</v>
      </c>
    </row>
    <row r="204" spans="1:85" x14ac:dyDescent="0.3">
      <c r="A204" s="43"/>
      <c r="AX204" s="4" t="str">
        <f>IFERROR(VLOOKUP(M204,Roster!$L$2:$M$27,2,FALSE),"")</f>
        <v/>
      </c>
      <c r="AY204" s="4" t="str">
        <f t="shared" si="20"/>
        <v>好壞</v>
      </c>
      <c r="BI204" s="5" t="str">
        <f>Lineup!$G$2</f>
        <v>20210817</v>
      </c>
      <c r="BJ204" s="4" t="str">
        <f t="shared" si="21"/>
        <v>偏內角偏高</v>
      </c>
      <c r="BK204" s="4" t="str">
        <f t="shared" si="22"/>
        <v>BO</v>
      </c>
      <c r="BL204" s="4" t="str">
        <f>IFERROR(VLOOKUP(E204,Roster!$D$2:$E$27,2,FALSE),"")</f>
        <v/>
      </c>
      <c r="BP204" s="49"/>
      <c r="BQ204" s="49"/>
      <c r="BR204" s="49"/>
      <c r="BS204" s="49"/>
      <c r="BT204" s="49"/>
      <c r="BU204" s="49"/>
      <c r="BY204" s="4">
        <f t="shared" si="18"/>
        <v>186</v>
      </c>
      <c r="BZ204" s="4">
        <f t="shared" si="19"/>
        <v>246</v>
      </c>
      <c r="CD204" s="5" t="str">
        <f>Lineup!$G$1</f>
        <v>一軍例行賽</v>
      </c>
      <c r="CE204" s="4">
        <f>Lineup!$I$1</f>
        <v>148</v>
      </c>
      <c r="CF204" s="5" t="str">
        <f>Lineup!$G$5</f>
        <v>王俊宏</v>
      </c>
      <c r="CG204" s="5" t="str">
        <f>Lineup!$G$4</f>
        <v>桃園</v>
      </c>
    </row>
    <row r="205" spans="1:85" x14ac:dyDescent="0.3">
      <c r="A205" s="43"/>
      <c r="AX205" s="4" t="str">
        <f>IFERROR(VLOOKUP(M205,Roster!$L$2:$M$27,2,FALSE),"")</f>
        <v/>
      </c>
      <c r="AY205" s="4" t="str">
        <f t="shared" si="20"/>
        <v>好壞</v>
      </c>
      <c r="BI205" s="5" t="str">
        <f>Lineup!$G$2</f>
        <v>20210817</v>
      </c>
      <c r="BJ205" s="4" t="str">
        <f t="shared" si="21"/>
        <v>偏內角偏高</v>
      </c>
      <c r="BK205" s="4" t="str">
        <f t="shared" si="22"/>
        <v>BO</v>
      </c>
      <c r="BL205" s="4" t="str">
        <f>IFERROR(VLOOKUP(E205,Roster!$D$2:$E$27,2,FALSE),"")</f>
        <v/>
      </c>
      <c r="BP205" s="49"/>
      <c r="BQ205" s="49"/>
      <c r="BR205" s="49"/>
      <c r="BS205" s="49"/>
      <c r="BT205" s="49"/>
      <c r="BU205" s="49"/>
      <c r="BY205" s="4">
        <f t="shared" si="18"/>
        <v>186</v>
      </c>
      <c r="BZ205" s="4">
        <f t="shared" si="19"/>
        <v>246</v>
      </c>
      <c r="CD205" s="5" t="str">
        <f>Lineup!$G$1</f>
        <v>一軍例行賽</v>
      </c>
      <c r="CE205" s="4">
        <f>Lineup!$I$1</f>
        <v>148</v>
      </c>
      <c r="CF205" s="5" t="str">
        <f>Lineup!$G$5</f>
        <v>王俊宏</v>
      </c>
      <c r="CG205" s="5" t="str">
        <f>Lineup!$G$4</f>
        <v>桃園</v>
      </c>
    </row>
    <row r="206" spans="1:85" x14ac:dyDescent="0.3">
      <c r="A206" s="43"/>
      <c r="AX206" s="4" t="str">
        <f>IFERROR(VLOOKUP(M206,Roster!$L$2:$M$27,2,FALSE),"")</f>
        <v/>
      </c>
      <c r="AY206" s="4" t="str">
        <f t="shared" si="20"/>
        <v>好壞</v>
      </c>
      <c r="BI206" s="5" t="str">
        <f>Lineup!$G$2</f>
        <v>20210817</v>
      </c>
      <c r="BJ206" s="4" t="str">
        <f t="shared" si="21"/>
        <v>偏內角偏高</v>
      </c>
      <c r="BK206" s="4" t="str">
        <f t="shared" si="22"/>
        <v>BO</v>
      </c>
      <c r="BL206" s="4" t="str">
        <f>IFERROR(VLOOKUP(E206,Roster!$D$2:$E$27,2,FALSE),"")</f>
        <v/>
      </c>
      <c r="BP206" s="49"/>
      <c r="BQ206" s="49"/>
      <c r="BR206" s="49"/>
      <c r="BS206" s="49"/>
      <c r="BT206" s="49"/>
      <c r="BU206" s="49"/>
      <c r="BY206" s="4">
        <f t="shared" si="18"/>
        <v>186</v>
      </c>
      <c r="BZ206" s="4">
        <f t="shared" si="19"/>
        <v>246</v>
      </c>
      <c r="CD206" s="5" t="str">
        <f>Lineup!$G$1</f>
        <v>一軍例行賽</v>
      </c>
      <c r="CE206" s="4">
        <f>Lineup!$I$1</f>
        <v>148</v>
      </c>
      <c r="CF206" s="5" t="str">
        <f>Lineup!$G$5</f>
        <v>王俊宏</v>
      </c>
      <c r="CG206" s="5" t="str">
        <f>Lineup!$G$4</f>
        <v>桃園</v>
      </c>
    </row>
    <row r="207" spans="1:85" x14ac:dyDescent="0.3">
      <c r="A207" s="43"/>
      <c r="AX207" s="4" t="str">
        <f>IFERROR(VLOOKUP(M207,Roster!$L$2:$M$27,2,FALSE),"")</f>
        <v/>
      </c>
      <c r="AY207" s="4" t="str">
        <f t="shared" si="20"/>
        <v>好壞</v>
      </c>
      <c r="BI207" s="5" t="str">
        <f>Lineup!$G$2</f>
        <v>20210817</v>
      </c>
      <c r="BJ207" s="4" t="str">
        <f t="shared" si="21"/>
        <v>偏內角偏高</v>
      </c>
      <c r="BK207" s="4" t="str">
        <f t="shared" si="22"/>
        <v>BO</v>
      </c>
      <c r="BL207" s="4" t="str">
        <f>IFERROR(VLOOKUP(E207,Roster!$D$2:$E$27,2,FALSE),"")</f>
        <v/>
      </c>
      <c r="BP207" s="49"/>
      <c r="BQ207" s="49"/>
      <c r="BR207" s="49"/>
      <c r="BS207" s="49"/>
      <c r="BT207" s="49"/>
      <c r="BU207" s="49"/>
      <c r="BY207" s="4">
        <f t="shared" si="18"/>
        <v>186</v>
      </c>
      <c r="BZ207" s="4">
        <f t="shared" si="19"/>
        <v>246</v>
      </c>
      <c r="CD207" s="5" t="str">
        <f>Lineup!$G$1</f>
        <v>一軍例行賽</v>
      </c>
      <c r="CE207" s="4">
        <f>Lineup!$I$1</f>
        <v>148</v>
      </c>
      <c r="CF207" s="5" t="str">
        <f>Lineup!$G$5</f>
        <v>王俊宏</v>
      </c>
      <c r="CG207" s="5" t="str">
        <f>Lineup!$G$4</f>
        <v>桃園</v>
      </c>
    </row>
    <row r="208" spans="1:85" x14ac:dyDescent="0.3">
      <c r="A208" s="43"/>
      <c r="AX208" s="4" t="str">
        <f>IFERROR(VLOOKUP(M208,Roster!$L$2:$M$27,2,FALSE),"")</f>
        <v/>
      </c>
      <c r="AY208" s="4" t="str">
        <f t="shared" si="20"/>
        <v>好壞</v>
      </c>
      <c r="BI208" s="5" t="str">
        <f>Lineup!$G$2</f>
        <v>20210817</v>
      </c>
      <c r="BJ208" s="4" t="str">
        <f t="shared" si="21"/>
        <v>偏內角偏高</v>
      </c>
      <c r="BK208" s="4" t="str">
        <f t="shared" si="22"/>
        <v>BO</v>
      </c>
      <c r="BL208" s="4" t="str">
        <f>IFERROR(VLOOKUP(E208,Roster!$D$2:$E$27,2,FALSE),"")</f>
        <v/>
      </c>
      <c r="BP208" s="49"/>
      <c r="BQ208" s="49"/>
      <c r="BR208" s="49"/>
      <c r="BS208" s="49"/>
      <c r="BT208" s="49"/>
      <c r="BU208" s="49"/>
      <c r="BY208" s="4">
        <f t="shared" si="18"/>
        <v>186</v>
      </c>
      <c r="BZ208" s="4">
        <f t="shared" si="19"/>
        <v>246</v>
      </c>
      <c r="CD208" s="5" t="str">
        <f>Lineup!$G$1</f>
        <v>一軍例行賽</v>
      </c>
      <c r="CE208" s="4">
        <f>Lineup!$I$1</f>
        <v>148</v>
      </c>
      <c r="CF208" s="5" t="str">
        <f>Lineup!$G$5</f>
        <v>王俊宏</v>
      </c>
      <c r="CG208" s="5" t="str">
        <f>Lineup!$G$4</f>
        <v>桃園</v>
      </c>
    </row>
    <row r="209" spans="1:85" x14ac:dyDescent="0.3">
      <c r="A209" s="43"/>
      <c r="AX209" s="4" t="str">
        <f>IFERROR(VLOOKUP(M209,Roster!$L$2:$M$27,2,FALSE),"")</f>
        <v/>
      </c>
      <c r="AY209" s="4" t="str">
        <f t="shared" si="20"/>
        <v>好壞</v>
      </c>
      <c r="BI209" s="5" t="str">
        <f>Lineup!$G$2</f>
        <v>20210817</v>
      </c>
      <c r="BJ209" s="4" t="str">
        <f t="shared" si="21"/>
        <v>偏內角偏高</v>
      </c>
      <c r="BK209" s="4" t="str">
        <f t="shared" si="22"/>
        <v>BO</v>
      </c>
      <c r="BL209" s="4" t="str">
        <f>IFERROR(VLOOKUP(E209,Roster!$D$2:$E$27,2,FALSE),"")</f>
        <v/>
      </c>
      <c r="BP209" s="49"/>
      <c r="BQ209" s="49"/>
      <c r="BR209" s="49"/>
      <c r="BS209" s="49"/>
      <c r="BT209" s="49"/>
      <c r="BU209" s="49"/>
      <c r="BY209" s="4">
        <f t="shared" si="18"/>
        <v>186</v>
      </c>
      <c r="BZ209" s="4">
        <f t="shared" si="19"/>
        <v>246</v>
      </c>
      <c r="CD209" s="5" t="str">
        <f>Lineup!$G$1</f>
        <v>一軍例行賽</v>
      </c>
      <c r="CE209" s="4">
        <f>Lineup!$I$1</f>
        <v>148</v>
      </c>
      <c r="CF209" s="5" t="str">
        <f>Lineup!$G$5</f>
        <v>王俊宏</v>
      </c>
      <c r="CG209" s="5" t="str">
        <f>Lineup!$G$4</f>
        <v>桃園</v>
      </c>
    </row>
    <row r="210" spans="1:85" x14ac:dyDescent="0.3">
      <c r="A210" s="43"/>
      <c r="AX210" s="4" t="str">
        <f>IFERROR(VLOOKUP(M210,Roster!$L$2:$M$27,2,FALSE),"")</f>
        <v/>
      </c>
      <c r="AY210" s="4" t="str">
        <f t="shared" si="20"/>
        <v>好壞</v>
      </c>
      <c r="BI210" s="5" t="str">
        <f>Lineup!$G$2</f>
        <v>20210817</v>
      </c>
      <c r="BJ210" s="4" t="str">
        <f t="shared" si="21"/>
        <v>偏內角偏高</v>
      </c>
      <c r="BK210" s="4" t="str">
        <f t="shared" si="22"/>
        <v>BO</v>
      </c>
      <c r="BL210" s="4" t="str">
        <f>IFERROR(VLOOKUP(E210,Roster!$D$2:$E$27,2,FALSE),"")</f>
        <v/>
      </c>
      <c r="BP210" s="49"/>
      <c r="BQ210" s="49"/>
      <c r="BR210" s="49"/>
      <c r="BS210" s="49"/>
      <c r="BT210" s="49"/>
      <c r="BU210" s="49"/>
      <c r="BY210" s="4">
        <f t="shared" si="18"/>
        <v>186</v>
      </c>
      <c r="BZ210" s="4">
        <f t="shared" si="19"/>
        <v>246</v>
      </c>
      <c r="CD210" s="5" t="str">
        <f>Lineup!$G$1</f>
        <v>一軍例行賽</v>
      </c>
      <c r="CE210" s="4">
        <f>Lineup!$I$1</f>
        <v>148</v>
      </c>
      <c r="CF210" s="5" t="str">
        <f>Lineup!$G$5</f>
        <v>王俊宏</v>
      </c>
      <c r="CG210" s="5" t="str">
        <f>Lineup!$G$4</f>
        <v>桃園</v>
      </c>
    </row>
    <row r="211" spans="1:85" x14ac:dyDescent="0.3">
      <c r="A211" s="43"/>
      <c r="AX211" s="4" t="str">
        <f>IFERROR(VLOOKUP(M211,Roster!$L$2:$M$27,2,FALSE),"")</f>
        <v/>
      </c>
      <c r="AY211" s="4" t="str">
        <f t="shared" si="20"/>
        <v>好壞</v>
      </c>
      <c r="BI211" s="5" t="str">
        <f>Lineup!$G$2</f>
        <v>20210817</v>
      </c>
      <c r="BJ211" s="4" t="str">
        <f t="shared" si="21"/>
        <v>偏內角偏高</v>
      </c>
      <c r="BK211" s="4" t="str">
        <f t="shared" si="22"/>
        <v>BO</v>
      </c>
      <c r="BL211" s="4" t="str">
        <f>IFERROR(VLOOKUP(E211,Roster!$D$2:$E$27,2,FALSE),"")</f>
        <v/>
      </c>
      <c r="BP211" s="49"/>
      <c r="BQ211" s="49"/>
      <c r="BR211" s="49"/>
      <c r="BS211" s="49"/>
      <c r="BT211" s="49"/>
      <c r="BU211" s="49"/>
      <c r="BY211" s="4">
        <f t="shared" si="18"/>
        <v>186</v>
      </c>
      <c r="BZ211" s="4">
        <f t="shared" si="19"/>
        <v>246</v>
      </c>
      <c r="CD211" s="5" t="str">
        <f>Lineup!$G$1</f>
        <v>一軍例行賽</v>
      </c>
      <c r="CE211" s="4">
        <f>Lineup!$I$1</f>
        <v>148</v>
      </c>
      <c r="CF211" s="5" t="str">
        <f>Lineup!$G$5</f>
        <v>王俊宏</v>
      </c>
      <c r="CG211" s="5" t="str">
        <f>Lineup!$G$4</f>
        <v>桃園</v>
      </c>
    </row>
    <row r="212" spans="1:85" x14ac:dyDescent="0.3">
      <c r="A212" s="43"/>
      <c r="AX212" s="4" t="str">
        <f>IFERROR(VLOOKUP(M212,Roster!$L$2:$M$27,2,FALSE),"")</f>
        <v/>
      </c>
      <c r="AY212" s="4" t="str">
        <f t="shared" si="20"/>
        <v>好壞</v>
      </c>
      <c r="BI212" s="5" t="str">
        <f>Lineup!$G$2</f>
        <v>20210817</v>
      </c>
      <c r="BJ212" s="4" t="str">
        <f t="shared" si="21"/>
        <v>偏內角偏高</v>
      </c>
      <c r="BK212" s="4" t="str">
        <f t="shared" si="22"/>
        <v>BO</v>
      </c>
      <c r="BL212" s="4" t="str">
        <f>IFERROR(VLOOKUP(E212,Roster!$D$2:$E$27,2,FALSE),"")</f>
        <v/>
      </c>
      <c r="BP212" s="49"/>
      <c r="BQ212" s="49"/>
      <c r="BR212" s="49"/>
      <c r="BS212" s="49"/>
      <c r="BT212" s="49"/>
      <c r="BU212" s="49"/>
      <c r="BY212" s="4">
        <f t="shared" si="18"/>
        <v>186</v>
      </c>
      <c r="BZ212" s="4">
        <f t="shared" si="19"/>
        <v>246</v>
      </c>
      <c r="CD212" s="5" t="str">
        <f>Lineup!$G$1</f>
        <v>一軍例行賽</v>
      </c>
      <c r="CE212" s="4">
        <f>Lineup!$I$1</f>
        <v>148</v>
      </c>
      <c r="CF212" s="5" t="str">
        <f>Lineup!$G$5</f>
        <v>王俊宏</v>
      </c>
      <c r="CG212" s="5" t="str">
        <f>Lineup!$G$4</f>
        <v>桃園</v>
      </c>
    </row>
    <row r="213" spans="1:85" x14ac:dyDescent="0.3">
      <c r="A213" s="43"/>
      <c r="AX213" s="4" t="str">
        <f>IFERROR(VLOOKUP(M213,Roster!$L$2:$M$27,2,FALSE),"")</f>
        <v/>
      </c>
      <c r="AY213" s="4" t="str">
        <f t="shared" si="20"/>
        <v>好壞</v>
      </c>
      <c r="BI213" s="5" t="str">
        <f>Lineup!$G$2</f>
        <v>20210817</v>
      </c>
      <c r="BJ213" s="4" t="str">
        <f t="shared" si="21"/>
        <v>偏內角偏高</v>
      </c>
      <c r="BK213" s="4" t="str">
        <f t="shared" si="22"/>
        <v>BO</v>
      </c>
      <c r="BL213" s="4" t="str">
        <f>IFERROR(VLOOKUP(E213,Roster!$D$2:$E$27,2,FALSE),"")</f>
        <v/>
      </c>
      <c r="BP213" s="49"/>
      <c r="BQ213" s="49"/>
      <c r="BR213" s="49"/>
      <c r="BS213" s="49"/>
      <c r="BT213" s="49"/>
      <c r="BU213" s="49"/>
      <c r="BY213" s="4">
        <f t="shared" si="18"/>
        <v>186</v>
      </c>
      <c r="BZ213" s="4">
        <f t="shared" si="19"/>
        <v>246</v>
      </c>
      <c r="CD213" s="5" t="str">
        <f>Lineup!$G$1</f>
        <v>一軍例行賽</v>
      </c>
      <c r="CE213" s="4">
        <f>Lineup!$I$1</f>
        <v>148</v>
      </c>
      <c r="CF213" s="5" t="str">
        <f>Lineup!$G$5</f>
        <v>王俊宏</v>
      </c>
      <c r="CG213" s="5" t="str">
        <f>Lineup!$G$4</f>
        <v>桃園</v>
      </c>
    </row>
    <row r="214" spans="1:85" x14ac:dyDescent="0.3">
      <c r="A214" s="43"/>
      <c r="AX214" s="4" t="str">
        <f>IFERROR(VLOOKUP(M214,Roster!$L$2:$M$27,2,FALSE),"")</f>
        <v/>
      </c>
      <c r="AY214" s="4" t="str">
        <f t="shared" si="20"/>
        <v>好壞</v>
      </c>
      <c r="BI214" s="5" t="str">
        <f>Lineup!$G$2</f>
        <v>20210817</v>
      </c>
      <c r="BJ214" s="4" t="str">
        <f t="shared" si="21"/>
        <v>偏內角偏高</v>
      </c>
      <c r="BK214" s="4" t="str">
        <f t="shared" si="22"/>
        <v>BO</v>
      </c>
      <c r="BL214" s="4" t="str">
        <f>IFERROR(VLOOKUP(E214,Roster!$D$2:$E$27,2,FALSE),"")</f>
        <v/>
      </c>
      <c r="BP214" s="49"/>
      <c r="BQ214" s="49"/>
      <c r="BR214" s="49"/>
      <c r="BS214" s="49"/>
      <c r="BT214" s="49"/>
      <c r="BU214" s="49"/>
      <c r="BY214" s="4">
        <f t="shared" si="18"/>
        <v>186</v>
      </c>
      <c r="BZ214" s="4">
        <f t="shared" si="19"/>
        <v>246</v>
      </c>
      <c r="CD214" s="5" t="str">
        <f>Lineup!$G$1</f>
        <v>一軍例行賽</v>
      </c>
      <c r="CE214" s="4">
        <f>Lineup!$I$1</f>
        <v>148</v>
      </c>
      <c r="CF214" s="5" t="str">
        <f>Lineup!$G$5</f>
        <v>王俊宏</v>
      </c>
      <c r="CG214" s="5" t="str">
        <f>Lineup!$G$4</f>
        <v>桃園</v>
      </c>
    </row>
    <row r="215" spans="1:85" x14ac:dyDescent="0.3">
      <c r="A215" s="43"/>
      <c r="AX215" s="4" t="str">
        <f>IFERROR(VLOOKUP(M215,Roster!$L$2:$M$27,2,FALSE),"")</f>
        <v/>
      </c>
      <c r="AY215" s="4" t="str">
        <f t="shared" si="20"/>
        <v>好壞</v>
      </c>
      <c r="BI215" s="5" t="str">
        <f>Lineup!$G$2</f>
        <v>20210817</v>
      </c>
      <c r="BJ215" s="4" t="str">
        <f t="shared" si="21"/>
        <v>偏內角偏高</v>
      </c>
      <c r="BK215" s="4" t="str">
        <f t="shared" si="22"/>
        <v>BO</v>
      </c>
      <c r="BL215" s="4" t="str">
        <f>IFERROR(VLOOKUP(E215,Roster!$D$2:$E$27,2,FALSE),"")</f>
        <v/>
      </c>
      <c r="BP215" s="49"/>
      <c r="BQ215" s="49"/>
      <c r="BR215" s="49"/>
      <c r="BS215" s="49"/>
      <c r="BT215" s="49"/>
      <c r="BU215" s="49"/>
      <c r="BY215" s="4">
        <f t="shared" si="18"/>
        <v>186</v>
      </c>
      <c r="BZ215" s="4">
        <f t="shared" si="19"/>
        <v>246</v>
      </c>
      <c r="CD215" s="5" t="str">
        <f>Lineup!$G$1</f>
        <v>一軍例行賽</v>
      </c>
      <c r="CE215" s="4">
        <f>Lineup!$I$1</f>
        <v>148</v>
      </c>
      <c r="CF215" s="5" t="str">
        <f>Lineup!$G$5</f>
        <v>王俊宏</v>
      </c>
      <c r="CG215" s="5" t="str">
        <f>Lineup!$G$4</f>
        <v>桃園</v>
      </c>
    </row>
    <row r="216" spans="1:85" x14ac:dyDescent="0.3">
      <c r="A216" s="43"/>
      <c r="AX216" s="4" t="str">
        <f>IFERROR(VLOOKUP(M216,Roster!$L$2:$M$27,2,FALSE),"")</f>
        <v/>
      </c>
      <c r="AY216" s="4" t="str">
        <f t="shared" si="20"/>
        <v>好壞</v>
      </c>
      <c r="BI216" s="5" t="str">
        <f>Lineup!$G$2</f>
        <v>20210817</v>
      </c>
      <c r="BJ216" s="4" t="str">
        <f t="shared" si="21"/>
        <v>偏內角偏高</v>
      </c>
      <c r="BK216" s="4" t="str">
        <f t="shared" si="22"/>
        <v>BO</v>
      </c>
      <c r="BL216" s="4" t="str">
        <f>IFERROR(VLOOKUP(E216,Roster!$D$2:$E$27,2,FALSE),"")</f>
        <v/>
      </c>
      <c r="BP216" s="49"/>
      <c r="BQ216" s="49"/>
      <c r="BR216" s="49"/>
      <c r="BS216" s="49"/>
      <c r="BT216" s="49"/>
      <c r="BU216" s="49"/>
      <c r="BY216" s="4">
        <f t="shared" si="18"/>
        <v>186</v>
      </c>
      <c r="BZ216" s="4">
        <f t="shared" si="19"/>
        <v>246</v>
      </c>
      <c r="CD216" s="5" t="str">
        <f>Lineup!$G$1</f>
        <v>一軍例行賽</v>
      </c>
      <c r="CE216" s="4">
        <f>Lineup!$I$1</f>
        <v>148</v>
      </c>
      <c r="CF216" s="5" t="str">
        <f>Lineup!$G$5</f>
        <v>王俊宏</v>
      </c>
      <c r="CG216" s="5" t="str">
        <f>Lineup!$G$4</f>
        <v>桃園</v>
      </c>
    </row>
    <row r="217" spans="1:85" x14ac:dyDescent="0.3">
      <c r="A217" s="43"/>
      <c r="AX217" s="4" t="str">
        <f>IFERROR(VLOOKUP(M217,Roster!$L$2:$M$27,2,FALSE),"")</f>
        <v/>
      </c>
      <c r="AY217" s="4" t="str">
        <f t="shared" si="20"/>
        <v>好壞</v>
      </c>
      <c r="BI217" s="5" t="str">
        <f>Lineup!$G$2</f>
        <v>20210817</v>
      </c>
      <c r="BJ217" s="4" t="str">
        <f t="shared" si="21"/>
        <v>偏內角偏高</v>
      </c>
      <c r="BK217" s="4" t="str">
        <f t="shared" si="22"/>
        <v>BO</v>
      </c>
      <c r="BL217" s="4" t="str">
        <f>IFERROR(VLOOKUP(E217,Roster!$D$2:$E$27,2,FALSE),"")</f>
        <v/>
      </c>
      <c r="BP217" s="49"/>
      <c r="BQ217" s="49"/>
      <c r="BR217" s="49"/>
      <c r="BS217" s="49"/>
      <c r="BT217" s="49"/>
      <c r="BU217" s="49"/>
      <c r="BY217" s="4">
        <f t="shared" si="18"/>
        <v>186</v>
      </c>
      <c r="BZ217" s="4">
        <f t="shared" si="19"/>
        <v>246</v>
      </c>
      <c r="CD217" s="5" t="str">
        <f>Lineup!$G$1</f>
        <v>一軍例行賽</v>
      </c>
      <c r="CE217" s="4">
        <f>Lineup!$I$1</f>
        <v>148</v>
      </c>
      <c r="CF217" s="5" t="str">
        <f>Lineup!$G$5</f>
        <v>王俊宏</v>
      </c>
      <c r="CG217" s="5" t="str">
        <f>Lineup!$G$4</f>
        <v>桃園</v>
      </c>
    </row>
    <row r="218" spans="1:85" x14ac:dyDescent="0.3">
      <c r="A218" s="43"/>
      <c r="AX218" s="4" t="str">
        <f>IFERROR(VLOOKUP(M218,Roster!$L$2:$M$27,2,FALSE),"")</f>
        <v/>
      </c>
      <c r="AY218" s="4" t="str">
        <f t="shared" si="20"/>
        <v>好壞</v>
      </c>
      <c r="BI218" s="5" t="str">
        <f>Lineup!$G$2</f>
        <v>20210817</v>
      </c>
      <c r="BJ218" s="4" t="str">
        <f t="shared" si="21"/>
        <v>偏內角偏高</v>
      </c>
      <c r="BK218" s="4" t="str">
        <f t="shared" si="22"/>
        <v>BO</v>
      </c>
      <c r="BL218" s="4" t="str">
        <f>IFERROR(VLOOKUP(E218,Roster!$D$2:$E$27,2,FALSE),"")</f>
        <v/>
      </c>
      <c r="BP218" s="49"/>
      <c r="BQ218" s="49"/>
      <c r="BR218" s="49"/>
      <c r="BS218" s="49"/>
      <c r="BT218" s="49"/>
      <c r="BU218" s="49"/>
      <c r="BY218" s="4">
        <f t="shared" si="18"/>
        <v>186</v>
      </c>
      <c r="BZ218" s="4">
        <f t="shared" si="19"/>
        <v>246</v>
      </c>
      <c r="CD218" s="5" t="str">
        <f>Lineup!$G$1</f>
        <v>一軍例行賽</v>
      </c>
      <c r="CE218" s="4">
        <f>Lineup!$I$1</f>
        <v>148</v>
      </c>
      <c r="CF218" s="5" t="str">
        <f>Lineup!$G$5</f>
        <v>王俊宏</v>
      </c>
      <c r="CG218" s="5" t="str">
        <f>Lineup!$G$4</f>
        <v>桃園</v>
      </c>
    </row>
    <row r="219" spans="1:85" x14ac:dyDescent="0.3">
      <c r="A219" s="43"/>
      <c r="AX219" s="4" t="str">
        <f>IFERROR(VLOOKUP(M219,Roster!$L$2:$M$27,2,FALSE),"")</f>
        <v/>
      </c>
      <c r="AY219" s="4" t="str">
        <f t="shared" si="20"/>
        <v>好壞</v>
      </c>
      <c r="BI219" s="5" t="str">
        <f>Lineup!$G$2</f>
        <v>20210817</v>
      </c>
      <c r="BJ219" s="4" t="str">
        <f t="shared" si="21"/>
        <v>偏內角偏高</v>
      </c>
      <c r="BK219" s="4" t="str">
        <f t="shared" si="22"/>
        <v>BO</v>
      </c>
      <c r="BL219" s="4" t="str">
        <f>IFERROR(VLOOKUP(E219,Roster!$D$2:$E$27,2,FALSE),"")</f>
        <v/>
      </c>
      <c r="BP219" s="49"/>
      <c r="BQ219" s="49"/>
      <c r="BR219" s="49"/>
      <c r="BS219" s="49"/>
      <c r="BT219" s="49"/>
      <c r="BU219" s="49"/>
      <c r="BY219" s="4">
        <f t="shared" si="18"/>
        <v>186</v>
      </c>
      <c r="BZ219" s="4">
        <f t="shared" si="19"/>
        <v>246</v>
      </c>
      <c r="CD219" s="5" t="str">
        <f>Lineup!$G$1</f>
        <v>一軍例行賽</v>
      </c>
      <c r="CE219" s="4">
        <f>Lineup!$I$1</f>
        <v>148</v>
      </c>
      <c r="CF219" s="5" t="str">
        <f>Lineup!$G$5</f>
        <v>王俊宏</v>
      </c>
      <c r="CG219" s="5" t="str">
        <f>Lineup!$G$4</f>
        <v>桃園</v>
      </c>
    </row>
    <row r="220" spans="1:85" x14ac:dyDescent="0.3">
      <c r="A220" s="43"/>
      <c r="AX220" s="4" t="str">
        <f>IFERROR(VLOOKUP(M220,Roster!$L$2:$M$27,2,FALSE),"")</f>
        <v/>
      </c>
      <c r="AY220" s="4" t="str">
        <f t="shared" si="20"/>
        <v>好壞</v>
      </c>
      <c r="BI220" s="5" t="str">
        <f>Lineup!$G$2</f>
        <v>20210817</v>
      </c>
      <c r="BJ220" s="4" t="str">
        <f t="shared" si="21"/>
        <v>偏內角偏高</v>
      </c>
      <c r="BK220" s="4" t="str">
        <f t="shared" si="22"/>
        <v>BO</v>
      </c>
      <c r="BL220" s="4" t="str">
        <f>IFERROR(VLOOKUP(E220,Roster!$D$2:$E$27,2,FALSE),"")</f>
        <v/>
      </c>
      <c r="BP220" s="49"/>
      <c r="BQ220" s="49"/>
      <c r="BR220" s="49"/>
      <c r="BS220" s="49"/>
      <c r="BT220" s="49"/>
      <c r="BU220" s="49"/>
      <c r="BY220" s="4">
        <f t="shared" si="18"/>
        <v>186</v>
      </c>
      <c r="BZ220" s="4">
        <f t="shared" si="19"/>
        <v>246</v>
      </c>
      <c r="CD220" s="5" t="str">
        <f>Lineup!$G$1</f>
        <v>一軍例行賽</v>
      </c>
      <c r="CE220" s="4">
        <f>Lineup!$I$1</f>
        <v>148</v>
      </c>
      <c r="CF220" s="5" t="str">
        <f>Lineup!$G$5</f>
        <v>王俊宏</v>
      </c>
      <c r="CG220" s="5" t="str">
        <f>Lineup!$G$4</f>
        <v>桃園</v>
      </c>
    </row>
    <row r="221" spans="1:85" x14ac:dyDescent="0.3">
      <c r="A221" s="43"/>
      <c r="AX221" s="4" t="str">
        <f>IFERROR(VLOOKUP(M221,Roster!$L$2:$M$27,2,FALSE),"")</f>
        <v/>
      </c>
      <c r="AY221" s="4" t="str">
        <f t="shared" si="20"/>
        <v>好壞</v>
      </c>
      <c r="BI221" s="5" t="str">
        <f>Lineup!$G$2</f>
        <v>20210817</v>
      </c>
      <c r="BJ221" s="4" t="str">
        <f t="shared" si="21"/>
        <v>偏內角偏高</v>
      </c>
      <c r="BK221" s="4" t="str">
        <f t="shared" si="22"/>
        <v>BO</v>
      </c>
      <c r="BL221" s="4" t="str">
        <f>IFERROR(VLOOKUP(E221,Roster!$D$2:$E$27,2,FALSE),"")</f>
        <v/>
      </c>
      <c r="BP221" s="49"/>
      <c r="BQ221" s="49"/>
      <c r="BR221" s="49"/>
      <c r="BS221" s="49"/>
      <c r="BT221" s="49"/>
      <c r="BU221" s="49"/>
      <c r="BY221" s="4">
        <f t="shared" si="18"/>
        <v>186</v>
      </c>
      <c r="BZ221" s="4">
        <f t="shared" si="19"/>
        <v>246</v>
      </c>
      <c r="CD221" s="5" t="str">
        <f>Lineup!$G$1</f>
        <v>一軍例行賽</v>
      </c>
      <c r="CE221" s="4">
        <f>Lineup!$I$1</f>
        <v>148</v>
      </c>
      <c r="CF221" s="5" t="str">
        <f>Lineup!$G$5</f>
        <v>王俊宏</v>
      </c>
      <c r="CG221" s="5" t="str">
        <f>Lineup!$G$4</f>
        <v>桃園</v>
      </c>
    </row>
    <row r="222" spans="1:85" x14ac:dyDescent="0.3">
      <c r="A222" s="43"/>
      <c r="AX222" s="4" t="str">
        <f>IFERROR(VLOOKUP(M222,Roster!$L$2:$M$27,2,FALSE),"")</f>
        <v/>
      </c>
      <c r="AY222" s="4" t="str">
        <f t="shared" si="20"/>
        <v>好壞</v>
      </c>
      <c r="BI222" s="5" t="str">
        <f>Lineup!$G$2</f>
        <v>20210817</v>
      </c>
      <c r="BJ222" s="4" t="str">
        <f t="shared" si="21"/>
        <v>偏內角偏高</v>
      </c>
      <c r="BK222" s="4" t="str">
        <f t="shared" si="22"/>
        <v>BO</v>
      </c>
      <c r="BL222" s="4" t="str">
        <f>IFERROR(VLOOKUP(E222,Roster!$D$2:$E$27,2,FALSE),"")</f>
        <v/>
      </c>
      <c r="BP222" s="49"/>
      <c r="BQ222" s="49"/>
      <c r="BR222" s="49"/>
      <c r="BS222" s="49"/>
      <c r="BT222" s="49"/>
      <c r="BU222" s="49"/>
      <c r="BY222" s="4">
        <f t="shared" si="18"/>
        <v>186</v>
      </c>
      <c r="BZ222" s="4">
        <f t="shared" si="19"/>
        <v>246</v>
      </c>
      <c r="CD222" s="5" t="str">
        <f>Lineup!$G$1</f>
        <v>一軍例行賽</v>
      </c>
      <c r="CE222" s="4">
        <f>Lineup!$I$1</f>
        <v>148</v>
      </c>
      <c r="CF222" s="5" t="str">
        <f>Lineup!$G$5</f>
        <v>王俊宏</v>
      </c>
      <c r="CG222" s="5" t="str">
        <f>Lineup!$G$4</f>
        <v>桃園</v>
      </c>
    </row>
    <row r="223" spans="1:85" x14ac:dyDescent="0.3">
      <c r="A223" s="43"/>
      <c r="AX223" s="4" t="str">
        <f>IFERROR(VLOOKUP(M223,Roster!$L$2:$M$27,2,FALSE),"")</f>
        <v/>
      </c>
      <c r="AY223" s="4" t="str">
        <f t="shared" si="20"/>
        <v>好壞</v>
      </c>
      <c r="BI223" s="5" t="str">
        <f>Lineup!$G$2</f>
        <v>20210817</v>
      </c>
      <c r="BJ223" s="4" t="str">
        <f t="shared" si="21"/>
        <v>偏內角偏高</v>
      </c>
      <c r="BK223" s="4" t="str">
        <f t="shared" si="22"/>
        <v>BO</v>
      </c>
      <c r="BL223" s="4" t="str">
        <f>IFERROR(VLOOKUP(E223,Roster!$D$2:$E$27,2,FALSE),"")</f>
        <v/>
      </c>
      <c r="BP223" s="49"/>
      <c r="BQ223" s="49"/>
      <c r="BR223" s="49"/>
      <c r="BS223" s="49"/>
      <c r="BT223" s="49"/>
      <c r="BU223" s="49"/>
      <c r="BY223" s="4">
        <f t="shared" si="18"/>
        <v>186</v>
      </c>
      <c r="BZ223" s="4">
        <f t="shared" si="19"/>
        <v>246</v>
      </c>
      <c r="CD223" s="5" t="str">
        <f>Lineup!$G$1</f>
        <v>一軍例行賽</v>
      </c>
      <c r="CE223" s="4">
        <f>Lineup!$I$1</f>
        <v>148</v>
      </c>
      <c r="CF223" s="5" t="str">
        <f>Lineup!$G$5</f>
        <v>王俊宏</v>
      </c>
      <c r="CG223" s="5" t="str">
        <f>Lineup!$G$4</f>
        <v>桃園</v>
      </c>
    </row>
    <row r="224" spans="1:85" x14ac:dyDescent="0.3">
      <c r="A224" s="43"/>
      <c r="AX224" s="4" t="str">
        <f>IFERROR(VLOOKUP(M224,Roster!$L$2:$M$27,2,FALSE),"")</f>
        <v/>
      </c>
      <c r="AY224" s="4" t="str">
        <f t="shared" si="20"/>
        <v>好壞</v>
      </c>
      <c r="BI224" s="5" t="str">
        <f>Lineup!$G$2</f>
        <v>20210817</v>
      </c>
      <c r="BJ224" s="4" t="str">
        <f t="shared" si="21"/>
        <v>偏內角偏高</v>
      </c>
      <c r="BK224" s="4" t="str">
        <f t="shared" si="22"/>
        <v>BO</v>
      </c>
      <c r="BL224" s="4" t="str">
        <f>IFERROR(VLOOKUP(E224,Roster!$D$2:$E$27,2,FALSE),"")</f>
        <v/>
      </c>
      <c r="BP224" s="49"/>
      <c r="BQ224" s="49"/>
      <c r="BR224" s="49"/>
      <c r="BS224" s="49"/>
      <c r="BT224" s="49"/>
      <c r="BU224" s="49"/>
      <c r="BY224" s="4">
        <f t="shared" si="18"/>
        <v>186</v>
      </c>
      <c r="BZ224" s="4">
        <f t="shared" si="19"/>
        <v>246</v>
      </c>
      <c r="CD224" s="5" t="str">
        <f>Lineup!$G$1</f>
        <v>一軍例行賽</v>
      </c>
      <c r="CE224" s="4">
        <f>Lineup!$I$1</f>
        <v>148</v>
      </c>
      <c r="CF224" s="5" t="str">
        <f>Lineup!$G$5</f>
        <v>王俊宏</v>
      </c>
      <c r="CG224" s="5" t="str">
        <f>Lineup!$G$4</f>
        <v>桃園</v>
      </c>
    </row>
    <row r="225" spans="1:85" x14ac:dyDescent="0.3">
      <c r="A225" s="43"/>
      <c r="AX225" s="4" t="str">
        <f>IFERROR(VLOOKUP(M225,Roster!$L$2:$M$27,2,FALSE),"")</f>
        <v/>
      </c>
      <c r="AY225" s="4" t="str">
        <f t="shared" si="20"/>
        <v>好壞</v>
      </c>
      <c r="BI225" s="5" t="str">
        <f>Lineup!$G$2</f>
        <v>20210817</v>
      </c>
      <c r="BJ225" s="4" t="str">
        <f t="shared" si="21"/>
        <v>偏內角偏高</v>
      </c>
      <c r="BK225" s="4" t="str">
        <f t="shared" si="22"/>
        <v>BO</v>
      </c>
      <c r="BL225" s="4" t="str">
        <f>IFERROR(VLOOKUP(E225,Roster!$D$2:$E$27,2,FALSE),"")</f>
        <v/>
      </c>
      <c r="BP225" s="49"/>
      <c r="BQ225" s="49"/>
      <c r="BR225" s="49"/>
      <c r="BS225" s="49"/>
      <c r="BT225" s="49"/>
      <c r="BU225" s="49"/>
      <c r="BY225" s="4">
        <f t="shared" si="18"/>
        <v>186</v>
      </c>
      <c r="BZ225" s="4">
        <f t="shared" si="19"/>
        <v>246</v>
      </c>
      <c r="CD225" s="5" t="str">
        <f>Lineup!$G$1</f>
        <v>一軍例行賽</v>
      </c>
      <c r="CE225" s="4">
        <f>Lineup!$I$1</f>
        <v>148</v>
      </c>
      <c r="CF225" s="5" t="str">
        <f>Lineup!$G$5</f>
        <v>王俊宏</v>
      </c>
      <c r="CG225" s="5" t="str">
        <f>Lineup!$G$4</f>
        <v>桃園</v>
      </c>
    </row>
    <row r="226" spans="1:85" x14ac:dyDescent="0.3">
      <c r="A226" s="43"/>
      <c r="AX226" s="4" t="str">
        <f>IFERROR(VLOOKUP(M226,Roster!$L$2:$M$27,2,FALSE),"")</f>
        <v/>
      </c>
      <c r="AY226" s="4" t="str">
        <f t="shared" si="20"/>
        <v>好壞</v>
      </c>
      <c r="BI226" s="5" t="str">
        <f>Lineup!$G$2</f>
        <v>20210817</v>
      </c>
      <c r="BJ226" s="4" t="str">
        <f t="shared" si="21"/>
        <v>偏內角偏高</v>
      </c>
      <c r="BK226" s="4" t="str">
        <f t="shared" si="22"/>
        <v>BO</v>
      </c>
      <c r="BL226" s="4" t="str">
        <f>IFERROR(VLOOKUP(E226,Roster!$D$2:$E$27,2,FALSE),"")</f>
        <v/>
      </c>
      <c r="BP226" s="49"/>
      <c r="BQ226" s="49"/>
      <c r="BR226" s="49"/>
      <c r="BS226" s="49"/>
      <c r="BT226" s="49"/>
      <c r="BU226" s="49"/>
      <c r="BY226" s="4">
        <f t="shared" si="18"/>
        <v>186</v>
      </c>
      <c r="BZ226" s="4">
        <f t="shared" si="19"/>
        <v>246</v>
      </c>
      <c r="CD226" s="5" t="str">
        <f>Lineup!$G$1</f>
        <v>一軍例行賽</v>
      </c>
      <c r="CE226" s="4">
        <f>Lineup!$I$1</f>
        <v>148</v>
      </c>
      <c r="CF226" s="5" t="str">
        <f>Lineup!$G$5</f>
        <v>王俊宏</v>
      </c>
      <c r="CG226" s="5" t="str">
        <f>Lineup!$G$4</f>
        <v>桃園</v>
      </c>
    </row>
    <row r="227" spans="1:85" x14ac:dyDescent="0.3">
      <c r="A227" s="43"/>
      <c r="AX227" s="4" t="str">
        <f>IFERROR(VLOOKUP(M227,Roster!$L$2:$M$27,2,FALSE),"")</f>
        <v/>
      </c>
      <c r="AY227" s="4" t="str">
        <f t="shared" si="20"/>
        <v>好壞</v>
      </c>
      <c r="BI227" s="5" t="str">
        <f>Lineup!$G$2</f>
        <v>20210817</v>
      </c>
      <c r="BJ227" s="4" t="str">
        <f t="shared" si="21"/>
        <v>偏內角偏高</v>
      </c>
      <c r="BK227" s="4" t="str">
        <f t="shared" si="22"/>
        <v>BO</v>
      </c>
      <c r="BL227" s="4" t="str">
        <f>IFERROR(VLOOKUP(E227,Roster!$D$2:$E$27,2,FALSE),"")</f>
        <v/>
      </c>
      <c r="BP227" s="49"/>
      <c r="BQ227" s="49"/>
      <c r="BR227" s="49"/>
      <c r="BS227" s="49"/>
      <c r="BT227" s="49"/>
      <c r="BU227" s="49"/>
      <c r="BY227" s="4">
        <f t="shared" si="18"/>
        <v>186</v>
      </c>
      <c r="BZ227" s="4">
        <f t="shared" si="19"/>
        <v>246</v>
      </c>
      <c r="CD227" s="5" t="str">
        <f>Lineup!$G$1</f>
        <v>一軍例行賽</v>
      </c>
      <c r="CE227" s="4">
        <f>Lineup!$I$1</f>
        <v>148</v>
      </c>
      <c r="CF227" s="5" t="str">
        <f>Lineup!$G$5</f>
        <v>王俊宏</v>
      </c>
      <c r="CG227" s="5" t="str">
        <f>Lineup!$G$4</f>
        <v>桃園</v>
      </c>
    </row>
    <row r="228" spans="1:85" x14ac:dyDescent="0.3">
      <c r="A228" s="43"/>
      <c r="AX228" s="4" t="str">
        <f>IFERROR(VLOOKUP(M228,Roster!$L$2:$M$27,2,FALSE),"")</f>
        <v/>
      </c>
      <c r="AY228" s="4" t="str">
        <f t="shared" si="20"/>
        <v>好壞</v>
      </c>
      <c r="BI228" s="5" t="str">
        <f>Lineup!$G$2</f>
        <v>20210817</v>
      </c>
      <c r="BJ228" s="4" t="str">
        <f t="shared" si="21"/>
        <v>偏內角偏高</v>
      </c>
      <c r="BK228" s="4" t="str">
        <f t="shared" si="22"/>
        <v>BO</v>
      </c>
      <c r="BL228" s="4" t="str">
        <f>IFERROR(VLOOKUP(E228,Roster!$D$2:$E$27,2,FALSE),"")</f>
        <v/>
      </c>
      <c r="BP228" s="49"/>
      <c r="BQ228" s="49"/>
      <c r="BR228" s="49"/>
      <c r="BS228" s="49"/>
      <c r="BT228" s="49"/>
      <c r="BU228" s="49"/>
      <c r="BY228" s="4">
        <f t="shared" si="18"/>
        <v>186</v>
      </c>
      <c r="BZ228" s="4">
        <f t="shared" si="19"/>
        <v>246</v>
      </c>
      <c r="CD228" s="5" t="str">
        <f>Lineup!$G$1</f>
        <v>一軍例行賽</v>
      </c>
      <c r="CE228" s="4">
        <f>Lineup!$I$1</f>
        <v>148</v>
      </c>
      <c r="CF228" s="5" t="str">
        <f>Lineup!$G$5</f>
        <v>王俊宏</v>
      </c>
      <c r="CG228" s="5" t="str">
        <f>Lineup!$G$4</f>
        <v>桃園</v>
      </c>
    </row>
    <row r="229" spans="1:85" x14ac:dyDescent="0.3">
      <c r="A229" s="43"/>
      <c r="AX229" s="4" t="str">
        <f>IFERROR(VLOOKUP(M229,Roster!$L$2:$M$27,2,FALSE),"")</f>
        <v/>
      </c>
      <c r="AY229" s="4" t="str">
        <f t="shared" si="20"/>
        <v>好壞</v>
      </c>
      <c r="BI229" s="5" t="str">
        <f>Lineup!$G$2</f>
        <v>20210817</v>
      </c>
      <c r="BJ229" s="4" t="str">
        <f t="shared" si="21"/>
        <v>偏內角偏高</v>
      </c>
      <c r="BK229" s="4" t="str">
        <f t="shared" si="22"/>
        <v>BO</v>
      </c>
      <c r="BL229" s="4" t="str">
        <f>IFERROR(VLOOKUP(E229,Roster!$D$2:$E$27,2,FALSE),"")</f>
        <v/>
      </c>
      <c r="BP229" s="49"/>
      <c r="BQ229" s="49"/>
      <c r="BR229" s="49"/>
      <c r="BS229" s="49"/>
      <c r="BT229" s="49"/>
      <c r="BU229" s="49"/>
      <c r="BY229" s="4">
        <f t="shared" si="18"/>
        <v>186</v>
      </c>
      <c r="BZ229" s="4">
        <f t="shared" si="19"/>
        <v>246</v>
      </c>
      <c r="CD229" s="5" t="str">
        <f>Lineup!$G$1</f>
        <v>一軍例行賽</v>
      </c>
      <c r="CE229" s="4">
        <f>Lineup!$I$1</f>
        <v>148</v>
      </c>
      <c r="CF229" s="5" t="str">
        <f>Lineup!$G$5</f>
        <v>王俊宏</v>
      </c>
      <c r="CG229" s="5" t="str">
        <f>Lineup!$G$4</f>
        <v>桃園</v>
      </c>
    </row>
    <row r="230" spans="1:85" x14ac:dyDescent="0.3">
      <c r="A230" s="43"/>
      <c r="AX230" s="4" t="str">
        <f>IFERROR(VLOOKUP(M230,Roster!$L$2:$M$27,2,FALSE),"")</f>
        <v/>
      </c>
      <c r="AY230" s="4" t="str">
        <f t="shared" si="20"/>
        <v>好壞</v>
      </c>
      <c r="BI230" s="5" t="str">
        <f>Lineup!$G$2</f>
        <v>20210817</v>
      </c>
      <c r="BJ230" s="4" t="str">
        <f t="shared" si="21"/>
        <v>偏內角偏高</v>
      </c>
      <c r="BK230" s="4" t="str">
        <f t="shared" si="22"/>
        <v>BO</v>
      </c>
      <c r="BL230" s="4" t="str">
        <f>IFERROR(VLOOKUP(E230,Roster!$D$2:$E$27,2,FALSE),"")</f>
        <v/>
      </c>
      <c r="BP230" s="49"/>
      <c r="BQ230" s="49"/>
      <c r="BR230" s="49"/>
      <c r="BS230" s="49"/>
      <c r="BT230" s="49"/>
      <c r="BU230" s="49"/>
      <c r="BY230" s="4">
        <f t="shared" si="18"/>
        <v>186</v>
      </c>
      <c r="BZ230" s="4">
        <f t="shared" si="19"/>
        <v>246</v>
      </c>
      <c r="CD230" s="5" t="str">
        <f>Lineup!$G$1</f>
        <v>一軍例行賽</v>
      </c>
      <c r="CE230" s="4">
        <f>Lineup!$I$1</f>
        <v>148</v>
      </c>
      <c r="CF230" s="5" t="str">
        <f>Lineup!$G$5</f>
        <v>王俊宏</v>
      </c>
      <c r="CG230" s="5" t="str">
        <f>Lineup!$G$4</f>
        <v>桃園</v>
      </c>
    </row>
    <row r="231" spans="1:85" x14ac:dyDescent="0.3">
      <c r="A231" s="43"/>
      <c r="AX231" s="4" t="str">
        <f>IFERROR(VLOOKUP(M231,Roster!$L$2:$M$27,2,FALSE),"")</f>
        <v/>
      </c>
      <c r="AY231" s="4" t="str">
        <f t="shared" si="20"/>
        <v>好壞</v>
      </c>
      <c r="BI231" s="5" t="str">
        <f>Lineup!$G$2</f>
        <v>20210817</v>
      </c>
      <c r="BJ231" s="4" t="str">
        <f t="shared" si="21"/>
        <v>偏內角偏高</v>
      </c>
      <c r="BK231" s="4" t="str">
        <f t="shared" si="22"/>
        <v>BO</v>
      </c>
      <c r="BL231" s="4" t="str">
        <f>IFERROR(VLOOKUP(E231,Roster!$D$2:$E$27,2,FALSE),"")</f>
        <v/>
      </c>
      <c r="BP231" s="49"/>
      <c r="BQ231" s="49"/>
      <c r="BR231" s="49"/>
      <c r="BS231" s="49"/>
      <c r="BT231" s="49"/>
      <c r="BU231" s="49"/>
      <c r="BY231" s="4">
        <f t="shared" si="18"/>
        <v>186</v>
      </c>
      <c r="BZ231" s="4">
        <f t="shared" si="19"/>
        <v>246</v>
      </c>
      <c r="CD231" s="5" t="str">
        <f>Lineup!$G$1</f>
        <v>一軍例行賽</v>
      </c>
      <c r="CE231" s="4">
        <f>Lineup!$I$1</f>
        <v>148</v>
      </c>
      <c r="CF231" s="5" t="str">
        <f>Lineup!$G$5</f>
        <v>王俊宏</v>
      </c>
      <c r="CG231" s="5" t="str">
        <f>Lineup!$G$4</f>
        <v>桃園</v>
      </c>
    </row>
    <row r="232" spans="1:85" x14ac:dyDescent="0.3">
      <c r="A232" s="43"/>
      <c r="AX232" s="4" t="str">
        <f>IFERROR(VLOOKUP(M232,Roster!$L$2:$M$27,2,FALSE),"")</f>
        <v/>
      </c>
      <c r="AY232" s="4" t="str">
        <f t="shared" si="20"/>
        <v>好壞</v>
      </c>
      <c r="BI232" s="5" t="str">
        <f>Lineup!$G$2</f>
        <v>20210817</v>
      </c>
      <c r="BJ232" s="4" t="str">
        <f t="shared" si="21"/>
        <v>偏內角偏高</v>
      </c>
      <c r="BK232" s="4" t="str">
        <f t="shared" si="22"/>
        <v>BO</v>
      </c>
      <c r="BL232" s="4" t="str">
        <f>IFERROR(VLOOKUP(E232,Roster!$D$2:$E$27,2,FALSE),"")</f>
        <v/>
      </c>
      <c r="BP232" s="49"/>
      <c r="BQ232" s="49"/>
      <c r="BR232" s="49"/>
      <c r="BS232" s="49"/>
      <c r="BT232" s="49"/>
      <c r="BU232" s="49"/>
      <c r="BY232" s="4">
        <f t="shared" si="18"/>
        <v>186</v>
      </c>
      <c r="BZ232" s="4">
        <f t="shared" si="19"/>
        <v>246</v>
      </c>
      <c r="CD232" s="5" t="str">
        <f>Lineup!$G$1</f>
        <v>一軍例行賽</v>
      </c>
      <c r="CE232" s="4">
        <f>Lineup!$I$1</f>
        <v>148</v>
      </c>
      <c r="CF232" s="5" t="str">
        <f>Lineup!$G$5</f>
        <v>王俊宏</v>
      </c>
      <c r="CG232" s="5" t="str">
        <f>Lineup!$G$4</f>
        <v>桃園</v>
      </c>
    </row>
    <row r="233" spans="1:85" x14ac:dyDescent="0.3">
      <c r="A233" s="43"/>
      <c r="AX233" s="4" t="str">
        <f>IFERROR(VLOOKUP(M233,Roster!$L$2:$M$27,2,FALSE),"")</f>
        <v/>
      </c>
      <c r="AY233" s="4" t="str">
        <f t="shared" si="20"/>
        <v>好壞</v>
      </c>
      <c r="BI233" s="5" t="str">
        <f>Lineup!$G$2</f>
        <v>20210817</v>
      </c>
      <c r="BJ233" s="4" t="str">
        <f t="shared" si="21"/>
        <v>偏內角偏高</v>
      </c>
      <c r="BK233" s="4" t="str">
        <f t="shared" si="22"/>
        <v>BO</v>
      </c>
      <c r="BL233" s="4" t="str">
        <f>IFERROR(VLOOKUP(E233,Roster!$D$2:$E$27,2,FALSE),"")</f>
        <v/>
      </c>
      <c r="BP233" s="49"/>
      <c r="BQ233" s="49"/>
      <c r="BR233" s="49"/>
      <c r="BS233" s="49"/>
      <c r="BT233" s="49"/>
      <c r="BU233" s="49"/>
      <c r="BY233" s="4">
        <f t="shared" si="18"/>
        <v>186</v>
      </c>
      <c r="BZ233" s="4">
        <f t="shared" si="19"/>
        <v>246</v>
      </c>
      <c r="CD233" s="5" t="str">
        <f>Lineup!$G$1</f>
        <v>一軍例行賽</v>
      </c>
      <c r="CE233" s="4">
        <f>Lineup!$I$1</f>
        <v>148</v>
      </c>
      <c r="CF233" s="5" t="str">
        <f>Lineup!$G$5</f>
        <v>王俊宏</v>
      </c>
      <c r="CG233" s="5" t="str">
        <f>Lineup!$G$4</f>
        <v>桃園</v>
      </c>
    </row>
    <row r="234" spans="1:85" x14ac:dyDescent="0.3">
      <c r="A234" s="43"/>
      <c r="AX234" s="4" t="str">
        <f>IFERROR(VLOOKUP(M234,Roster!$L$2:$M$27,2,FALSE),"")</f>
        <v/>
      </c>
      <c r="AY234" s="4" t="str">
        <f t="shared" si="20"/>
        <v>好壞</v>
      </c>
      <c r="BI234" s="5" t="str">
        <f>Lineup!$G$2</f>
        <v>20210817</v>
      </c>
      <c r="BJ234" s="4" t="str">
        <f t="shared" si="21"/>
        <v>偏內角偏高</v>
      </c>
      <c r="BK234" s="4" t="str">
        <f t="shared" si="22"/>
        <v>BO</v>
      </c>
      <c r="BL234" s="4" t="str">
        <f>IFERROR(VLOOKUP(E234,Roster!$D$2:$E$27,2,FALSE),"")</f>
        <v/>
      </c>
      <c r="BP234" s="49"/>
      <c r="BQ234" s="49"/>
      <c r="BR234" s="49"/>
      <c r="BS234" s="49"/>
      <c r="BT234" s="49"/>
      <c r="BU234" s="49"/>
      <c r="BY234" s="4">
        <f t="shared" si="18"/>
        <v>186</v>
      </c>
      <c r="BZ234" s="4">
        <f t="shared" si="19"/>
        <v>246</v>
      </c>
      <c r="CD234" s="5" t="str">
        <f>Lineup!$G$1</f>
        <v>一軍例行賽</v>
      </c>
      <c r="CE234" s="4">
        <f>Lineup!$I$1</f>
        <v>148</v>
      </c>
      <c r="CF234" s="5" t="str">
        <f>Lineup!$G$5</f>
        <v>王俊宏</v>
      </c>
      <c r="CG234" s="5" t="str">
        <f>Lineup!$G$4</f>
        <v>桃園</v>
      </c>
    </row>
    <row r="235" spans="1:85" x14ac:dyDescent="0.3">
      <c r="A235" s="43"/>
      <c r="AX235" s="4" t="str">
        <f>IFERROR(VLOOKUP(M235,Roster!$L$2:$M$27,2,FALSE),"")</f>
        <v/>
      </c>
      <c r="AY235" s="4" t="str">
        <f t="shared" si="20"/>
        <v>好壞</v>
      </c>
      <c r="BI235" s="5" t="str">
        <f>Lineup!$G$2</f>
        <v>20210817</v>
      </c>
      <c r="BJ235" s="4" t="str">
        <f t="shared" si="21"/>
        <v>偏內角偏高</v>
      </c>
      <c r="BK235" s="4" t="str">
        <f t="shared" si="22"/>
        <v>BO</v>
      </c>
      <c r="BL235" s="4" t="str">
        <f>IFERROR(VLOOKUP(E235,Roster!$D$2:$E$27,2,FALSE),"")</f>
        <v/>
      </c>
      <c r="BP235" s="49"/>
      <c r="BQ235" s="49"/>
      <c r="BR235" s="49"/>
      <c r="BS235" s="49"/>
      <c r="BT235" s="49"/>
      <c r="BU235" s="49"/>
      <c r="BY235" s="4">
        <f t="shared" si="18"/>
        <v>186</v>
      </c>
      <c r="BZ235" s="4">
        <f t="shared" si="19"/>
        <v>246</v>
      </c>
      <c r="CD235" s="5" t="str">
        <f>Lineup!$G$1</f>
        <v>一軍例行賽</v>
      </c>
      <c r="CE235" s="4">
        <f>Lineup!$I$1</f>
        <v>148</v>
      </c>
      <c r="CF235" s="5" t="str">
        <f>Lineup!$G$5</f>
        <v>王俊宏</v>
      </c>
      <c r="CG235" s="5" t="str">
        <f>Lineup!$G$4</f>
        <v>桃園</v>
      </c>
    </row>
    <row r="236" spans="1:85" x14ac:dyDescent="0.3">
      <c r="A236" s="43"/>
      <c r="AX236" s="4" t="str">
        <f>IFERROR(VLOOKUP(M236,Roster!$L$2:$M$27,2,FALSE),"")</f>
        <v/>
      </c>
      <c r="AY236" s="4" t="str">
        <f t="shared" si="20"/>
        <v>好壞</v>
      </c>
      <c r="BI236" s="5" t="str">
        <f>Lineup!$G$2</f>
        <v>20210817</v>
      </c>
      <c r="BJ236" s="4" t="str">
        <f t="shared" si="21"/>
        <v>偏內角偏高</v>
      </c>
      <c r="BK236" s="4" t="str">
        <f t="shared" si="22"/>
        <v>BO</v>
      </c>
      <c r="BL236" s="4" t="str">
        <f>IFERROR(VLOOKUP(E236,Roster!$D$2:$E$27,2,FALSE),"")</f>
        <v/>
      </c>
      <c r="BP236" s="49"/>
      <c r="BQ236" s="49"/>
      <c r="BR236" s="49"/>
      <c r="BS236" s="49"/>
      <c r="BT236" s="49"/>
      <c r="BU236" s="49"/>
      <c r="BY236" s="4">
        <f t="shared" si="18"/>
        <v>186</v>
      </c>
      <c r="BZ236" s="4">
        <f t="shared" si="19"/>
        <v>246</v>
      </c>
      <c r="CD236" s="5" t="str">
        <f>Lineup!$G$1</f>
        <v>一軍例行賽</v>
      </c>
      <c r="CE236" s="4">
        <f>Lineup!$I$1</f>
        <v>148</v>
      </c>
      <c r="CF236" s="5" t="str">
        <f>Lineup!$G$5</f>
        <v>王俊宏</v>
      </c>
      <c r="CG236" s="5" t="str">
        <f>Lineup!$G$4</f>
        <v>桃園</v>
      </c>
    </row>
    <row r="237" spans="1:85" x14ac:dyDescent="0.3">
      <c r="A237" s="43"/>
      <c r="BY237" s="4">
        <f t="shared" si="18"/>
        <v>186</v>
      </c>
      <c r="BZ237" s="4">
        <f t="shared" si="19"/>
        <v>246</v>
      </c>
      <c r="CD237" s="5" t="str">
        <f>Lineup!$G$1</f>
        <v>一軍例行賽</v>
      </c>
      <c r="CE237" s="4">
        <f>Lineup!$I$1</f>
        <v>148</v>
      </c>
      <c r="CF237" s="5" t="str">
        <f>Lineup!$G$5</f>
        <v>王俊宏</v>
      </c>
      <c r="CG237" s="5" t="str">
        <f>Lineup!$G$4</f>
        <v>桃園</v>
      </c>
    </row>
    <row r="238" spans="1:85" x14ac:dyDescent="0.3">
      <c r="A238" s="43"/>
      <c r="BY238" s="4">
        <f t="shared" si="18"/>
        <v>186</v>
      </c>
      <c r="BZ238" s="4">
        <f t="shared" si="19"/>
        <v>246</v>
      </c>
      <c r="CD238" s="5" t="str">
        <f>Lineup!$G$1</f>
        <v>一軍例行賽</v>
      </c>
      <c r="CE238" s="4">
        <f>Lineup!$I$1</f>
        <v>148</v>
      </c>
      <c r="CF238" s="5" t="str">
        <f>Lineup!$G$5</f>
        <v>王俊宏</v>
      </c>
      <c r="CG238" s="5" t="str">
        <f>Lineup!$G$4</f>
        <v>桃園</v>
      </c>
    </row>
    <row r="239" spans="1:85" x14ac:dyDescent="0.3">
      <c r="A239" s="43"/>
      <c r="BY239" s="4">
        <f t="shared" si="18"/>
        <v>186</v>
      </c>
      <c r="BZ239" s="4">
        <f t="shared" si="19"/>
        <v>246</v>
      </c>
      <c r="CD239" s="5" t="str">
        <f>Lineup!$G$1</f>
        <v>一軍例行賽</v>
      </c>
      <c r="CE239" s="4">
        <f>Lineup!$I$1</f>
        <v>148</v>
      </c>
      <c r="CF239" s="5" t="str">
        <f>Lineup!$G$5</f>
        <v>王俊宏</v>
      </c>
      <c r="CG239" s="5" t="str">
        <f>Lineup!$G$4</f>
        <v>桃園</v>
      </c>
    </row>
    <row r="240" spans="1:85" x14ac:dyDescent="0.3">
      <c r="A240" s="43"/>
      <c r="BY240" s="4">
        <f t="shared" si="18"/>
        <v>186</v>
      </c>
      <c r="BZ240" s="4">
        <f t="shared" si="19"/>
        <v>246</v>
      </c>
      <c r="CD240" s="5" t="str">
        <f>Lineup!$G$1</f>
        <v>一軍例行賽</v>
      </c>
      <c r="CE240" s="4">
        <f>Lineup!$I$1</f>
        <v>148</v>
      </c>
      <c r="CF240" s="5" t="str">
        <f>Lineup!$G$5</f>
        <v>王俊宏</v>
      </c>
      <c r="CG240" s="5" t="str">
        <f>Lineup!$G$4</f>
        <v>桃園</v>
      </c>
    </row>
    <row r="241" spans="1:85" x14ac:dyDescent="0.3">
      <c r="A241" s="43"/>
      <c r="BY241" s="4">
        <f t="shared" si="18"/>
        <v>186</v>
      </c>
      <c r="BZ241" s="4">
        <f t="shared" si="19"/>
        <v>246</v>
      </c>
      <c r="CD241" s="5" t="str">
        <f>Lineup!$G$1</f>
        <v>一軍例行賽</v>
      </c>
      <c r="CE241" s="4">
        <f>Lineup!$I$1</f>
        <v>148</v>
      </c>
      <c r="CF241" s="5" t="str">
        <f>Lineup!$G$5</f>
        <v>王俊宏</v>
      </c>
      <c r="CG241" s="5" t="str">
        <f>Lineup!$G$4</f>
        <v>桃園</v>
      </c>
    </row>
    <row r="242" spans="1:85" x14ac:dyDescent="0.3">
      <c r="A242" s="43"/>
      <c r="BY242" s="4">
        <f t="shared" si="18"/>
        <v>186</v>
      </c>
      <c r="BZ242" s="4">
        <f t="shared" si="19"/>
        <v>246</v>
      </c>
      <c r="CD242" s="5" t="str">
        <f>Lineup!$G$1</f>
        <v>一軍例行賽</v>
      </c>
      <c r="CE242" s="4">
        <f>Lineup!$I$1</f>
        <v>148</v>
      </c>
      <c r="CF242" s="5" t="str">
        <f>Lineup!$G$5</f>
        <v>王俊宏</v>
      </c>
      <c r="CG242" s="5" t="str">
        <f>Lineup!$G$4</f>
        <v>桃園</v>
      </c>
    </row>
    <row r="243" spans="1:85" x14ac:dyDescent="0.3">
      <c r="A243" s="43"/>
      <c r="BY243" s="4">
        <f t="shared" si="18"/>
        <v>186</v>
      </c>
      <c r="BZ243" s="4">
        <f t="shared" si="19"/>
        <v>246</v>
      </c>
      <c r="CD243" s="5" t="str">
        <f>Lineup!$G$1</f>
        <v>一軍例行賽</v>
      </c>
      <c r="CE243" s="4">
        <f>Lineup!$I$1</f>
        <v>148</v>
      </c>
      <c r="CF243" s="5" t="str">
        <f>Lineup!$G$5</f>
        <v>王俊宏</v>
      </c>
      <c r="CG243" s="5" t="str">
        <f>Lineup!$G$4</f>
        <v>桃園</v>
      </c>
    </row>
    <row r="244" spans="1:85" x14ac:dyDescent="0.3">
      <c r="A244" s="43"/>
      <c r="BY244" s="4">
        <f t="shared" ref="BY244:BY286" si="23">186-P244</f>
        <v>186</v>
      </c>
      <c r="BZ244" s="4">
        <f t="shared" ref="BZ244:BZ286" si="24">246-T244</f>
        <v>246</v>
      </c>
      <c r="CD244" s="5" t="str">
        <f>Lineup!$G$1</f>
        <v>一軍例行賽</v>
      </c>
      <c r="CE244" s="4">
        <f>Lineup!$I$1</f>
        <v>148</v>
      </c>
      <c r="CF244" s="5" t="str">
        <f>Lineup!$G$5</f>
        <v>王俊宏</v>
      </c>
      <c r="CG244" s="5" t="str">
        <f>Lineup!$G$4</f>
        <v>桃園</v>
      </c>
    </row>
    <row r="245" spans="1:85" x14ac:dyDescent="0.3">
      <c r="A245" s="43"/>
      <c r="BY245" s="4">
        <f t="shared" si="23"/>
        <v>186</v>
      </c>
      <c r="BZ245" s="4">
        <f t="shared" si="24"/>
        <v>246</v>
      </c>
      <c r="CD245" s="5" t="str">
        <f>Lineup!$G$1</f>
        <v>一軍例行賽</v>
      </c>
      <c r="CE245" s="4">
        <f>Lineup!$I$1</f>
        <v>148</v>
      </c>
      <c r="CF245" s="5" t="str">
        <f>Lineup!$G$5</f>
        <v>王俊宏</v>
      </c>
      <c r="CG245" s="5" t="str">
        <f>Lineup!$G$4</f>
        <v>桃園</v>
      </c>
    </row>
    <row r="246" spans="1:85" x14ac:dyDescent="0.3">
      <c r="A246" s="43"/>
      <c r="BY246" s="4">
        <f t="shared" si="23"/>
        <v>186</v>
      </c>
      <c r="BZ246" s="4">
        <f t="shared" si="24"/>
        <v>246</v>
      </c>
      <c r="CD246" s="5" t="str">
        <f>Lineup!$G$1</f>
        <v>一軍例行賽</v>
      </c>
      <c r="CE246" s="4">
        <f>Lineup!$I$1</f>
        <v>148</v>
      </c>
      <c r="CF246" s="5" t="str">
        <f>Lineup!$G$5</f>
        <v>王俊宏</v>
      </c>
      <c r="CG246" s="5" t="str">
        <f>Lineup!$G$4</f>
        <v>桃園</v>
      </c>
    </row>
    <row r="247" spans="1:85" x14ac:dyDescent="0.3">
      <c r="A247" s="43"/>
      <c r="BY247" s="4">
        <f t="shared" si="23"/>
        <v>186</v>
      </c>
      <c r="BZ247" s="4">
        <f t="shared" si="24"/>
        <v>246</v>
      </c>
      <c r="CD247" s="5" t="str">
        <f>Lineup!$G$1</f>
        <v>一軍例行賽</v>
      </c>
      <c r="CE247" s="4">
        <f>Lineup!$I$1</f>
        <v>148</v>
      </c>
      <c r="CF247" s="5" t="str">
        <f>Lineup!$G$5</f>
        <v>王俊宏</v>
      </c>
      <c r="CG247" s="5" t="str">
        <f>Lineup!$G$4</f>
        <v>桃園</v>
      </c>
    </row>
    <row r="248" spans="1:85" x14ac:dyDescent="0.3">
      <c r="A248" s="43"/>
      <c r="BY248" s="4">
        <f t="shared" si="23"/>
        <v>186</v>
      </c>
      <c r="BZ248" s="4">
        <f t="shared" si="24"/>
        <v>246</v>
      </c>
      <c r="CD248" s="5" t="str">
        <f>Lineup!$G$1</f>
        <v>一軍例行賽</v>
      </c>
      <c r="CE248" s="4">
        <f>Lineup!$I$1</f>
        <v>148</v>
      </c>
      <c r="CF248" s="5" t="str">
        <f>Lineup!$G$5</f>
        <v>王俊宏</v>
      </c>
      <c r="CG248" s="5" t="str">
        <f>Lineup!$G$4</f>
        <v>桃園</v>
      </c>
    </row>
    <row r="249" spans="1:85" x14ac:dyDescent="0.3">
      <c r="A249" s="43"/>
      <c r="BY249" s="4">
        <f t="shared" si="23"/>
        <v>186</v>
      </c>
      <c r="BZ249" s="4">
        <f t="shared" si="24"/>
        <v>246</v>
      </c>
      <c r="CD249" s="5" t="str">
        <f>Lineup!$G$1</f>
        <v>一軍例行賽</v>
      </c>
      <c r="CE249" s="4">
        <f>Lineup!$I$1</f>
        <v>148</v>
      </c>
      <c r="CF249" s="5" t="str">
        <f>Lineup!$G$5</f>
        <v>王俊宏</v>
      </c>
      <c r="CG249" s="5" t="str">
        <f>Lineup!$G$4</f>
        <v>桃園</v>
      </c>
    </row>
    <row r="250" spans="1:85" x14ac:dyDescent="0.3">
      <c r="A250" s="43"/>
      <c r="BY250" s="4">
        <f t="shared" si="23"/>
        <v>186</v>
      </c>
      <c r="BZ250" s="4">
        <f t="shared" si="24"/>
        <v>246</v>
      </c>
      <c r="CD250" s="5" t="str">
        <f>Lineup!$G$1</f>
        <v>一軍例行賽</v>
      </c>
      <c r="CE250" s="4">
        <f>Lineup!$I$1</f>
        <v>148</v>
      </c>
      <c r="CF250" s="5" t="str">
        <f>Lineup!$G$5</f>
        <v>王俊宏</v>
      </c>
      <c r="CG250" s="5" t="str">
        <f>Lineup!$G$4</f>
        <v>桃園</v>
      </c>
    </row>
    <row r="251" spans="1:85" x14ac:dyDescent="0.3">
      <c r="A251" s="43"/>
      <c r="BY251" s="4">
        <f t="shared" si="23"/>
        <v>186</v>
      </c>
      <c r="BZ251" s="4">
        <f t="shared" si="24"/>
        <v>246</v>
      </c>
      <c r="CD251" s="5" t="str">
        <f>Lineup!$G$1</f>
        <v>一軍例行賽</v>
      </c>
      <c r="CE251" s="4">
        <f>Lineup!$I$1</f>
        <v>148</v>
      </c>
      <c r="CF251" s="5" t="str">
        <f>Lineup!$G$5</f>
        <v>王俊宏</v>
      </c>
      <c r="CG251" s="5" t="str">
        <f>Lineup!$G$4</f>
        <v>桃園</v>
      </c>
    </row>
    <row r="252" spans="1:85" x14ac:dyDescent="0.3">
      <c r="A252" s="43"/>
      <c r="BY252" s="4">
        <f t="shared" si="23"/>
        <v>186</v>
      </c>
      <c r="BZ252" s="4">
        <f t="shared" si="24"/>
        <v>246</v>
      </c>
      <c r="CD252" s="5" t="str">
        <f>Lineup!$G$1</f>
        <v>一軍例行賽</v>
      </c>
      <c r="CE252" s="4">
        <f>Lineup!$I$1</f>
        <v>148</v>
      </c>
      <c r="CF252" s="5" t="str">
        <f>Lineup!$G$5</f>
        <v>王俊宏</v>
      </c>
      <c r="CG252" s="5" t="str">
        <f>Lineup!$G$4</f>
        <v>桃園</v>
      </c>
    </row>
    <row r="253" spans="1:85" x14ac:dyDescent="0.3">
      <c r="A253" s="43"/>
      <c r="BY253" s="4">
        <f t="shared" si="23"/>
        <v>186</v>
      </c>
      <c r="BZ253" s="4">
        <f t="shared" si="24"/>
        <v>246</v>
      </c>
      <c r="CD253" s="5" t="str">
        <f>Lineup!$G$1</f>
        <v>一軍例行賽</v>
      </c>
      <c r="CE253" s="4">
        <f>Lineup!$I$1</f>
        <v>148</v>
      </c>
      <c r="CF253" s="5" t="str">
        <f>Lineup!$G$5</f>
        <v>王俊宏</v>
      </c>
      <c r="CG253" s="5" t="str">
        <f>Lineup!$G$4</f>
        <v>桃園</v>
      </c>
    </row>
    <row r="254" spans="1:85" x14ac:dyDescent="0.3">
      <c r="A254" s="43"/>
      <c r="BY254" s="4">
        <f t="shared" si="23"/>
        <v>186</v>
      </c>
      <c r="BZ254" s="4">
        <f t="shared" si="24"/>
        <v>246</v>
      </c>
      <c r="CD254" s="5" t="str">
        <f>Lineup!$G$1</f>
        <v>一軍例行賽</v>
      </c>
      <c r="CE254" s="4">
        <f>Lineup!$I$1</f>
        <v>148</v>
      </c>
      <c r="CF254" s="5" t="str">
        <f>Lineup!$G$5</f>
        <v>王俊宏</v>
      </c>
      <c r="CG254" s="5" t="str">
        <f>Lineup!$G$4</f>
        <v>桃園</v>
      </c>
    </row>
    <row r="255" spans="1:85" x14ac:dyDescent="0.3">
      <c r="A255" s="43"/>
      <c r="BY255" s="4">
        <f t="shared" si="23"/>
        <v>186</v>
      </c>
      <c r="BZ255" s="4">
        <f t="shared" si="24"/>
        <v>246</v>
      </c>
      <c r="CD255" s="5" t="str">
        <f>Lineup!$G$1</f>
        <v>一軍例行賽</v>
      </c>
      <c r="CE255" s="4">
        <f>Lineup!$I$1</f>
        <v>148</v>
      </c>
      <c r="CF255" s="5" t="str">
        <f>Lineup!$G$5</f>
        <v>王俊宏</v>
      </c>
      <c r="CG255" s="5" t="str">
        <f>Lineup!$G$4</f>
        <v>桃園</v>
      </c>
    </row>
    <row r="256" spans="1:85" x14ac:dyDescent="0.3">
      <c r="A256" s="43"/>
      <c r="BY256" s="4">
        <f t="shared" si="23"/>
        <v>186</v>
      </c>
      <c r="BZ256" s="4">
        <f t="shared" si="24"/>
        <v>246</v>
      </c>
      <c r="CD256" s="5" t="str">
        <f>Lineup!$G$1</f>
        <v>一軍例行賽</v>
      </c>
      <c r="CE256" s="4">
        <f>Lineup!$I$1</f>
        <v>148</v>
      </c>
      <c r="CF256" s="5" t="str">
        <f>Lineup!$G$5</f>
        <v>王俊宏</v>
      </c>
      <c r="CG256" s="5" t="str">
        <f>Lineup!$G$4</f>
        <v>桃園</v>
      </c>
    </row>
    <row r="257" spans="1:85" x14ac:dyDescent="0.3">
      <c r="A257" s="43"/>
      <c r="BY257" s="4">
        <f t="shared" si="23"/>
        <v>186</v>
      </c>
      <c r="BZ257" s="4">
        <f t="shared" si="24"/>
        <v>246</v>
      </c>
      <c r="CD257" s="5" t="str">
        <f>Lineup!$G$1</f>
        <v>一軍例行賽</v>
      </c>
      <c r="CE257" s="4">
        <f>Lineup!$I$1</f>
        <v>148</v>
      </c>
      <c r="CF257" s="5" t="str">
        <f>Lineup!$G$5</f>
        <v>王俊宏</v>
      </c>
      <c r="CG257" s="5" t="str">
        <f>Lineup!$G$4</f>
        <v>桃園</v>
      </c>
    </row>
    <row r="258" spans="1:85" x14ac:dyDescent="0.3">
      <c r="A258" s="43"/>
      <c r="BY258" s="4">
        <f t="shared" si="23"/>
        <v>186</v>
      </c>
      <c r="BZ258" s="4">
        <f t="shared" si="24"/>
        <v>246</v>
      </c>
      <c r="CD258" s="5" t="str">
        <f>Lineup!$G$1</f>
        <v>一軍例行賽</v>
      </c>
      <c r="CE258" s="4">
        <f>Lineup!$I$1</f>
        <v>148</v>
      </c>
      <c r="CF258" s="5" t="str">
        <f>Lineup!$G$5</f>
        <v>王俊宏</v>
      </c>
      <c r="CG258" s="5" t="str">
        <f>Lineup!$G$4</f>
        <v>桃園</v>
      </c>
    </row>
    <row r="259" spans="1:85" x14ac:dyDescent="0.3">
      <c r="A259" s="43"/>
      <c r="BY259" s="4">
        <f t="shared" si="23"/>
        <v>186</v>
      </c>
      <c r="BZ259" s="4">
        <f t="shared" si="24"/>
        <v>246</v>
      </c>
      <c r="CD259" s="5" t="str">
        <f>Lineup!$G$1</f>
        <v>一軍例行賽</v>
      </c>
      <c r="CE259" s="4">
        <f>Lineup!$I$1</f>
        <v>148</v>
      </c>
      <c r="CF259" s="5" t="str">
        <f>Lineup!$G$5</f>
        <v>王俊宏</v>
      </c>
      <c r="CG259" s="5" t="str">
        <f>Lineup!$G$4</f>
        <v>桃園</v>
      </c>
    </row>
    <row r="260" spans="1:85" x14ac:dyDescent="0.3">
      <c r="A260" s="43"/>
      <c r="BY260" s="4">
        <f t="shared" si="23"/>
        <v>186</v>
      </c>
      <c r="BZ260" s="4">
        <f t="shared" si="24"/>
        <v>246</v>
      </c>
      <c r="CD260" s="5" t="str">
        <f>Lineup!$G$1</f>
        <v>一軍例行賽</v>
      </c>
      <c r="CE260" s="4">
        <f>Lineup!$I$1</f>
        <v>148</v>
      </c>
      <c r="CF260" s="5" t="str">
        <f>Lineup!$G$5</f>
        <v>王俊宏</v>
      </c>
      <c r="CG260" s="5" t="str">
        <f>Lineup!$G$4</f>
        <v>桃園</v>
      </c>
    </row>
    <row r="261" spans="1:85" x14ac:dyDescent="0.3">
      <c r="A261" s="43"/>
      <c r="BY261" s="4">
        <f t="shared" si="23"/>
        <v>186</v>
      </c>
      <c r="BZ261" s="4">
        <f t="shared" si="24"/>
        <v>246</v>
      </c>
      <c r="CD261" s="5" t="str">
        <f>Lineup!$G$1</f>
        <v>一軍例行賽</v>
      </c>
      <c r="CE261" s="4">
        <f>Lineup!$I$1</f>
        <v>148</v>
      </c>
      <c r="CF261" s="5" t="str">
        <f>Lineup!$G$5</f>
        <v>王俊宏</v>
      </c>
      <c r="CG261" s="5" t="str">
        <f>Lineup!$G$4</f>
        <v>桃園</v>
      </c>
    </row>
    <row r="262" spans="1:85" x14ac:dyDescent="0.3">
      <c r="A262" s="43"/>
      <c r="BY262" s="4">
        <f t="shared" si="23"/>
        <v>186</v>
      </c>
      <c r="BZ262" s="4">
        <f t="shared" si="24"/>
        <v>246</v>
      </c>
      <c r="CD262" s="5" t="str">
        <f>Lineup!$G$1</f>
        <v>一軍例行賽</v>
      </c>
      <c r="CE262" s="4">
        <f>Lineup!$I$1</f>
        <v>148</v>
      </c>
      <c r="CF262" s="5" t="str">
        <f>Lineup!$G$5</f>
        <v>王俊宏</v>
      </c>
      <c r="CG262" s="5" t="str">
        <f>Lineup!$G$4</f>
        <v>桃園</v>
      </c>
    </row>
    <row r="263" spans="1:85" x14ac:dyDescent="0.3">
      <c r="A263" s="43"/>
      <c r="BY263" s="4">
        <f t="shared" si="23"/>
        <v>186</v>
      </c>
      <c r="BZ263" s="4">
        <f t="shared" si="24"/>
        <v>246</v>
      </c>
      <c r="CD263" s="5" t="str">
        <f>Lineup!$G$1</f>
        <v>一軍例行賽</v>
      </c>
      <c r="CE263" s="4">
        <f>Lineup!$I$1</f>
        <v>148</v>
      </c>
      <c r="CF263" s="5" t="str">
        <f>Lineup!$G$5</f>
        <v>王俊宏</v>
      </c>
      <c r="CG263" s="5" t="str">
        <f>Lineup!$G$4</f>
        <v>桃園</v>
      </c>
    </row>
    <row r="264" spans="1:85" x14ac:dyDescent="0.3">
      <c r="A264" s="43"/>
      <c r="BY264" s="4">
        <f t="shared" si="23"/>
        <v>186</v>
      </c>
      <c r="BZ264" s="4">
        <f t="shared" si="24"/>
        <v>246</v>
      </c>
      <c r="CD264" s="5" t="str">
        <f>Lineup!$G$1</f>
        <v>一軍例行賽</v>
      </c>
      <c r="CE264" s="4">
        <f>Lineup!$I$1</f>
        <v>148</v>
      </c>
      <c r="CF264" s="5" t="str">
        <f>Lineup!$G$5</f>
        <v>王俊宏</v>
      </c>
      <c r="CG264" s="5" t="str">
        <f>Lineup!$G$4</f>
        <v>桃園</v>
      </c>
    </row>
    <row r="265" spans="1:85" x14ac:dyDescent="0.3">
      <c r="A265" s="43"/>
      <c r="BY265" s="4">
        <f t="shared" si="23"/>
        <v>186</v>
      </c>
      <c r="BZ265" s="4">
        <f t="shared" si="24"/>
        <v>246</v>
      </c>
      <c r="CD265" s="5" t="str">
        <f>Lineup!$G$1</f>
        <v>一軍例行賽</v>
      </c>
      <c r="CE265" s="4">
        <f>Lineup!$I$1</f>
        <v>148</v>
      </c>
      <c r="CF265" s="5" t="str">
        <f>Lineup!$G$5</f>
        <v>王俊宏</v>
      </c>
      <c r="CG265" s="5" t="str">
        <f>Lineup!$G$4</f>
        <v>桃園</v>
      </c>
    </row>
    <row r="266" spans="1:85" x14ac:dyDescent="0.3">
      <c r="A266" s="43"/>
      <c r="BY266" s="4">
        <f t="shared" si="23"/>
        <v>186</v>
      </c>
      <c r="BZ266" s="4">
        <f t="shared" si="24"/>
        <v>246</v>
      </c>
      <c r="CD266" s="5" t="str">
        <f>Lineup!$G$1</f>
        <v>一軍例行賽</v>
      </c>
      <c r="CE266" s="4">
        <f>Lineup!$I$1</f>
        <v>148</v>
      </c>
      <c r="CF266" s="5" t="str">
        <f>Lineup!$G$5</f>
        <v>王俊宏</v>
      </c>
      <c r="CG266" s="5" t="str">
        <f>Lineup!$G$4</f>
        <v>桃園</v>
      </c>
    </row>
    <row r="267" spans="1:85" x14ac:dyDescent="0.3">
      <c r="A267" s="43"/>
      <c r="BY267" s="4">
        <f t="shared" si="23"/>
        <v>186</v>
      </c>
      <c r="BZ267" s="4">
        <f t="shared" si="24"/>
        <v>246</v>
      </c>
      <c r="CD267" s="5" t="str">
        <f>Lineup!$G$1</f>
        <v>一軍例行賽</v>
      </c>
      <c r="CE267" s="4">
        <f>Lineup!$I$1</f>
        <v>148</v>
      </c>
      <c r="CF267" s="5" t="str">
        <f>Lineup!$G$5</f>
        <v>王俊宏</v>
      </c>
      <c r="CG267" s="5" t="str">
        <f>Lineup!$G$4</f>
        <v>桃園</v>
      </c>
    </row>
    <row r="268" spans="1:85" x14ac:dyDescent="0.3">
      <c r="A268" s="43"/>
      <c r="BY268" s="4">
        <f t="shared" si="23"/>
        <v>186</v>
      </c>
      <c r="BZ268" s="4">
        <f t="shared" si="24"/>
        <v>246</v>
      </c>
      <c r="CD268" s="5" t="str">
        <f>Lineup!$G$1</f>
        <v>一軍例行賽</v>
      </c>
      <c r="CE268" s="4">
        <f>Lineup!$I$1</f>
        <v>148</v>
      </c>
      <c r="CF268" s="5" t="str">
        <f>Lineup!$G$5</f>
        <v>王俊宏</v>
      </c>
      <c r="CG268" s="5" t="str">
        <f>Lineup!$G$4</f>
        <v>桃園</v>
      </c>
    </row>
    <row r="269" spans="1:85" x14ac:dyDescent="0.3">
      <c r="A269" s="43"/>
      <c r="BY269" s="4">
        <f t="shared" si="23"/>
        <v>186</v>
      </c>
      <c r="BZ269" s="4">
        <f t="shared" si="24"/>
        <v>246</v>
      </c>
      <c r="CD269" s="5" t="str">
        <f>Lineup!$G$1</f>
        <v>一軍例行賽</v>
      </c>
      <c r="CE269" s="4">
        <f>Lineup!$I$1</f>
        <v>148</v>
      </c>
      <c r="CF269" s="5" t="str">
        <f>Lineup!$G$5</f>
        <v>王俊宏</v>
      </c>
      <c r="CG269" s="5" t="str">
        <f>Lineup!$G$4</f>
        <v>桃園</v>
      </c>
    </row>
    <row r="270" spans="1:85" x14ac:dyDescent="0.3">
      <c r="A270" s="43"/>
      <c r="BY270" s="4">
        <f t="shared" si="23"/>
        <v>186</v>
      </c>
      <c r="BZ270" s="4">
        <f t="shared" si="24"/>
        <v>246</v>
      </c>
      <c r="CD270" s="5" t="str">
        <f>Lineup!$G$1</f>
        <v>一軍例行賽</v>
      </c>
      <c r="CE270" s="4">
        <f>Lineup!$I$1</f>
        <v>148</v>
      </c>
      <c r="CF270" s="5" t="str">
        <f>Lineup!$G$5</f>
        <v>王俊宏</v>
      </c>
      <c r="CG270" s="5" t="str">
        <f>Lineup!$G$4</f>
        <v>桃園</v>
      </c>
    </row>
    <row r="271" spans="1:85" x14ac:dyDescent="0.3">
      <c r="A271" s="43"/>
      <c r="BY271" s="4">
        <f t="shared" si="23"/>
        <v>186</v>
      </c>
      <c r="BZ271" s="4">
        <f t="shared" si="24"/>
        <v>246</v>
      </c>
      <c r="CD271" s="5" t="str">
        <f>Lineup!$G$1</f>
        <v>一軍例行賽</v>
      </c>
      <c r="CE271" s="4">
        <f>Lineup!$I$1</f>
        <v>148</v>
      </c>
      <c r="CF271" s="5" t="str">
        <f>Lineup!$G$5</f>
        <v>王俊宏</v>
      </c>
      <c r="CG271" s="5" t="str">
        <f>Lineup!$G$4</f>
        <v>桃園</v>
      </c>
    </row>
    <row r="272" spans="1:85" x14ac:dyDescent="0.3">
      <c r="A272" s="43"/>
      <c r="BY272" s="4">
        <f t="shared" si="23"/>
        <v>186</v>
      </c>
      <c r="BZ272" s="4">
        <f t="shared" si="24"/>
        <v>246</v>
      </c>
      <c r="CD272" s="5" t="str">
        <f>Lineup!$G$1</f>
        <v>一軍例行賽</v>
      </c>
      <c r="CE272" s="4">
        <f>Lineup!$I$1</f>
        <v>148</v>
      </c>
      <c r="CF272" s="5" t="str">
        <f>Lineup!$G$5</f>
        <v>王俊宏</v>
      </c>
      <c r="CG272" s="5" t="str">
        <f>Lineup!$G$4</f>
        <v>桃園</v>
      </c>
    </row>
    <row r="273" spans="1:85" x14ac:dyDescent="0.3">
      <c r="A273" s="43"/>
      <c r="BY273" s="4">
        <f t="shared" si="23"/>
        <v>186</v>
      </c>
      <c r="BZ273" s="4">
        <f t="shared" si="24"/>
        <v>246</v>
      </c>
      <c r="CD273" s="5" t="str">
        <f>Lineup!$G$1</f>
        <v>一軍例行賽</v>
      </c>
      <c r="CE273" s="4">
        <f>Lineup!$I$1</f>
        <v>148</v>
      </c>
      <c r="CF273" s="5" t="str">
        <f>Lineup!$G$5</f>
        <v>王俊宏</v>
      </c>
      <c r="CG273" s="5" t="str">
        <f>Lineup!$G$4</f>
        <v>桃園</v>
      </c>
    </row>
    <row r="274" spans="1:85" x14ac:dyDescent="0.3">
      <c r="A274" s="43"/>
      <c r="BY274" s="4">
        <f t="shared" si="23"/>
        <v>186</v>
      </c>
      <c r="BZ274" s="4">
        <f t="shared" si="24"/>
        <v>246</v>
      </c>
      <c r="CD274" s="5" t="str">
        <f>Lineup!$G$1</f>
        <v>一軍例行賽</v>
      </c>
      <c r="CE274" s="4">
        <f>Lineup!$I$1</f>
        <v>148</v>
      </c>
      <c r="CF274" s="5" t="str">
        <f>Lineup!$G$5</f>
        <v>王俊宏</v>
      </c>
      <c r="CG274" s="5" t="str">
        <f>Lineup!$G$4</f>
        <v>桃園</v>
      </c>
    </row>
    <row r="275" spans="1:85" x14ac:dyDescent="0.3">
      <c r="A275" s="43"/>
      <c r="BY275" s="4">
        <f t="shared" si="23"/>
        <v>186</v>
      </c>
      <c r="BZ275" s="4">
        <f t="shared" si="24"/>
        <v>246</v>
      </c>
      <c r="CD275" s="5" t="str">
        <f>Lineup!$G$1</f>
        <v>一軍例行賽</v>
      </c>
      <c r="CE275" s="4">
        <f>Lineup!$I$1</f>
        <v>148</v>
      </c>
      <c r="CF275" s="5" t="str">
        <f>Lineup!$G$5</f>
        <v>王俊宏</v>
      </c>
      <c r="CG275" s="5" t="str">
        <f>Lineup!$G$4</f>
        <v>桃園</v>
      </c>
    </row>
    <row r="276" spans="1:85" x14ac:dyDescent="0.3">
      <c r="A276" s="43"/>
      <c r="BY276" s="4">
        <f t="shared" si="23"/>
        <v>186</v>
      </c>
      <c r="BZ276" s="4">
        <f t="shared" si="24"/>
        <v>246</v>
      </c>
      <c r="CD276" s="5" t="str">
        <f>Lineup!$G$1</f>
        <v>一軍例行賽</v>
      </c>
      <c r="CE276" s="4">
        <f>Lineup!$I$1</f>
        <v>148</v>
      </c>
      <c r="CF276" s="5" t="str">
        <f>Lineup!$G$5</f>
        <v>王俊宏</v>
      </c>
      <c r="CG276" s="5" t="str">
        <f>Lineup!$G$4</f>
        <v>桃園</v>
      </c>
    </row>
    <row r="277" spans="1:85" x14ac:dyDescent="0.3">
      <c r="A277" s="43"/>
      <c r="BY277" s="4">
        <f t="shared" si="23"/>
        <v>186</v>
      </c>
      <c r="BZ277" s="4">
        <f t="shared" si="24"/>
        <v>246</v>
      </c>
      <c r="CD277" s="5" t="str">
        <f>Lineup!$G$1</f>
        <v>一軍例行賽</v>
      </c>
      <c r="CE277" s="4">
        <f>Lineup!$I$1</f>
        <v>148</v>
      </c>
      <c r="CF277" s="5" t="str">
        <f>Lineup!$G$5</f>
        <v>王俊宏</v>
      </c>
      <c r="CG277" s="5" t="str">
        <f>Lineup!$G$4</f>
        <v>桃園</v>
      </c>
    </row>
    <row r="278" spans="1:85" x14ac:dyDescent="0.3">
      <c r="A278" s="43"/>
      <c r="BY278" s="4">
        <f t="shared" si="23"/>
        <v>186</v>
      </c>
      <c r="BZ278" s="4">
        <f t="shared" si="24"/>
        <v>246</v>
      </c>
      <c r="CD278" s="5" t="str">
        <f>Lineup!$G$1</f>
        <v>一軍例行賽</v>
      </c>
      <c r="CE278" s="4">
        <f>Lineup!$I$1</f>
        <v>148</v>
      </c>
      <c r="CF278" s="5" t="str">
        <f>Lineup!$G$5</f>
        <v>王俊宏</v>
      </c>
      <c r="CG278" s="5" t="str">
        <f>Lineup!$G$4</f>
        <v>桃園</v>
      </c>
    </row>
    <row r="279" spans="1:85" x14ac:dyDescent="0.3">
      <c r="A279" s="43"/>
      <c r="BY279" s="4">
        <f t="shared" si="23"/>
        <v>186</v>
      </c>
      <c r="BZ279" s="4">
        <f t="shared" si="24"/>
        <v>246</v>
      </c>
      <c r="CD279" s="5" t="str">
        <f>Lineup!$G$1</f>
        <v>一軍例行賽</v>
      </c>
      <c r="CE279" s="4">
        <f>Lineup!$I$1</f>
        <v>148</v>
      </c>
      <c r="CF279" s="5" t="str">
        <f>Lineup!$G$5</f>
        <v>王俊宏</v>
      </c>
      <c r="CG279" s="5" t="str">
        <f>Lineup!$G$4</f>
        <v>桃園</v>
      </c>
    </row>
    <row r="280" spans="1:85" x14ac:dyDescent="0.3">
      <c r="A280" s="43"/>
      <c r="BY280" s="4">
        <f t="shared" si="23"/>
        <v>186</v>
      </c>
      <c r="BZ280" s="4">
        <f t="shared" si="24"/>
        <v>246</v>
      </c>
      <c r="CD280" s="5" t="str">
        <f>Lineup!$G$1</f>
        <v>一軍例行賽</v>
      </c>
      <c r="CE280" s="4">
        <f>Lineup!$I$1</f>
        <v>148</v>
      </c>
      <c r="CF280" s="5" t="str">
        <f>Lineup!$G$5</f>
        <v>王俊宏</v>
      </c>
      <c r="CG280" s="5" t="str">
        <f>Lineup!$G$4</f>
        <v>桃園</v>
      </c>
    </row>
    <row r="281" spans="1:85" x14ac:dyDescent="0.3">
      <c r="A281" s="43"/>
      <c r="BY281" s="4">
        <f t="shared" si="23"/>
        <v>186</v>
      </c>
      <c r="BZ281" s="4">
        <f t="shared" si="24"/>
        <v>246</v>
      </c>
      <c r="CD281" s="5" t="str">
        <f>Lineup!$G$1</f>
        <v>一軍例行賽</v>
      </c>
      <c r="CE281" s="4">
        <f>Lineup!$I$1</f>
        <v>148</v>
      </c>
      <c r="CF281" s="5" t="str">
        <f>Lineup!$G$5</f>
        <v>王俊宏</v>
      </c>
      <c r="CG281" s="5" t="str">
        <f>Lineup!$G$4</f>
        <v>桃園</v>
      </c>
    </row>
    <row r="282" spans="1:85" x14ac:dyDescent="0.3">
      <c r="A282" s="43"/>
      <c r="BY282" s="4">
        <f t="shared" si="23"/>
        <v>186</v>
      </c>
      <c r="BZ282" s="4">
        <f t="shared" si="24"/>
        <v>246</v>
      </c>
      <c r="CD282" s="5" t="str">
        <f>Lineup!$G$1</f>
        <v>一軍例行賽</v>
      </c>
      <c r="CE282" s="4">
        <f>Lineup!$I$1</f>
        <v>148</v>
      </c>
      <c r="CF282" s="5" t="str">
        <f>Lineup!$G$5</f>
        <v>王俊宏</v>
      </c>
      <c r="CG282" s="5" t="str">
        <f>Lineup!$G$4</f>
        <v>桃園</v>
      </c>
    </row>
    <row r="283" spans="1:85" x14ac:dyDescent="0.3">
      <c r="A283" s="43"/>
      <c r="BY283" s="4">
        <f t="shared" si="23"/>
        <v>186</v>
      </c>
      <c r="BZ283" s="4">
        <f t="shared" si="24"/>
        <v>246</v>
      </c>
      <c r="CD283" s="5" t="str">
        <f>Lineup!$G$1</f>
        <v>一軍例行賽</v>
      </c>
      <c r="CE283" s="4">
        <f>Lineup!$I$1</f>
        <v>148</v>
      </c>
      <c r="CF283" s="5" t="str">
        <f>Lineup!$G$5</f>
        <v>王俊宏</v>
      </c>
      <c r="CG283" s="5" t="str">
        <f>Lineup!$G$4</f>
        <v>桃園</v>
      </c>
    </row>
    <row r="284" spans="1:85" x14ac:dyDescent="0.3">
      <c r="A284" s="43"/>
      <c r="BY284" s="4">
        <f t="shared" si="23"/>
        <v>186</v>
      </c>
      <c r="BZ284" s="4">
        <f t="shared" si="24"/>
        <v>246</v>
      </c>
      <c r="CD284" s="5" t="str">
        <f>Lineup!$G$1</f>
        <v>一軍例行賽</v>
      </c>
      <c r="CE284" s="4">
        <f>Lineup!$I$1</f>
        <v>148</v>
      </c>
      <c r="CF284" s="5" t="str">
        <f>Lineup!$G$5</f>
        <v>王俊宏</v>
      </c>
      <c r="CG284" s="5" t="str">
        <f>Lineup!$G$4</f>
        <v>桃園</v>
      </c>
    </row>
    <row r="285" spans="1:85" x14ac:dyDescent="0.3">
      <c r="A285" s="43"/>
      <c r="BY285" s="4">
        <f t="shared" si="23"/>
        <v>186</v>
      </c>
      <c r="BZ285" s="4">
        <f t="shared" si="24"/>
        <v>246</v>
      </c>
      <c r="CD285" s="5" t="str">
        <f>Lineup!$G$1</f>
        <v>一軍例行賽</v>
      </c>
      <c r="CE285" s="4">
        <f>Lineup!$I$1</f>
        <v>148</v>
      </c>
      <c r="CF285" s="5" t="str">
        <f>Lineup!$G$5</f>
        <v>王俊宏</v>
      </c>
      <c r="CG285" s="5" t="str">
        <f>Lineup!$G$4</f>
        <v>桃園</v>
      </c>
    </row>
    <row r="286" spans="1:85" x14ac:dyDescent="0.3">
      <c r="A286" s="43"/>
      <c r="BY286" s="4">
        <f t="shared" si="23"/>
        <v>186</v>
      </c>
      <c r="BZ286" s="4">
        <f t="shared" si="24"/>
        <v>246</v>
      </c>
      <c r="CD286" s="5" t="str">
        <f>Lineup!$G$1</f>
        <v>一軍例行賽</v>
      </c>
      <c r="CE286" s="4">
        <f>Lineup!$I$1</f>
        <v>148</v>
      </c>
      <c r="CF286" s="5" t="str">
        <f>Lineup!$G$5</f>
        <v>王俊宏</v>
      </c>
      <c r="CG286" s="5" t="str">
        <f>Lineup!$G$4</f>
        <v>桃園</v>
      </c>
    </row>
    <row r="287" spans="1:85" x14ac:dyDescent="0.3">
      <c r="A287" s="43"/>
    </row>
  </sheetData>
  <sheetProtection selectLockedCells="1"/>
  <autoFilter ref="A1:BH286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/>
  <dimension ref="A1:BG3"/>
  <sheetViews>
    <sheetView workbookViewId="0">
      <selection activeCell="S2" sqref="S2"/>
    </sheetView>
  </sheetViews>
  <sheetFormatPr defaultRowHeight="16.2" x14ac:dyDescent="0.3"/>
  <cols>
    <col min="17" max="17" width="9.44140625" bestFit="1" customWidth="1"/>
  </cols>
  <sheetData>
    <row r="1" spans="1:59" x14ac:dyDescent="0.3">
      <c r="A1" s="2" t="s">
        <v>23</v>
      </c>
      <c r="B1">
        <v>0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 t="s">
        <v>25</v>
      </c>
      <c r="R1" s="2" t="s">
        <v>26</v>
      </c>
      <c r="S1" s="2" t="s">
        <v>27</v>
      </c>
      <c r="X1" t="s">
        <v>107</v>
      </c>
    </row>
    <row r="2" spans="1:59" x14ac:dyDescent="0.3">
      <c r="A2" s="2" t="s">
        <v>24</v>
      </c>
      <c r="B2">
        <v>0</v>
      </c>
      <c r="D2" s="2" t="s">
        <v>28</v>
      </c>
      <c r="E2">
        <v>1</v>
      </c>
      <c r="F2">
        <v>2</v>
      </c>
      <c r="G2">
        <v>4</v>
      </c>
      <c r="H2">
        <v>1</v>
      </c>
      <c r="I2" t="s">
        <v>681</v>
      </c>
      <c r="J2" t="s">
        <v>681</v>
      </c>
      <c r="K2">
        <v>1</v>
      </c>
      <c r="L2" t="s">
        <v>681</v>
      </c>
      <c r="M2" t="s">
        <v>681</v>
      </c>
      <c r="Q2">
        <f>SUM(E2:P2)</f>
        <v>9</v>
      </c>
      <c r="R2">
        <f>'GuestAttackPlay-by-Play'!BC2</f>
        <v>16</v>
      </c>
      <c r="S2">
        <f>'GuestAttackPlay-by-Play'!BD2</f>
        <v>3</v>
      </c>
      <c r="X2">
        <v>10</v>
      </c>
      <c r="BG2" s="14">
        <v>0.43504629629629626</v>
      </c>
    </row>
    <row r="3" spans="1:59" x14ac:dyDescent="0.3">
      <c r="A3" s="2" t="s">
        <v>69</v>
      </c>
      <c r="B3">
        <v>0</v>
      </c>
      <c r="D3" s="2" t="s">
        <v>29</v>
      </c>
      <c r="E3" t="s">
        <v>681</v>
      </c>
      <c r="F3">
        <v>1</v>
      </c>
      <c r="G3" t="s">
        <v>681</v>
      </c>
      <c r="H3">
        <v>2</v>
      </c>
      <c r="I3">
        <v>1</v>
      </c>
      <c r="J3" t="s">
        <v>681</v>
      </c>
      <c r="K3" t="s">
        <v>681</v>
      </c>
      <c r="L3" t="s">
        <v>681</v>
      </c>
      <c r="M3" t="s">
        <v>681</v>
      </c>
      <c r="Q3">
        <f>SUM(E3:P3)</f>
        <v>4</v>
      </c>
      <c r="R3">
        <f>'HomeAttackPlay-by-Play'!BC2</f>
        <v>11</v>
      </c>
      <c r="S3">
        <f>'HomeAttackPlay-by-Play'!BD2</f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4"/>
  <dimension ref="A1:BG28"/>
  <sheetViews>
    <sheetView zoomScale="90" zoomScaleNormal="90" workbookViewId="0">
      <pane xSplit="2" ySplit="1" topLeftCell="C14" activePane="bottomRight" state="frozen"/>
      <selection pane="topRight" activeCell="B1" sqref="B1"/>
      <selection pane="bottomLeft" activeCell="A2" sqref="A2"/>
      <selection pane="bottomRight" activeCell="E40" sqref="E40"/>
    </sheetView>
  </sheetViews>
  <sheetFormatPr defaultColWidth="12.44140625" defaultRowHeight="16.2" x14ac:dyDescent="0.3"/>
  <cols>
    <col min="1" max="11" width="12.44140625" style="1"/>
    <col min="12" max="14" width="7.44140625" style="1" customWidth="1"/>
    <col min="15" max="29" width="12.44140625" style="1"/>
    <col min="30" max="30" width="17.44140625" style="1" customWidth="1"/>
    <col min="31" max="16384" width="12.44140625" style="1"/>
  </cols>
  <sheetData>
    <row r="1" spans="1:59" s="3" customFormat="1" ht="14.4" x14ac:dyDescent="0.3">
      <c r="A1" s="3" t="s">
        <v>111</v>
      </c>
      <c r="B1" s="3" t="s">
        <v>30</v>
      </c>
      <c r="C1" s="3" t="s">
        <v>32</v>
      </c>
      <c r="D1" s="3" t="s">
        <v>33</v>
      </c>
      <c r="E1" s="3" t="s">
        <v>34</v>
      </c>
      <c r="F1" s="3" t="s">
        <v>50</v>
      </c>
      <c r="G1" s="3" t="s">
        <v>51</v>
      </c>
      <c r="H1" s="3" t="s">
        <v>68</v>
      </c>
      <c r="I1" s="3" t="s">
        <v>35</v>
      </c>
      <c r="J1" s="3" t="s">
        <v>36</v>
      </c>
      <c r="K1" s="3" t="s">
        <v>37</v>
      </c>
      <c r="L1" s="3" t="s">
        <v>112</v>
      </c>
      <c r="M1" s="3" t="s">
        <v>113</v>
      </c>
      <c r="N1" s="3" t="s">
        <v>114</v>
      </c>
      <c r="O1" s="3" t="s">
        <v>38</v>
      </c>
      <c r="P1" s="3" t="s">
        <v>39</v>
      </c>
      <c r="Q1" s="3" t="s">
        <v>40</v>
      </c>
      <c r="R1" s="3" t="s">
        <v>115</v>
      </c>
      <c r="S1" s="3" t="s">
        <v>31</v>
      </c>
      <c r="T1" s="3" t="s">
        <v>41</v>
      </c>
      <c r="U1" s="3" t="s">
        <v>56</v>
      </c>
      <c r="V1" s="3" t="s">
        <v>42</v>
      </c>
      <c r="W1" s="3" t="s">
        <v>43</v>
      </c>
      <c r="X1" s="3" t="s">
        <v>44</v>
      </c>
      <c r="Y1" s="3" t="s">
        <v>118</v>
      </c>
      <c r="Z1" s="3" t="s">
        <v>119</v>
      </c>
      <c r="AA1" s="3" t="s">
        <v>120</v>
      </c>
      <c r="AB1" s="3" t="s">
        <v>45</v>
      </c>
      <c r="AC1" s="3" t="s">
        <v>47</v>
      </c>
      <c r="AD1" s="3" t="s">
        <v>67</v>
      </c>
      <c r="AE1" s="3" t="s">
        <v>116</v>
      </c>
      <c r="AG1" s="3" t="s">
        <v>48</v>
      </c>
      <c r="AH1" s="3" t="s">
        <v>64</v>
      </c>
      <c r="AI1" s="3" t="s">
        <v>49</v>
      </c>
      <c r="AJ1" s="3" t="s">
        <v>46</v>
      </c>
    </row>
    <row r="2" spans="1:59" x14ac:dyDescent="0.3">
      <c r="A2" s="1">
        <f>IF(Roster!K2="","-",Roster!K2)</f>
        <v>18</v>
      </c>
      <c r="B2" s="1" t="str">
        <f>IF(A2="-","-",VLOOKUP(A2,Roster!$K$2:$L$27,2,FALSE))</f>
        <v>兄弟官大元</v>
      </c>
      <c r="C2" s="1" t="str">
        <f>IF(COUNTIF('GuestAttackPlay-by-Play'!$M:$AR,GuestHitterData!B2)&gt;=1,"1","0")</f>
        <v>0</v>
      </c>
      <c r="D2" s="1">
        <f>COUNTIFS('GuestAttackPlay-by-Play'!$M:$M,GuestHitterData!B2,'GuestAttackPlay-by-Play'!$AM:$AM,"1")</f>
        <v>0</v>
      </c>
      <c r="E2" s="1">
        <f t="shared" ref="E2:E27" si="0">D2-R2-S2-T2-U2-V2-AE2</f>
        <v>0</v>
      </c>
      <c r="F2" s="23">
        <f>IF(E2=0,0,K2/E2)</f>
        <v>0</v>
      </c>
      <c r="G2" s="23">
        <f>IF(E2=0,0,P2/E2)</f>
        <v>0</v>
      </c>
      <c r="H2" s="23">
        <f>IF(E2+T2+U2+V2+S2=0,0,(K2+T2+U2+V2)/(E2+T2+U2+V2+S2))</f>
        <v>0</v>
      </c>
      <c r="I2" s="1">
        <f>SUMIF('GuestAttackPlay-by-Play'!$M:$M,B2,'GuestAttackPlay-by-Play'!$AN:$AN)</f>
        <v>0</v>
      </c>
      <c r="J2" s="1">
        <f>COUNTIFS('GuestAttackPlay-by-Play'!$AE:$AE,"*"&amp;B2&amp;"*")</f>
        <v>0</v>
      </c>
      <c r="K2" s="1">
        <f>L2+M2+N2+O2</f>
        <v>0</v>
      </c>
      <c r="L2" s="1">
        <f>COUNTIFS('GuestAttackPlay-by-Play'!$M:$M,GuestHitterData!B2,'GuestAttackPlay-by-Play'!$R:$R,"一壘安")</f>
        <v>0</v>
      </c>
      <c r="M2" s="1">
        <f>COUNTIFS('GuestAttackPlay-by-Play'!$M:$M,GuestHitterData!B2,'GuestAttackPlay-by-Play'!$R:$R,"二壘安")</f>
        <v>0</v>
      </c>
      <c r="N2" s="1">
        <f>COUNTIFS('GuestAttackPlay-by-Play'!$M:$M,GuestHitterData!B2,'GuestAttackPlay-by-Play'!$R:$R,"三壘安")</f>
        <v>0</v>
      </c>
      <c r="O2" s="1">
        <f>COUNTIFS('GuestAttackPlay-by-Play'!$M:$M,GuestHitterData!B2,'GuestAttackPlay-by-Play'!$R:$R,"全壘打")</f>
        <v>0</v>
      </c>
      <c r="P2" s="1">
        <f>L2+2*M2+3*N2+4*O2</f>
        <v>0</v>
      </c>
      <c r="Q2" s="1">
        <f>COUNTIFS('GuestAttackPlay-by-Play'!$M:$M,GuestHitterData!B2,'GuestAttackPlay-by-Play'!$R:$R,"雙殺打")</f>
        <v>0</v>
      </c>
      <c r="R2" s="1">
        <f>COUNTIFS('GuestAttackPlay-by-Play'!$M:$M,GuestHitterData!B2,'GuestAttackPlay-by-Play'!$R:$R,"犧牲觸擊")</f>
        <v>0</v>
      </c>
      <c r="S2" s="1">
        <f>COUNTIFS('GuestAttackPlay-by-Play'!$M:$M,GuestHitterData!B2,'GuestAttackPlay-by-Play'!$R:$R,"高飛犧牲")</f>
        <v>0</v>
      </c>
      <c r="T2" s="1">
        <f>COUNTIFS('GuestAttackPlay-by-Play'!$M:$M,GuestHitterData!B2,'GuestAttackPlay-by-Play'!$R:$R,"四壞")</f>
        <v>0</v>
      </c>
      <c r="U2" s="1">
        <f>COUNTIFS('GuestAttackPlay-by-Play'!$M:$M,GuestHitterData!B2,'GuestAttackPlay-by-Play'!$R:$R,"敬遠")</f>
        <v>0</v>
      </c>
      <c r="V2" s="1">
        <f>COUNTIFS('GuestAttackPlay-by-Play'!$M:$M,GuestHitterData!B2,'GuestAttackPlay-by-Play'!$R:$R,"觸身球")</f>
        <v>0</v>
      </c>
      <c r="W2" s="1">
        <f>COUNTIFS('GuestAttackPlay-by-Play'!$M:$M,GuestHitterData!B2,'GuestAttackPlay-by-Play'!$R:$R,"*三振")</f>
        <v>0</v>
      </c>
      <c r="X2" s="1">
        <f>Y2+Z2+AA2</f>
        <v>0</v>
      </c>
      <c r="Y2" s="1">
        <f>COUNTIFS('GuestAttackPlay-by-Play'!$AC:$AC,GuestHitterData!B2,'GuestAttackPlay-by-Play'!$AA:$AA,"盜二成功")</f>
        <v>0</v>
      </c>
      <c r="Z2" s="1">
        <f>COUNTIFS('GuestAttackPlay-by-Play'!$AD:$AD,GuestHitterData!B2,'GuestAttackPlay-by-Play'!$AA:$AA,"盜三成功")</f>
        <v>0</v>
      </c>
      <c r="AA2" s="1">
        <f>COUNTIFS('GuestAttackPlay-by-Play'!$AE:$AE,"."&amp;GuestHitterData!B2,'GuestAttackPlay-by-Play'!$AA:$AA,"盜本成功")</f>
        <v>0</v>
      </c>
      <c r="AB2" s="1">
        <f>COUNTIFS('GuestAttackPlay-by-Play'!$AR:$AR,"*"&amp;B2&amp;"*",'GuestAttackPlay-by-Play'!$AA:$AA,"盜*出局")</f>
        <v>0</v>
      </c>
      <c r="AC2" s="23">
        <f t="shared" ref="AC2:AC27" si="1">IF(Y2+AB2=0,0,Y2/(Y2+AB2))</f>
        <v>0</v>
      </c>
      <c r="AD2" s="23">
        <f t="shared" ref="AD2:AD27" si="2">H2+G2</f>
        <v>0</v>
      </c>
      <c r="AE2" s="1">
        <f>COUNTIFS('GuestAttackPlay-by-Play'!$M:$M,GuestHitterData!B2,'GuestAttackPlay-by-Play'!$R:$R,"妨礙打擊")</f>
        <v>0</v>
      </c>
      <c r="BG2" s="21">
        <v>0.35920138888888892</v>
      </c>
    </row>
    <row r="3" spans="1:59" x14ac:dyDescent="0.3">
      <c r="A3" s="39">
        <f>IF(Roster!K3="","-",Roster!K3)</f>
        <v>19</v>
      </c>
      <c r="B3" s="39" t="str">
        <f>IF(A3="-","-",VLOOKUP(A3,Roster!$K$2:$L$27,2,FALSE))</f>
        <v>兄弟鄭凱文</v>
      </c>
      <c r="C3" s="1" t="str">
        <f>IF(COUNTIF('GuestAttackPlay-by-Play'!$M:$AR,GuestHitterData!B3)&gt;=1,"1","0")</f>
        <v>0</v>
      </c>
      <c r="D3" s="1">
        <f>COUNTIFS('GuestAttackPlay-by-Play'!$M:$M,GuestHitterData!B3,'GuestAttackPlay-by-Play'!$AM:$AM,"1")</f>
        <v>0</v>
      </c>
      <c r="E3" s="1">
        <f t="shared" si="0"/>
        <v>0</v>
      </c>
      <c r="F3" s="23">
        <f t="shared" ref="F3:F27" si="3">IF(E3=0,0,K3/E3)</f>
        <v>0</v>
      </c>
      <c r="G3" s="23">
        <f t="shared" ref="G3:G27" si="4">IF(E3=0,0,P3/E3)</f>
        <v>0</v>
      </c>
      <c r="H3" s="23">
        <f t="shared" ref="H3:H27" si="5">IF(E3+T3+U3+V3+S3=0,0,(K3+T3+U3+V3)/(E3+T3+U3+V3+S3))</f>
        <v>0</v>
      </c>
      <c r="I3" s="1">
        <f>SUMIF('GuestAttackPlay-by-Play'!$M:$M,B3,'GuestAttackPlay-by-Play'!$AN:$AN)</f>
        <v>0</v>
      </c>
      <c r="J3" s="1">
        <f>COUNTIFS('GuestAttackPlay-by-Play'!$AE:$AE,"*"&amp;B3&amp;"*")</f>
        <v>0</v>
      </c>
      <c r="K3" s="1">
        <f t="shared" ref="K3:K27" si="6">L3+M3+N3+O3</f>
        <v>0</v>
      </c>
      <c r="L3" s="1">
        <f>COUNTIFS('GuestAttackPlay-by-Play'!$M:$M,GuestHitterData!B3,'GuestAttackPlay-by-Play'!$R:$R,"一壘安")</f>
        <v>0</v>
      </c>
      <c r="M3" s="1">
        <f>COUNTIFS('GuestAttackPlay-by-Play'!$M:$M,GuestHitterData!B3,'GuestAttackPlay-by-Play'!$R:$R,"二壘安")</f>
        <v>0</v>
      </c>
      <c r="N3" s="1">
        <f>COUNTIFS('GuestAttackPlay-by-Play'!$M:$M,GuestHitterData!B3,'GuestAttackPlay-by-Play'!$R:$R,"三壘安")</f>
        <v>0</v>
      </c>
      <c r="O3" s="1">
        <f>COUNTIFS('GuestAttackPlay-by-Play'!$M:$M,GuestHitterData!B3,'GuestAttackPlay-by-Play'!$R:$R,"全壘打")</f>
        <v>0</v>
      </c>
      <c r="P3" s="1">
        <f t="shared" ref="P3:P27" si="7">L3+2*M3+3*N3+4*O3</f>
        <v>0</v>
      </c>
      <c r="Q3" s="1">
        <f>COUNTIFS('GuestAttackPlay-by-Play'!$M:$M,GuestHitterData!B3,'GuestAttackPlay-by-Play'!$R:$R,"雙殺打")</f>
        <v>0</v>
      </c>
      <c r="R3" s="1">
        <f>COUNTIFS('GuestAttackPlay-by-Play'!$M:$M,GuestHitterData!B3,'GuestAttackPlay-by-Play'!$R:$R,"犧牲觸擊")</f>
        <v>0</v>
      </c>
      <c r="S3" s="1">
        <f>COUNTIFS('GuestAttackPlay-by-Play'!$M:$M,GuestHitterData!B3,'GuestAttackPlay-by-Play'!$R:$R,"高飛犧牲")</f>
        <v>0</v>
      </c>
      <c r="T3" s="1">
        <f>COUNTIFS('GuestAttackPlay-by-Play'!$M:$M,GuestHitterData!B3,'GuestAttackPlay-by-Play'!$R:$R,"四壞")</f>
        <v>0</v>
      </c>
      <c r="U3" s="1">
        <f>COUNTIFS('GuestAttackPlay-by-Play'!$M:$M,GuestHitterData!B3,'GuestAttackPlay-by-Play'!$R:$R,"敬遠")</f>
        <v>0</v>
      </c>
      <c r="V3" s="1">
        <f>COUNTIFS('GuestAttackPlay-by-Play'!$M:$M,GuestHitterData!B3,'GuestAttackPlay-by-Play'!$R:$R,"觸身球")</f>
        <v>0</v>
      </c>
      <c r="W3" s="1">
        <f>COUNTIFS('GuestAttackPlay-by-Play'!$M:$M,GuestHitterData!B3,'GuestAttackPlay-by-Play'!$R:$R,"*三振")</f>
        <v>0</v>
      </c>
      <c r="X3" s="1">
        <f t="shared" ref="X3:X27" si="8">Y3+Z3+AA3</f>
        <v>0</v>
      </c>
      <c r="Y3" s="1">
        <f>COUNTIFS('GuestAttackPlay-by-Play'!$AC:$AC,GuestHitterData!B3,'GuestAttackPlay-by-Play'!$AA:$AA,"盜二成功")</f>
        <v>0</v>
      </c>
      <c r="Z3" s="1">
        <f>COUNTIFS('GuestAttackPlay-by-Play'!$AD:$AD,GuestHitterData!B3,'GuestAttackPlay-by-Play'!$AA:$AA,"盜三成功")</f>
        <v>0</v>
      </c>
      <c r="AA3" s="1">
        <f>COUNTIFS('GuestAttackPlay-by-Play'!$AE:$AE,"."&amp;GuestHitterData!B3,'GuestAttackPlay-by-Play'!$AA:$AA,"盜本成功")</f>
        <v>0</v>
      </c>
      <c r="AB3" s="1">
        <f>COUNTIFS('GuestAttackPlay-by-Play'!$AR:$AR,"*"&amp;B3&amp;"*",'GuestAttackPlay-by-Play'!$AA:$AA,"盜*出局")</f>
        <v>0</v>
      </c>
      <c r="AC3" s="23">
        <f t="shared" si="1"/>
        <v>0</v>
      </c>
      <c r="AD3" s="23">
        <f t="shared" si="2"/>
        <v>0</v>
      </c>
      <c r="AE3" s="1">
        <f>COUNTIFS('GuestAttackPlay-by-Play'!$M:$M,GuestHitterData!B3,'GuestAttackPlay-by-Play'!$R:$R,"妨礙打擊")</f>
        <v>0</v>
      </c>
    </row>
    <row r="4" spans="1:59" x14ac:dyDescent="0.3">
      <c r="A4" s="39">
        <f>IF(Roster!K4="","-",Roster!K4)</f>
        <v>34</v>
      </c>
      <c r="B4" s="39" t="str">
        <f>IF(A4="-","-",VLOOKUP(A4,Roster!$K$2:$L$27,2,FALSE))</f>
        <v>兄弟李振昌</v>
      </c>
      <c r="C4" s="1" t="str">
        <f>IF(COUNTIF('GuestAttackPlay-by-Play'!$M:$AR,GuestHitterData!B4)&gt;=1,"1","0")</f>
        <v>0</v>
      </c>
      <c r="D4" s="1">
        <f>COUNTIFS('GuestAttackPlay-by-Play'!$M:$M,GuestHitterData!B4,'GuestAttackPlay-by-Play'!$AM:$AM,"1")</f>
        <v>0</v>
      </c>
      <c r="E4" s="1">
        <f t="shared" si="0"/>
        <v>0</v>
      </c>
      <c r="F4" s="23">
        <f t="shared" si="3"/>
        <v>0</v>
      </c>
      <c r="G4" s="23">
        <f t="shared" si="4"/>
        <v>0</v>
      </c>
      <c r="H4" s="23">
        <f t="shared" si="5"/>
        <v>0</v>
      </c>
      <c r="I4" s="1">
        <f>SUMIF('GuestAttackPlay-by-Play'!$M:$M,B4,'GuestAttackPlay-by-Play'!$AN:$AN)</f>
        <v>0</v>
      </c>
      <c r="J4" s="1">
        <f>COUNTIFS('GuestAttackPlay-by-Play'!$AE:$AE,"*"&amp;B4&amp;"*")</f>
        <v>0</v>
      </c>
      <c r="K4" s="1">
        <f t="shared" si="6"/>
        <v>0</v>
      </c>
      <c r="L4" s="1">
        <f>COUNTIFS('GuestAttackPlay-by-Play'!$M:$M,GuestHitterData!B4,'GuestAttackPlay-by-Play'!$R:$R,"一壘安")</f>
        <v>0</v>
      </c>
      <c r="M4" s="1">
        <f>COUNTIFS('GuestAttackPlay-by-Play'!$M:$M,GuestHitterData!B4,'GuestAttackPlay-by-Play'!$R:$R,"二壘安")</f>
        <v>0</v>
      </c>
      <c r="N4" s="1">
        <f>COUNTIFS('GuestAttackPlay-by-Play'!$M:$M,GuestHitterData!B4,'GuestAttackPlay-by-Play'!$R:$R,"三壘安")</f>
        <v>0</v>
      </c>
      <c r="O4" s="1">
        <f>COUNTIFS('GuestAttackPlay-by-Play'!$M:$M,GuestHitterData!B4,'GuestAttackPlay-by-Play'!$R:$R,"全壘打")</f>
        <v>0</v>
      </c>
      <c r="P4" s="1">
        <f t="shared" si="7"/>
        <v>0</v>
      </c>
      <c r="Q4" s="1">
        <f>COUNTIFS('GuestAttackPlay-by-Play'!$M:$M,GuestHitterData!B4,'GuestAttackPlay-by-Play'!$R:$R,"雙殺打")</f>
        <v>0</v>
      </c>
      <c r="R4" s="1">
        <f>COUNTIFS('GuestAttackPlay-by-Play'!$M:$M,GuestHitterData!B4,'GuestAttackPlay-by-Play'!$R:$R,"犧牲觸擊")</f>
        <v>0</v>
      </c>
      <c r="S4" s="1">
        <f>COUNTIFS('GuestAttackPlay-by-Play'!$M:$M,GuestHitterData!B4,'GuestAttackPlay-by-Play'!$R:$R,"高飛犧牲")</f>
        <v>0</v>
      </c>
      <c r="T4" s="1">
        <f>COUNTIFS('GuestAttackPlay-by-Play'!$M:$M,GuestHitterData!B4,'GuestAttackPlay-by-Play'!$R:$R,"四壞")</f>
        <v>0</v>
      </c>
      <c r="U4" s="1">
        <f>COUNTIFS('GuestAttackPlay-by-Play'!$M:$M,GuestHitterData!B4,'GuestAttackPlay-by-Play'!$R:$R,"敬遠")</f>
        <v>0</v>
      </c>
      <c r="V4" s="1">
        <f>COUNTIFS('GuestAttackPlay-by-Play'!$M:$M,GuestHitterData!B4,'GuestAttackPlay-by-Play'!$R:$R,"觸身球")</f>
        <v>0</v>
      </c>
      <c r="W4" s="1">
        <f>COUNTIFS('GuestAttackPlay-by-Play'!$M:$M,GuestHitterData!B4,'GuestAttackPlay-by-Play'!$R:$R,"*三振")</f>
        <v>0</v>
      </c>
      <c r="X4" s="1">
        <f t="shared" si="8"/>
        <v>0</v>
      </c>
      <c r="Y4" s="1">
        <f>COUNTIFS('GuestAttackPlay-by-Play'!$AC:$AC,GuestHitterData!B4,'GuestAttackPlay-by-Play'!$AA:$AA,"盜二成功")</f>
        <v>0</v>
      </c>
      <c r="Z4" s="1">
        <f>COUNTIFS('GuestAttackPlay-by-Play'!$AD:$AD,GuestHitterData!B4,'GuestAttackPlay-by-Play'!$AA:$AA,"盜三成功")</f>
        <v>0</v>
      </c>
      <c r="AA4" s="1">
        <f>COUNTIFS('GuestAttackPlay-by-Play'!$AE:$AE,"."&amp;GuestHitterData!B4,'GuestAttackPlay-by-Play'!$AA:$AA,"盜本成功")</f>
        <v>0</v>
      </c>
      <c r="AB4" s="1">
        <f>COUNTIFS('GuestAttackPlay-by-Play'!$AR:$AR,"*"&amp;B4&amp;"*",'GuestAttackPlay-by-Play'!$AA:$AA,"盜*出局")</f>
        <v>0</v>
      </c>
      <c r="AC4" s="23">
        <f t="shared" si="1"/>
        <v>0</v>
      </c>
      <c r="AD4" s="23">
        <f t="shared" si="2"/>
        <v>0</v>
      </c>
      <c r="AE4" s="1">
        <f>COUNTIFS('GuestAttackPlay-by-Play'!$M:$M,GuestHitterData!B4,'GuestAttackPlay-by-Play'!$R:$R,"妨礙打擊")</f>
        <v>0</v>
      </c>
    </row>
    <row r="5" spans="1:59" x14ac:dyDescent="0.3">
      <c r="A5" s="39">
        <f>IF(Roster!K5="","-",Roster!K5)</f>
        <v>50</v>
      </c>
      <c r="B5" s="39" t="str">
        <f>IF(A5="-","-",VLOOKUP(A5,Roster!$K$2:$L$27,2,FALSE))</f>
        <v>兄弟蔡齊哲</v>
      </c>
      <c r="C5" s="1" t="str">
        <f>IF(COUNTIF('GuestAttackPlay-by-Play'!$M:$AR,GuestHitterData!B5)&gt;=1,"1","0")</f>
        <v>0</v>
      </c>
      <c r="D5" s="1">
        <f>COUNTIFS('GuestAttackPlay-by-Play'!$M:$M,GuestHitterData!B5,'GuestAttackPlay-by-Play'!$AM:$AM,"1")</f>
        <v>0</v>
      </c>
      <c r="E5" s="1">
        <f t="shared" si="0"/>
        <v>0</v>
      </c>
      <c r="F5" s="23">
        <f t="shared" si="3"/>
        <v>0</v>
      </c>
      <c r="G5" s="23">
        <f t="shared" si="4"/>
        <v>0</v>
      </c>
      <c r="H5" s="23">
        <f t="shared" si="5"/>
        <v>0</v>
      </c>
      <c r="I5" s="1">
        <f>SUMIF('GuestAttackPlay-by-Play'!$M:$M,B5,'GuestAttackPlay-by-Play'!$AN:$AN)</f>
        <v>0</v>
      </c>
      <c r="J5" s="1">
        <f>COUNTIFS('GuestAttackPlay-by-Play'!$AE:$AE,"*"&amp;B5&amp;"*")</f>
        <v>0</v>
      </c>
      <c r="K5" s="1">
        <f t="shared" si="6"/>
        <v>0</v>
      </c>
      <c r="L5" s="1">
        <f>COUNTIFS('GuestAttackPlay-by-Play'!$M:$M,GuestHitterData!B5,'GuestAttackPlay-by-Play'!$R:$R,"一壘安")</f>
        <v>0</v>
      </c>
      <c r="M5" s="1">
        <f>COUNTIFS('GuestAttackPlay-by-Play'!$M:$M,GuestHitterData!B5,'GuestAttackPlay-by-Play'!$R:$R,"二壘安")</f>
        <v>0</v>
      </c>
      <c r="N5" s="1">
        <f>COUNTIFS('GuestAttackPlay-by-Play'!$M:$M,GuestHitterData!B5,'GuestAttackPlay-by-Play'!$R:$R,"三壘安")</f>
        <v>0</v>
      </c>
      <c r="O5" s="1">
        <f>COUNTIFS('GuestAttackPlay-by-Play'!$M:$M,GuestHitterData!B5,'GuestAttackPlay-by-Play'!$R:$R,"全壘打")</f>
        <v>0</v>
      </c>
      <c r="P5" s="1">
        <f t="shared" si="7"/>
        <v>0</v>
      </c>
      <c r="Q5" s="1">
        <f>COUNTIFS('GuestAttackPlay-by-Play'!$M:$M,GuestHitterData!B5,'GuestAttackPlay-by-Play'!$R:$R,"雙殺打")</f>
        <v>0</v>
      </c>
      <c r="R5" s="1">
        <f>COUNTIFS('GuestAttackPlay-by-Play'!$M:$M,GuestHitterData!B5,'GuestAttackPlay-by-Play'!$R:$R,"犧牲觸擊")</f>
        <v>0</v>
      </c>
      <c r="S5" s="1">
        <f>COUNTIFS('GuestAttackPlay-by-Play'!$M:$M,GuestHitterData!B5,'GuestAttackPlay-by-Play'!$R:$R,"高飛犧牲")</f>
        <v>0</v>
      </c>
      <c r="T5" s="1">
        <f>COUNTIFS('GuestAttackPlay-by-Play'!$M:$M,GuestHitterData!B5,'GuestAttackPlay-by-Play'!$R:$R,"四壞")</f>
        <v>0</v>
      </c>
      <c r="U5" s="1">
        <f>COUNTIFS('GuestAttackPlay-by-Play'!$M:$M,GuestHitterData!B5,'GuestAttackPlay-by-Play'!$R:$R,"敬遠")</f>
        <v>0</v>
      </c>
      <c r="V5" s="1">
        <f>COUNTIFS('GuestAttackPlay-by-Play'!$M:$M,GuestHitterData!B5,'GuestAttackPlay-by-Play'!$R:$R,"觸身球")</f>
        <v>0</v>
      </c>
      <c r="W5" s="1">
        <f>COUNTIFS('GuestAttackPlay-by-Play'!$M:$M,GuestHitterData!B5,'GuestAttackPlay-by-Play'!$R:$R,"*三振")</f>
        <v>0</v>
      </c>
      <c r="X5" s="1">
        <f t="shared" si="8"/>
        <v>0</v>
      </c>
      <c r="Y5" s="1">
        <f>COUNTIFS('GuestAttackPlay-by-Play'!$AC:$AC,GuestHitterData!B5,'GuestAttackPlay-by-Play'!$AA:$AA,"盜二成功")</f>
        <v>0</v>
      </c>
      <c r="Z5" s="1">
        <f>COUNTIFS('GuestAttackPlay-by-Play'!$AD:$AD,GuestHitterData!B5,'GuestAttackPlay-by-Play'!$AA:$AA,"盜三成功")</f>
        <v>0</v>
      </c>
      <c r="AA5" s="1">
        <f>COUNTIFS('GuestAttackPlay-by-Play'!$AE:$AE,"."&amp;GuestHitterData!B5,'GuestAttackPlay-by-Play'!$AA:$AA,"盜本成功")</f>
        <v>0</v>
      </c>
      <c r="AB5" s="1">
        <f>COUNTIFS('GuestAttackPlay-by-Play'!$AR:$AR,"*"&amp;B5&amp;"*",'GuestAttackPlay-by-Play'!$AA:$AA,"盜*出局")</f>
        <v>0</v>
      </c>
      <c r="AC5" s="23">
        <f t="shared" si="1"/>
        <v>0</v>
      </c>
      <c r="AD5" s="23">
        <f t="shared" si="2"/>
        <v>0</v>
      </c>
      <c r="AE5" s="1">
        <f>COUNTIFS('GuestAttackPlay-by-Play'!$M:$M,GuestHitterData!B5,'GuestAttackPlay-by-Play'!$R:$R,"妨礙打擊")</f>
        <v>0</v>
      </c>
    </row>
    <row r="6" spans="1:59" x14ac:dyDescent="0.3">
      <c r="A6" s="39">
        <f>IF(Roster!K6="","-",Roster!K6)</f>
        <v>54</v>
      </c>
      <c r="B6" s="39" t="str">
        <f>IF(A6="-","-",VLOOKUP(A6,Roster!$K$2:$L$27,2,FALSE))</f>
        <v>兄弟王奕凱</v>
      </c>
      <c r="C6" s="1" t="str">
        <f>IF(COUNTIF('GuestAttackPlay-by-Play'!$M:$AR,GuestHitterData!B6)&gt;=1,"1","0")</f>
        <v>0</v>
      </c>
      <c r="D6" s="1">
        <f>COUNTIFS('GuestAttackPlay-by-Play'!$M:$M,GuestHitterData!B6,'GuestAttackPlay-by-Play'!$AM:$AM,"1")</f>
        <v>0</v>
      </c>
      <c r="E6" s="1">
        <f t="shared" si="0"/>
        <v>0</v>
      </c>
      <c r="F6" s="23">
        <f t="shared" si="3"/>
        <v>0</v>
      </c>
      <c r="G6" s="23">
        <f t="shared" si="4"/>
        <v>0</v>
      </c>
      <c r="H6" s="23">
        <f t="shared" si="5"/>
        <v>0</v>
      </c>
      <c r="I6" s="1">
        <f>SUMIF('GuestAttackPlay-by-Play'!$M:$M,B6,'GuestAttackPlay-by-Play'!$AN:$AN)</f>
        <v>0</v>
      </c>
      <c r="J6" s="1">
        <f>COUNTIFS('GuestAttackPlay-by-Play'!$AE:$AE,"*"&amp;B6&amp;"*")</f>
        <v>0</v>
      </c>
      <c r="K6" s="1">
        <f t="shared" si="6"/>
        <v>0</v>
      </c>
      <c r="L6" s="1">
        <f>COUNTIFS('GuestAttackPlay-by-Play'!$M:$M,GuestHitterData!B6,'GuestAttackPlay-by-Play'!$R:$R,"一壘安")</f>
        <v>0</v>
      </c>
      <c r="M6" s="1">
        <f>COUNTIFS('GuestAttackPlay-by-Play'!$M:$M,GuestHitterData!B6,'GuestAttackPlay-by-Play'!$R:$R,"二壘安")</f>
        <v>0</v>
      </c>
      <c r="N6" s="1">
        <f>COUNTIFS('GuestAttackPlay-by-Play'!$M:$M,GuestHitterData!B6,'GuestAttackPlay-by-Play'!$R:$R,"三壘安")</f>
        <v>0</v>
      </c>
      <c r="O6" s="1">
        <f>COUNTIFS('GuestAttackPlay-by-Play'!$M:$M,GuestHitterData!B6,'GuestAttackPlay-by-Play'!$R:$R,"全壘打")</f>
        <v>0</v>
      </c>
      <c r="P6" s="1">
        <f t="shared" si="7"/>
        <v>0</v>
      </c>
      <c r="Q6" s="1">
        <f>COUNTIFS('GuestAttackPlay-by-Play'!$M:$M,GuestHitterData!B6,'GuestAttackPlay-by-Play'!$R:$R,"雙殺打")</f>
        <v>0</v>
      </c>
      <c r="R6" s="1">
        <f>COUNTIFS('GuestAttackPlay-by-Play'!$M:$M,GuestHitterData!B6,'GuestAttackPlay-by-Play'!$R:$R,"犧牲觸擊")</f>
        <v>0</v>
      </c>
      <c r="S6" s="1">
        <f>COUNTIFS('GuestAttackPlay-by-Play'!$M:$M,GuestHitterData!B6,'GuestAttackPlay-by-Play'!$R:$R,"高飛犧牲")</f>
        <v>0</v>
      </c>
      <c r="T6" s="1">
        <f>COUNTIFS('GuestAttackPlay-by-Play'!$M:$M,GuestHitterData!B6,'GuestAttackPlay-by-Play'!$R:$R,"四壞")</f>
        <v>0</v>
      </c>
      <c r="U6" s="1">
        <f>COUNTIFS('GuestAttackPlay-by-Play'!$M:$M,GuestHitterData!B6,'GuestAttackPlay-by-Play'!$R:$R,"敬遠")</f>
        <v>0</v>
      </c>
      <c r="V6" s="1">
        <f>COUNTIFS('GuestAttackPlay-by-Play'!$M:$M,GuestHitterData!B6,'GuestAttackPlay-by-Play'!$R:$R,"觸身球")</f>
        <v>0</v>
      </c>
      <c r="W6" s="1">
        <f>COUNTIFS('GuestAttackPlay-by-Play'!$M:$M,GuestHitterData!B6,'GuestAttackPlay-by-Play'!$R:$R,"*三振")</f>
        <v>0</v>
      </c>
      <c r="X6" s="1">
        <f t="shared" si="8"/>
        <v>0</v>
      </c>
      <c r="Y6" s="1">
        <f>COUNTIFS('GuestAttackPlay-by-Play'!$AC:$AC,GuestHitterData!B6,'GuestAttackPlay-by-Play'!$AA:$AA,"盜二成功")</f>
        <v>0</v>
      </c>
      <c r="Z6" s="1">
        <f>COUNTIFS('GuestAttackPlay-by-Play'!$AD:$AD,GuestHitterData!B6,'GuestAttackPlay-by-Play'!$AA:$AA,"盜三成功")</f>
        <v>0</v>
      </c>
      <c r="AA6" s="1">
        <f>COUNTIFS('GuestAttackPlay-by-Play'!$AE:$AE,"."&amp;GuestHitterData!B6,'GuestAttackPlay-by-Play'!$AA:$AA,"盜本成功")</f>
        <v>0</v>
      </c>
      <c r="AB6" s="1">
        <f>COUNTIFS('GuestAttackPlay-by-Play'!$AR:$AR,"*"&amp;B6&amp;"*",'GuestAttackPlay-by-Play'!$AA:$AA,"盜*出局")</f>
        <v>0</v>
      </c>
      <c r="AC6" s="23">
        <f t="shared" si="1"/>
        <v>0</v>
      </c>
      <c r="AD6" s="23">
        <f t="shared" si="2"/>
        <v>0</v>
      </c>
      <c r="AE6" s="1">
        <f>COUNTIFS('GuestAttackPlay-by-Play'!$M:$M,GuestHitterData!B6,'GuestAttackPlay-by-Play'!$R:$R,"妨礙打擊")</f>
        <v>0</v>
      </c>
    </row>
    <row r="7" spans="1:59" x14ac:dyDescent="0.3">
      <c r="A7" s="39">
        <f>IF(Roster!K7="","-",Roster!K7)</f>
        <v>64</v>
      </c>
      <c r="B7" s="39" t="str">
        <f>IF(A7="-","-",VLOOKUP(A7,Roster!$K$2:$L$27,2,FALSE))</f>
        <v>兄弟黃恩賜</v>
      </c>
      <c r="C7" s="1" t="str">
        <f>IF(COUNTIF('GuestAttackPlay-by-Play'!$M:$AR,GuestHitterData!B7)&gt;=1,"1","0")</f>
        <v>0</v>
      </c>
      <c r="D7" s="1">
        <f>COUNTIFS('GuestAttackPlay-by-Play'!$M:$M,GuestHitterData!B7,'GuestAttackPlay-by-Play'!$AM:$AM,"1")</f>
        <v>0</v>
      </c>
      <c r="E7" s="1">
        <f t="shared" si="0"/>
        <v>0</v>
      </c>
      <c r="F7" s="23">
        <f t="shared" si="3"/>
        <v>0</v>
      </c>
      <c r="G7" s="23">
        <f t="shared" si="4"/>
        <v>0</v>
      </c>
      <c r="H7" s="23">
        <f t="shared" si="5"/>
        <v>0</v>
      </c>
      <c r="I7" s="1">
        <f>SUMIF('GuestAttackPlay-by-Play'!$M:$M,B7,'GuestAttackPlay-by-Play'!$AN:$AN)</f>
        <v>0</v>
      </c>
      <c r="J7" s="1">
        <f>COUNTIFS('GuestAttackPlay-by-Play'!$AE:$AE,"*"&amp;B7&amp;"*")</f>
        <v>0</v>
      </c>
      <c r="K7" s="1">
        <f t="shared" si="6"/>
        <v>0</v>
      </c>
      <c r="L7" s="1">
        <f>COUNTIFS('GuestAttackPlay-by-Play'!$M:$M,GuestHitterData!B7,'GuestAttackPlay-by-Play'!$R:$R,"一壘安")</f>
        <v>0</v>
      </c>
      <c r="M7" s="1">
        <f>COUNTIFS('GuestAttackPlay-by-Play'!$M:$M,GuestHitterData!B7,'GuestAttackPlay-by-Play'!$R:$R,"二壘安")</f>
        <v>0</v>
      </c>
      <c r="N7" s="1">
        <f>COUNTIFS('GuestAttackPlay-by-Play'!$M:$M,GuestHitterData!B7,'GuestAttackPlay-by-Play'!$R:$R,"三壘安")</f>
        <v>0</v>
      </c>
      <c r="O7" s="1">
        <f>COUNTIFS('GuestAttackPlay-by-Play'!$M:$M,GuestHitterData!B7,'GuestAttackPlay-by-Play'!$R:$R,"全壘打")</f>
        <v>0</v>
      </c>
      <c r="P7" s="1">
        <f t="shared" si="7"/>
        <v>0</v>
      </c>
      <c r="Q7" s="1">
        <f>COUNTIFS('GuestAttackPlay-by-Play'!$M:$M,GuestHitterData!B7,'GuestAttackPlay-by-Play'!$R:$R,"雙殺打")</f>
        <v>0</v>
      </c>
      <c r="R7" s="1">
        <f>COUNTIFS('GuestAttackPlay-by-Play'!$M:$M,GuestHitterData!B7,'GuestAttackPlay-by-Play'!$R:$R,"犧牲觸擊")</f>
        <v>0</v>
      </c>
      <c r="S7" s="1">
        <f>COUNTIFS('GuestAttackPlay-by-Play'!$M:$M,GuestHitterData!B7,'GuestAttackPlay-by-Play'!$R:$R,"高飛犧牲")</f>
        <v>0</v>
      </c>
      <c r="T7" s="1">
        <f>COUNTIFS('GuestAttackPlay-by-Play'!$M:$M,GuestHitterData!B7,'GuestAttackPlay-by-Play'!$R:$R,"四壞")</f>
        <v>0</v>
      </c>
      <c r="U7" s="1">
        <f>COUNTIFS('GuestAttackPlay-by-Play'!$M:$M,GuestHitterData!B7,'GuestAttackPlay-by-Play'!$R:$R,"敬遠")</f>
        <v>0</v>
      </c>
      <c r="V7" s="1">
        <f>COUNTIFS('GuestAttackPlay-by-Play'!$M:$M,GuestHitterData!B7,'GuestAttackPlay-by-Play'!$R:$R,"觸身球")</f>
        <v>0</v>
      </c>
      <c r="W7" s="1">
        <f>COUNTIFS('GuestAttackPlay-by-Play'!$M:$M,GuestHitterData!B7,'GuestAttackPlay-by-Play'!$R:$R,"*三振")</f>
        <v>0</v>
      </c>
      <c r="X7" s="1">
        <f t="shared" si="8"/>
        <v>0</v>
      </c>
      <c r="Y7" s="1">
        <f>COUNTIFS('GuestAttackPlay-by-Play'!$AC:$AC,GuestHitterData!B7,'GuestAttackPlay-by-Play'!$AA:$AA,"盜二成功")</f>
        <v>0</v>
      </c>
      <c r="Z7" s="1">
        <f>COUNTIFS('GuestAttackPlay-by-Play'!$AD:$AD,GuestHitterData!B7,'GuestAttackPlay-by-Play'!$AA:$AA,"盜三成功")</f>
        <v>0</v>
      </c>
      <c r="AA7" s="1">
        <f>COUNTIFS('GuestAttackPlay-by-Play'!$AE:$AE,"."&amp;GuestHitterData!B7,'GuestAttackPlay-by-Play'!$AA:$AA,"盜本成功")</f>
        <v>0</v>
      </c>
      <c r="AB7" s="1">
        <f>COUNTIFS('GuestAttackPlay-by-Play'!$AR:$AR,"*"&amp;B7&amp;"*",'GuestAttackPlay-by-Play'!$AA:$AA,"盜*出局")</f>
        <v>0</v>
      </c>
      <c r="AC7" s="23">
        <f t="shared" si="1"/>
        <v>0</v>
      </c>
      <c r="AD7" s="23">
        <f t="shared" si="2"/>
        <v>0</v>
      </c>
      <c r="AE7" s="1">
        <f>COUNTIFS('GuestAttackPlay-by-Play'!$M:$M,GuestHitterData!B7,'GuestAttackPlay-by-Play'!$R:$R,"妨礙打擊")</f>
        <v>0</v>
      </c>
    </row>
    <row r="8" spans="1:59" x14ac:dyDescent="0.3">
      <c r="A8" s="39">
        <f>IF(Roster!K8="","-",Roster!K8)</f>
        <v>79</v>
      </c>
      <c r="B8" s="39" t="str">
        <f>IF(A8="-","-",VLOOKUP(A8,Roster!$K$2:$L$27,2,FALSE))</f>
        <v>兄弟謝榮豪</v>
      </c>
      <c r="C8" s="1" t="str">
        <f>IF(COUNTIF('GuestAttackPlay-by-Play'!$M:$AR,GuestHitterData!B8)&gt;=1,"1","0")</f>
        <v>0</v>
      </c>
      <c r="D8" s="1">
        <f>COUNTIFS('GuestAttackPlay-by-Play'!$M:$M,GuestHitterData!B8,'GuestAttackPlay-by-Play'!$AM:$AM,"1")</f>
        <v>0</v>
      </c>
      <c r="E8" s="1">
        <f t="shared" si="0"/>
        <v>0</v>
      </c>
      <c r="F8" s="23">
        <f t="shared" si="3"/>
        <v>0</v>
      </c>
      <c r="G8" s="23">
        <f t="shared" si="4"/>
        <v>0</v>
      </c>
      <c r="H8" s="23">
        <f t="shared" si="5"/>
        <v>0</v>
      </c>
      <c r="I8" s="1">
        <f>SUMIF('GuestAttackPlay-by-Play'!$M:$M,B8,'GuestAttackPlay-by-Play'!$AN:$AN)</f>
        <v>0</v>
      </c>
      <c r="J8" s="1">
        <f>COUNTIFS('GuestAttackPlay-by-Play'!$AE:$AE,"*"&amp;B8&amp;"*")</f>
        <v>0</v>
      </c>
      <c r="K8" s="1">
        <f t="shared" si="6"/>
        <v>0</v>
      </c>
      <c r="L8" s="1">
        <f>COUNTIFS('GuestAttackPlay-by-Play'!$M:$M,GuestHitterData!B8,'GuestAttackPlay-by-Play'!$R:$R,"一壘安")</f>
        <v>0</v>
      </c>
      <c r="M8" s="1">
        <f>COUNTIFS('GuestAttackPlay-by-Play'!$M:$M,GuestHitterData!B8,'GuestAttackPlay-by-Play'!$R:$R,"二壘安")</f>
        <v>0</v>
      </c>
      <c r="N8" s="1">
        <f>COUNTIFS('GuestAttackPlay-by-Play'!$M:$M,GuestHitterData!B8,'GuestAttackPlay-by-Play'!$R:$R,"三壘安")</f>
        <v>0</v>
      </c>
      <c r="O8" s="1">
        <f>COUNTIFS('GuestAttackPlay-by-Play'!$M:$M,GuestHitterData!B8,'GuestAttackPlay-by-Play'!$R:$R,"全壘打")</f>
        <v>0</v>
      </c>
      <c r="P8" s="1">
        <f t="shared" si="7"/>
        <v>0</v>
      </c>
      <c r="Q8" s="1">
        <f>COUNTIFS('GuestAttackPlay-by-Play'!$M:$M,GuestHitterData!B8,'GuestAttackPlay-by-Play'!$R:$R,"雙殺打")</f>
        <v>0</v>
      </c>
      <c r="R8" s="1">
        <f>COUNTIFS('GuestAttackPlay-by-Play'!$M:$M,GuestHitterData!B8,'GuestAttackPlay-by-Play'!$R:$R,"犧牲觸擊")</f>
        <v>0</v>
      </c>
      <c r="S8" s="1">
        <f>COUNTIFS('GuestAttackPlay-by-Play'!$M:$M,GuestHitterData!B8,'GuestAttackPlay-by-Play'!$R:$R,"高飛犧牲")</f>
        <v>0</v>
      </c>
      <c r="T8" s="1">
        <f>COUNTIFS('GuestAttackPlay-by-Play'!$M:$M,GuestHitterData!B8,'GuestAttackPlay-by-Play'!$R:$R,"四壞")</f>
        <v>0</v>
      </c>
      <c r="U8" s="1">
        <f>COUNTIFS('GuestAttackPlay-by-Play'!$M:$M,GuestHitterData!B8,'GuestAttackPlay-by-Play'!$R:$R,"敬遠")</f>
        <v>0</v>
      </c>
      <c r="V8" s="1">
        <f>COUNTIFS('GuestAttackPlay-by-Play'!$M:$M,GuestHitterData!B8,'GuestAttackPlay-by-Play'!$R:$R,"觸身球")</f>
        <v>0</v>
      </c>
      <c r="W8" s="1">
        <f>COUNTIFS('GuestAttackPlay-by-Play'!$M:$M,GuestHitterData!B8,'GuestAttackPlay-by-Play'!$R:$R,"*三振")</f>
        <v>0</v>
      </c>
      <c r="X8" s="1">
        <f t="shared" si="8"/>
        <v>0</v>
      </c>
      <c r="Y8" s="1">
        <f>COUNTIFS('GuestAttackPlay-by-Play'!$AC:$AC,GuestHitterData!B8,'GuestAttackPlay-by-Play'!$AA:$AA,"盜二成功")</f>
        <v>0</v>
      </c>
      <c r="Z8" s="1">
        <f>COUNTIFS('GuestAttackPlay-by-Play'!$AD:$AD,GuestHitterData!B8,'GuestAttackPlay-by-Play'!$AA:$AA,"盜三成功")</f>
        <v>0</v>
      </c>
      <c r="AA8" s="1">
        <f>COUNTIFS('GuestAttackPlay-by-Play'!$AE:$AE,"."&amp;GuestHitterData!B8,'GuestAttackPlay-by-Play'!$AA:$AA,"盜本成功")</f>
        <v>0</v>
      </c>
      <c r="AB8" s="1">
        <f>COUNTIFS('GuestAttackPlay-by-Play'!$AR:$AR,"*"&amp;B8&amp;"*",'GuestAttackPlay-by-Play'!$AA:$AA,"盜*出局")</f>
        <v>0</v>
      </c>
      <c r="AC8" s="23">
        <f t="shared" si="1"/>
        <v>0</v>
      </c>
      <c r="AD8" s="23">
        <f t="shared" si="2"/>
        <v>0</v>
      </c>
      <c r="AE8" s="1">
        <f>COUNTIFS('GuestAttackPlay-by-Play'!$M:$M,GuestHitterData!B8,'GuestAttackPlay-by-Play'!$R:$R,"妨礙打擊")</f>
        <v>0</v>
      </c>
    </row>
    <row r="9" spans="1:59" x14ac:dyDescent="0.3">
      <c r="A9" s="39">
        <f>IF(Roster!K9="","-",Roster!K9)</f>
        <v>94</v>
      </c>
      <c r="B9" s="39" t="str">
        <f>IF(A9="-","-",VLOOKUP(A9,Roster!$K$2:$L$27,2,FALSE))</f>
        <v>兄弟吳俊偉</v>
      </c>
      <c r="C9" s="1" t="str">
        <f>IF(COUNTIF('GuestAttackPlay-by-Play'!$M:$AR,GuestHitterData!B9)&gt;=1,"1","0")</f>
        <v>0</v>
      </c>
      <c r="D9" s="1">
        <f>COUNTIFS('GuestAttackPlay-by-Play'!$M:$M,GuestHitterData!B9,'GuestAttackPlay-by-Play'!$AM:$AM,"1")</f>
        <v>0</v>
      </c>
      <c r="E9" s="1">
        <f t="shared" si="0"/>
        <v>0</v>
      </c>
      <c r="F9" s="23">
        <f t="shared" si="3"/>
        <v>0</v>
      </c>
      <c r="G9" s="23">
        <f t="shared" si="4"/>
        <v>0</v>
      </c>
      <c r="H9" s="23">
        <f t="shared" si="5"/>
        <v>0</v>
      </c>
      <c r="I9" s="1">
        <f>SUMIF('GuestAttackPlay-by-Play'!$M:$M,B9,'GuestAttackPlay-by-Play'!$AN:$AN)</f>
        <v>0</v>
      </c>
      <c r="J9" s="1">
        <f>COUNTIFS('GuestAttackPlay-by-Play'!$AE:$AE,"*"&amp;B9&amp;"*")</f>
        <v>0</v>
      </c>
      <c r="K9" s="1">
        <f t="shared" si="6"/>
        <v>0</v>
      </c>
      <c r="L9" s="1">
        <f>COUNTIFS('GuestAttackPlay-by-Play'!$M:$M,GuestHitterData!B9,'GuestAttackPlay-by-Play'!$R:$R,"一壘安")</f>
        <v>0</v>
      </c>
      <c r="M9" s="1">
        <f>COUNTIFS('GuestAttackPlay-by-Play'!$M:$M,GuestHitterData!B9,'GuestAttackPlay-by-Play'!$R:$R,"二壘安")</f>
        <v>0</v>
      </c>
      <c r="N9" s="1">
        <f>COUNTIFS('GuestAttackPlay-by-Play'!$M:$M,GuestHitterData!B9,'GuestAttackPlay-by-Play'!$R:$R,"三壘安")</f>
        <v>0</v>
      </c>
      <c r="O9" s="1">
        <f>COUNTIFS('GuestAttackPlay-by-Play'!$M:$M,GuestHitterData!B9,'GuestAttackPlay-by-Play'!$R:$R,"全壘打")</f>
        <v>0</v>
      </c>
      <c r="P9" s="1">
        <f t="shared" si="7"/>
        <v>0</v>
      </c>
      <c r="Q9" s="1">
        <f>COUNTIFS('GuestAttackPlay-by-Play'!$M:$M,GuestHitterData!B9,'GuestAttackPlay-by-Play'!$R:$R,"雙殺打")</f>
        <v>0</v>
      </c>
      <c r="R9" s="1">
        <f>COUNTIFS('GuestAttackPlay-by-Play'!$M:$M,GuestHitterData!B9,'GuestAttackPlay-by-Play'!$R:$R,"犧牲觸擊")</f>
        <v>0</v>
      </c>
      <c r="S9" s="1">
        <f>COUNTIFS('GuestAttackPlay-by-Play'!$M:$M,GuestHitterData!B9,'GuestAttackPlay-by-Play'!$R:$R,"高飛犧牲")</f>
        <v>0</v>
      </c>
      <c r="T9" s="1">
        <f>COUNTIFS('GuestAttackPlay-by-Play'!$M:$M,GuestHitterData!B9,'GuestAttackPlay-by-Play'!$R:$R,"四壞")</f>
        <v>0</v>
      </c>
      <c r="U9" s="1">
        <f>COUNTIFS('GuestAttackPlay-by-Play'!$M:$M,GuestHitterData!B9,'GuestAttackPlay-by-Play'!$R:$R,"敬遠")</f>
        <v>0</v>
      </c>
      <c r="V9" s="1">
        <f>COUNTIFS('GuestAttackPlay-by-Play'!$M:$M,GuestHitterData!B9,'GuestAttackPlay-by-Play'!$R:$R,"觸身球")</f>
        <v>0</v>
      </c>
      <c r="W9" s="1">
        <f>COUNTIFS('GuestAttackPlay-by-Play'!$M:$M,GuestHitterData!B9,'GuestAttackPlay-by-Play'!$R:$R,"*三振")</f>
        <v>0</v>
      </c>
      <c r="X9" s="1">
        <f t="shared" si="8"/>
        <v>0</v>
      </c>
      <c r="Y9" s="1">
        <f>COUNTIFS('GuestAttackPlay-by-Play'!$AC:$AC,GuestHitterData!B9,'GuestAttackPlay-by-Play'!$AA:$AA,"盜二成功")</f>
        <v>0</v>
      </c>
      <c r="Z9" s="1">
        <f>COUNTIFS('GuestAttackPlay-by-Play'!$AD:$AD,GuestHitterData!B9,'GuestAttackPlay-by-Play'!$AA:$AA,"盜三成功")</f>
        <v>0</v>
      </c>
      <c r="AA9" s="1">
        <f>COUNTIFS('GuestAttackPlay-by-Play'!$AE:$AE,"."&amp;GuestHitterData!B9,'GuestAttackPlay-by-Play'!$AA:$AA,"盜本成功")</f>
        <v>0</v>
      </c>
      <c r="AB9" s="1">
        <f>COUNTIFS('GuestAttackPlay-by-Play'!$AR:$AR,"*"&amp;B9&amp;"*",'GuestAttackPlay-by-Play'!$AA:$AA,"盜*出局")</f>
        <v>0</v>
      </c>
      <c r="AC9" s="23">
        <f t="shared" si="1"/>
        <v>0</v>
      </c>
      <c r="AD9" s="23">
        <f t="shared" si="2"/>
        <v>0</v>
      </c>
      <c r="AE9" s="1">
        <f>COUNTIFS('GuestAttackPlay-by-Play'!$M:$M,GuestHitterData!B9,'GuestAttackPlay-by-Play'!$R:$R,"妨礙打擊")</f>
        <v>0</v>
      </c>
    </row>
    <row r="10" spans="1:59" x14ac:dyDescent="0.3">
      <c r="A10" s="39">
        <f>IF(Roster!K10="","-",Roster!K10)</f>
        <v>55</v>
      </c>
      <c r="B10" s="39" t="str">
        <f>IF(A10="-","-",VLOOKUP(A10,Roster!$K$2:$L$27,2,FALSE))</f>
        <v>兄弟加百利</v>
      </c>
      <c r="C10" s="1" t="str">
        <f>IF(COUNTIF('GuestAttackPlay-by-Play'!$M:$AR,GuestHitterData!B10)&gt;=1,"1","0")</f>
        <v>0</v>
      </c>
      <c r="D10" s="1">
        <f>COUNTIFS('GuestAttackPlay-by-Play'!$M:$M,GuestHitterData!B10,'GuestAttackPlay-by-Play'!$AM:$AM,"1")</f>
        <v>0</v>
      </c>
      <c r="E10" s="1">
        <f t="shared" si="0"/>
        <v>0</v>
      </c>
      <c r="F10" s="23">
        <f t="shared" si="3"/>
        <v>0</v>
      </c>
      <c r="G10" s="23">
        <f t="shared" si="4"/>
        <v>0</v>
      </c>
      <c r="H10" s="23">
        <f t="shared" si="5"/>
        <v>0</v>
      </c>
      <c r="I10" s="1">
        <f>SUMIF('GuestAttackPlay-by-Play'!$M:$M,B10,'GuestAttackPlay-by-Play'!$AN:$AN)</f>
        <v>0</v>
      </c>
      <c r="J10" s="1">
        <f>COUNTIFS('GuestAttackPlay-by-Play'!$AE:$AE,"*"&amp;B10&amp;"*")</f>
        <v>0</v>
      </c>
      <c r="K10" s="1">
        <f t="shared" si="6"/>
        <v>0</v>
      </c>
      <c r="L10" s="1">
        <f>COUNTIFS('GuestAttackPlay-by-Play'!$M:$M,GuestHitterData!B10,'GuestAttackPlay-by-Play'!$R:$R,"一壘安")</f>
        <v>0</v>
      </c>
      <c r="M10" s="1">
        <f>COUNTIFS('GuestAttackPlay-by-Play'!$M:$M,GuestHitterData!B10,'GuestAttackPlay-by-Play'!$R:$R,"二壘安")</f>
        <v>0</v>
      </c>
      <c r="N10" s="1">
        <f>COUNTIFS('GuestAttackPlay-by-Play'!$M:$M,GuestHitterData!B10,'GuestAttackPlay-by-Play'!$R:$R,"三壘安")</f>
        <v>0</v>
      </c>
      <c r="O10" s="1">
        <f>COUNTIFS('GuestAttackPlay-by-Play'!$M:$M,GuestHitterData!B10,'GuestAttackPlay-by-Play'!$R:$R,"全壘打")</f>
        <v>0</v>
      </c>
      <c r="P10" s="1">
        <f t="shared" si="7"/>
        <v>0</v>
      </c>
      <c r="Q10" s="1">
        <f>COUNTIFS('GuestAttackPlay-by-Play'!$M:$M,GuestHitterData!B10,'GuestAttackPlay-by-Play'!$R:$R,"雙殺打")</f>
        <v>0</v>
      </c>
      <c r="R10" s="1">
        <f>COUNTIFS('GuestAttackPlay-by-Play'!$M:$M,GuestHitterData!B10,'GuestAttackPlay-by-Play'!$R:$R,"犧牲觸擊")</f>
        <v>0</v>
      </c>
      <c r="S10" s="1">
        <f>COUNTIFS('GuestAttackPlay-by-Play'!$M:$M,GuestHitterData!B10,'GuestAttackPlay-by-Play'!$R:$R,"高飛犧牲")</f>
        <v>0</v>
      </c>
      <c r="T10" s="1">
        <f>COUNTIFS('GuestAttackPlay-by-Play'!$M:$M,GuestHitterData!B10,'GuestAttackPlay-by-Play'!$R:$R,"四壞")</f>
        <v>0</v>
      </c>
      <c r="U10" s="1">
        <f>COUNTIFS('GuestAttackPlay-by-Play'!$M:$M,GuestHitterData!B10,'GuestAttackPlay-by-Play'!$R:$R,"敬遠")</f>
        <v>0</v>
      </c>
      <c r="V10" s="1">
        <f>COUNTIFS('GuestAttackPlay-by-Play'!$M:$M,GuestHitterData!B10,'GuestAttackPlay-by-Play'!$R:$R,"觸身球")</f>
        <v>0</v>
      </c>
      <c r="W10" s="1">
        <f>COUNTIFS('GuestAttackPlay-by-Play'!$M:$M,GuestHitterData!B10,'GuestAttackPlay-by-Play'!$R:$R,"*三振")</f>
        <v>0</v>
      </c>
      <c r="X10" s="1">
        <f t="shared" si="8"/>
        <v>0</v>
      </c>
      <c r="Y10" s="1">
        <f>COUNTIFS('GuestAttackPlay-by-Play'!$AC:$AC,GuestHitterData!B10,'GuestAttackPlay-by-Play'!$AA:$AA,"盜二成功")</f>
        <v>0</v>
      </c>
      <c r="Z10" s="1">
        <f>COUNTIFS('GuestAttackPlay-by-Play'!$AD:$AD,GuestHitterData!B10,'GuestAttackPlay-by-Play'!$AA:$AA,"盜三成功")</f>
        <v>0</v>
      </c>
      <c r="AA10" s="1">
        <f>COUNTIFS('GuestAttackPlay-by-Play'!$AE:$AE,"."&amp;GuestHitterData!B10,'GuestAttackPlay-by-Play'!$AA:$AA,"盜本成功")</f>
        <v>0</v>
      </c>
      <c r="AB10" s="1">
        <f>COUNTIFS('GuestAttackPlay-by-Play'!$AR:$AR,"*"&amp;B10&amp;"*",'GuestAttackPlay-by-Play'!$AA:$AA,"盜*出局")</f>
        <v>0</v>
      </c>
      <c r="AC10" s="23">
        <f t="shared" si="1"/>
        <v>0</v>
      </c>
      <c r="AD10" s="23">
        <f t="shared" si="2"/>
        <v>0</v>
      </c>
      <c r="AE10" s="1">
        <f>COUNTIFS('GuestAttackPlay-by-Play'!$M:$M,GuestHitterData!B10,'GuestAttackPlay-by-Play'!$R:$R,"妨礙打擊")</f>
        <v>0</v>
      </c>
    </row>
    <row r="11" spans="1:59" x14ac:dyDescent="0.3">
      <c r="A11" s="39">
        <f>IF(Roster!K11="","-",Roster!K11)</f>
        <v>35</v>
      </c>
      <c r="B11" s="39" t="str">
        <f>IF(A11="-","-",VLOOKUP(A11,Roster!$K$2:$L$27,2,FALSE))</f>
        <v>兄弟羅傑斯</v>
      </c>
      <c r="C11" s="1" t="str">
        <f>IF(COUNTIF('GuestAttackPlay-by-Play'!$M:$AR,GuestHitterData!B11)&gt;=1,"1","0")</f>
        <v>0</v>
      </c>
      <c r="D11" s="1">
        <f>COUNTIFS('GuestAttackPlay-by-Play'!$M:$M,GuestHitterData!B11,'GuestAttackPlay-by-Play'!$AM:$AM,"1")</f>
        <v>0</v>
      </c>
      <c r="E11" s="1">
        <f t="shared" si="0"/>
        <v>0</v>
      </c>
      <c r="F11" s="23">
        <f t="shared" si="3"/>
        <v>0</v>
      </c>
      <c r="G11" s="23">
        <f t="shared" si="4"/>
        <v>0</v>
      </c>
      <c r="H11" s="23">
        <f t="shared" si="5"/>
        <v>0</v>
      </c>
      <c r="I11" s="1">
        <f>SUMIF('GuestAttackPlay-by-Play'!$M:$M,B11,'GuestAttackPlay-by-Play'!$AN:$AN)</f>
        <v>0</v>
      </c>
      <c r="J11" s="1">
        <f>COUNTIFS('GuestAttackPlay-by-Play'!$AE:$AE,"*"&amp;B11&amp;"*")</f>
        <v>0</v>
      </c>
      <c r="K11" s="1">
        <f t="shared" si="6"/>
        <v>0</v>
      </c>
      <c r="L11" s="1">
        <f>COUNTIFS('GuestAttackPlay-by-Play'!$M:$M,GuestHitterData!B11,'GuestAttackPlay-by-Play'!$R:$R,"一壘安")</f>
        <v>0</v>
      </c>
      <c r="M11" s="1">
        <f>COUNTIFS('GuestAttackPlay-by-Play'!$M:$M,GuestHitterData!B11,'GuestAttackPlay-by-Play'!$R:$R,"二壘安")</f>
        <v>0</v>
      </c>
      <c r="N11" s="1">
        <f>COUNTIFS('GuestAttackPlay-by-Play'!$M:$M,GuestHitterData!B11,'GuestAttackPlay-by-Play'!$R:$R,"三壘安")</f>
        <v>0</v>
      </c>
      <c r="O11" s="1">
        <f>COUNTIFS('GuestAttackPlay-by-Play'!$M:$M,GuestHitterData!B11,'GuestAttackPlay-by-Play'!$R:$R,"全壘打")</f>
        <v>0</v>
      </c>
      <c r="P11" s="1">
        <f t="shared" si="7"/>
        <v>0</v>
      </c>
      <c r="Q11" s="1">
        <f>COUNTIFS('GuestAttackPlay-by-Play'!$M:$M,GuestHitterData!B11,'GuestAttackPlay-by-Play'!$R:$R,"雙殺打")</f>
        <v>0</v>
      </c>
      <c r="R11" s="1">
        <f>COUNTIFS('GuestAttackPlay-by-Play'!$M:$M,GuestHitterData!B11,'GuestAttackPlay-by-Play'!$R:$R,"犧牲觸擊")</f>
        <v>0</v>
      </c>
      <c r="S11" s="1">
        <f>COUNTIFS('GuestAttackPlay-by-Play'!$M:$M,GuestHitterData!B11,'GuestAttackPlay-by-Play'!$R:$R,"高飛犧牲")</f>
        <v>0</v>
      </c>
      <c r="T11" s="1">
        <f>COUNTIFS('GuestAttackPlay-by-Play'!$M:$M,GuestHitterData!B11,'GuestAttackPlay-by-Play'!$R:$R,"四壞")</f>
        <v>0</v>
      </c>
      <c r="U11" s="1">
        <f>COUNTIFS('GuestAttackPlay-by-Play'!$M:$M,GuestHitterData!B11,'GuestAttackPlay-by-Play'!$R:$R,"敬遠")</f>
        <v>0</v>
      </c>
      <c r="V11" s="1">
        <f>COUNTIFS('GuestAttackPlay-by-Play'!$M:$M,GuestHitterData!B11,'GuestAttackPlay-by-Play'!$R:$R,"觸身球")</f>
        <v>0</v>
      </c>
      <c r="W11" s="1">
        <f>COUNTIFS('GuestAttackPlay-by-Play'!$M:$M,GuestHitterData!B11,'GuestAttackPlay-by-Play'!$R:$R,"*三振")</f>
        <v>0</v>
      </c>
      <c r="X11" s="1">
        <f t="shared" si="8"/>
        <v>0</v>
      </c>
      <c r="Y11" s="1">
        <f>COUNTIFS('GuestAttackPlay-by-Play'!$AC:$AC,GuestHitterData!B11,'GuestAttackPlay-by-Play'!$AA:$AA,"盜二成功")</f>
        <v>0</v>
      </c>
      <c r="Z11" s="1">
        <f>COUNTIFS('GuestAttackPlay-by-Play'!$AD:$AD,GuestHitterData!B11,'GuestAttackPlay-by-Play'!$AA:$AA,"盜三成功")</f>
        <v>0</v>
      </c>
      <c r="AA11" s="1">
        <f>COUNTIFS('GuestAttackPlay-by-Play'!$AE:$AE,"."&amp;GuestHitterData!B11,'GuestAttackPlay-by-Play'!$AA:$AA,"盜本成功")</f>
        <v>0</v>
      </c>
      <c r="AB11" s="1">
        <f>COUNTIFS('GuestAttackPlay-by-Play'!$AR:$AR,"*"&amp;B11&amp;"*",'GuestAttackPlay-by-Play'!$AA:$AA,"盜*出局")</f>
        <v>0</v>
      </c>
      <c r="AC11" s="23">
        <f t="shared" si="1"/>
        <v>0</v>
      </c>
      <c r="AD11" s="23">
        <f t="shared" si="2"/>
        <v>0</v>
      </c>
      <c r="AE11" s="1">
        <f>COUNTIFS('GuestAttackPlay-by-Play'!$M:$M,GuestHitterData!B11,'GuestAttackPlay-by-Play'!$R:$R,"妨礙打擊")</f>
        <v>0</v>
      </c>
    </row>
    <row r="12" spans="1:59" x14ac:dyDescent="0.3">
      <c r="A12" s="39">
        <f>IF(Roster!K12="","-",Roster!K12)</f>
        <v>1</v>
      </c>
      <c r="B12" s="39" t="str">
        <f>IF(A12="-","-",VLOOKUP(A12,Roster!$K$2:$L$27,2,FALSE))</f>
        <v>兄弟陳子豪</v>
      </c>
      <c r="C12" s="1" t="str">
        <f>IF(COUNTIF('GuestAttackPlay-by-Play'!$M:$AR,GuestHitterData!B12)&gt;=1,"1","0")</f>
        <v>1</v>
      </c>
      <c r="D12" s="1">
        <f>COUNTIFS('GuestAttackPlay-by-Play'!$M:$M,GuestHitterData!B12,'GuestAttackPlay-by-Play'!$AM:$AM,"1")</f>
        <v>5</v>
      </c>
      <c r="E12" s="1">
        <f t="shared" si="0"/>
        <v>4</v>
      </c>
      <c r="F12" s="23">
        <f t="shared" si="3"/>
        <v>0.5</v>
      </c>
      <c r="G12" s="23">
        <f t="shared" si="4"/>
        <v>0.5</v>
      </c>
      <c r="H12" s="23">
        <f t="shared" si="5"/>
        <v>0.6</v>
      </c>
      <c r="I12" s="1">
        <f>SUMIF('GuestAttackPlay-by-Play'!$M:$M,B12,'GuestAttackPlay-by-Play'!$AN:$AN)</f>
        <v>0</v>
      </c>
      <c r="J12" s="1">
        <f>COUNTIFS('GuestAttackPlay-by-Play'!$AE:$AE,"*"&amp;B12&amp;"*")</f>
        <v>1</v>
      </c>
      <c r="K12" s="1">
        <f t="shared" si="6"/>
        <v>2</v>
      </c>
      <c r="L12" s="1">
        <f>COUNTIFS('GuestAttackPlay-by-Play'!$M:$M,GuestHitterData!B12,'GuestAttackPlay-by-Play'!$R:$R,"一壘安")</f>
        <v>2</v>
      </c>
      <c r="M12" s="1">
        <f>COUNTIFS('GuestAttackPlay-by-Play'!$M:$M,GuestHitterData!B12,'GuestAttackPlay-by-Play'!$R:$R,"二壘安")</f>
        <v>0</v>
      </c>
      <c r="N12" s="1">
        <f>COUNTIFS('GuestAttackPlay-by-Play'!$M:$M,GuestHitterData!B12,'GuestAttackPlay-by-Play'!$R:$R,"三壘安")</f>
        <v>0</v>
      </c>
      <c r="O12" s="1">
        <f>COUNTIFS('GuestAttackPlay-by-Play'!$M:$M,GuestHitterData!B12,'GuestAttackPlay-by-Play'!$R:$R,"全壘打")</f>
        <v>0</v>
      </c>
      <c r="P12" s="1">
        <f t="shared" si="7"/>
        <v>2</v>
      </c>
      <c r="Q12" s="1">
        <f>COUNTIFS('GuestAttackPlay-by-Play'!$M:$M,GuestHitterData!B12,'GuestAttackPlay-by-Play'!$R:$R,"雙殺打")</f>
        <v>0</v>
      </c>
      <c r="R12" s="1">
        <f>COUNTIFS('GuestAttackPlay-by-Play'!$M:$M,GuestHitterData!B12,'GuestAttackPlay-by-Play'!$R:$R,"犧牲觸擊")</f>
        <v>0</v>
      </c>
      <c r="S12" s="1">
        <f>COUNTIFS('GuestAttackPlay-by-Play'!$M:$M,GuestHitterData!B12,'GuestAttackPlay-by-Play'!$R:$R,"高飛犧牲")</f>
        <v>0</v>
      </c>
      <c r="T12" s="1">
        <f>COUNTIFS('GuestAttackPlay-by-Play'!$M:$M,GuestHitterData!B12,'GuestAttackPlay-by-Play'!$R:$R,"四壞")</f>
        <v>0</v>
      </c>
      <c r="U12" s="1">
        <f>COUNTIFS('GuestAttackPlay-by-Play'!$M:$M,GuestHitterData!B12,'GuestAttackPlay-by-Play'!$R:$R,"敬遠")</f>
        <v>0</v>
      </c>
      <c r="V12" s="1">
        <f>COUNTIFS('GuestAttackPlay-by-Play'!$M:$M,GuestHitterData!B12,'GuestAttackPlay-by-Play'!$R:$R,"觸身球")</f>
        <v>1</v>
      </c>
      <c r="W12" s="1">
        <f>COUNTIFS('GuestAttackPlay-by-Play'!$M:$M,GuestHitterData!B12,'GuestAttackPlay-by-Play'!$R:$R,"*三振")</f>
        <v>0</v>
      </c>
      <c r="X12" s="1">
        <f t="shared" si="8"/>
        <v>0</v>
      </c>
      <c r="Y12" s="1">
        <f>COUNTIFS('GuestAttackPlay-by-Play'!$AC:$AC,GuestHitterData!B12,'GuestAttackPlay-by-Play'!$AA:$AA,"盜二成功")</f>
        <v>0</v>
      </c>
      <c r="Z12" s="1">
        <f>COUNTIFS('GuestAttackPlay-by-Play'!$AD:$AD,GuestHitterData!B12,'GuestAttackPlay-by-Play'!$AA:$AA,"盜三成功")</f>
        <v>0</v>
      </c>
      <c r="AA12" s="1">
        <f>COUNTIFS('GuestAttackPlay-by-Play'!$AE:$AE,"."&amp;GuestHitterData!B12,'GuestAttackPlay-by-Play'!$AA:$AA,"盜本成功")</f>
        <v>0</v>
      </c>
      <c r="AB12" s="1">
        <f>COUNTIFS('GuestAttackPlay-by-Play'!$AR:$AR,"*"&amp;B12&amp;"*",'GuestAttackPlay-by-Play'!$AA:$AA,"盜*出局")</f>
        <v>0</v>
      </c>
      <c r="AC12" s="23">
        <f t="shared" si="1"/>
        <v>0</v>
      </c>
      <c r="AD12" s="23">
        <f t="shared" si="2"/>
        <v>1.1000000000000001</v>
      </c>
      <c r="AE12" s="1">
        <f>COUNTIFS('GuestAttackPlay-by-Play'!$M:$M,GuestHitterData!B12,'GuestAttackPlay-by-Play'!$R:$R,"妨礙打擊")</f>
        <v>0</v>
      </c>
    </row>
    <row r="13" spans="1:59" x14ac:dyDescent="0.3">
      <c r="A13" s="39">
        <f>IF(Roster!K13="","-",Roster!K13)</f>
        <v>4</v>
      </c>
      <c r="B13" s="39" t="str">
        <f>IF(A13="-","-",VLOOKUP(A13,Roster!$K$2:$L$27,2,FALSE))</f>
        <v>兄弟陳文杰</v>
      </c>
      <c r="C13" s="1" t="str">
        <f>IF(COUNTIF('GuestAttackPlay-by-Play'!$M:$AR,GuestHitterData!B13)&gt;=1,"1","0")</f>
        <v>1</v>
      </c>
      <c r="D13" s="1">
        <f>COUNTIFS('GuestAttackPlay-by-Play'!$M:$M,GuestHitterData!B13,'GuestAttackPlay-by-Play'!$AM:$AM,"1")</f>
        <v>5</v>
      </c>
      <c r="E13" s="1">
        <f t="shared" si="0"/>
        <v>3</v>
      </c>
      <c r="F13" s="23">
        <f t="shared" si="3"/>
        <v>0.66666666666666663</v>
      </c>
      <c r="G13" s="23">
        <f t="shared" si="4"/>
        <v>1</v>
      </c>
      <c r="H13" s="23">
        <f t="shared" si="5"/>
        <v>0.8</v>
      </c>
      <c r="I13" s="1">
        <f>SUMIF('GuestAttackPlay-by-Play'!$M:$M,B13,'GuestAttackPlay-by-Play'!$AN:$AN)</f>
        <v>0</v>
      </c>
      <c r="J13" s="1">
        <f>COUNTIFS('GuestAttackPlay-by-Play'!$AE:$AE,"*"&amp;B13&amp;"*")</f>
        <v>2</v>
      </c>
      <c r="K13" s="1">
        <f t="shared" si="6"/>
        <v>2</v>
      </c>
      <c r="L13" s="1">
        <f>COUNTIFS('GuestAttackPlay-by-Play'!$M:$M,GuestHitterData!B13,'GuestAttackPlay-by-Play'!$R:$R,"一壘安")</f>
        <v>1</v>
      </c>
      <c r="M13" s="1">
        <f>COUNTIFS('GuestAttackPlay-by-Play'!$M:$M,GuestHitterData!B13,'GuestAttackPlay-by-Play'!$R:$R,"二壘安")</f>
        <v>1</v>
      </c>
      <c r="N13" s="1">
        <f>COUNTIFS('GuestAttackPlay-by-Play'!$M:$M,GuestHitterData!B13,'GuestAttackPlay-by-Play'!$R:$R,"三壘安")</f>
        <v>0</v>
      </c>
      <c r="O13" s="1">
        <f>COUNTIFS('GuestAttackPlay-by-Play'!$M:$M,GuestHitterData!B13,'GuestAttackPlay-by-Play'!$R:$R,"全壘打")</f>
        <v>0</v>
      </c>
      <c r="P13" s="1">
        <f t="shared" si="7"/>
        <v>3</v>
      </c>
      <c r="Q13" s="1">
        <f>COUNTIFS('GuestAttackPlay-by-Play'!$M:$M,GuestHitterData!B13,'GuestAttackPlay-by-Play'!$R:$R,"雙殺打")</f>
        <v>0</v>
      </c>
      <c r="R13" s="1">
        <f>COUNTIFS('GuestAttackPlay-by-Play'!$M:$M,GuestHitterData!B13,'GuestAttackPlay-by-Play'!$R:$R,"犧牲觸擊")</f>
        <v>0</v>
      </c>
      <c r="S13" s="1">
        <f>COUNTIFS('GuestAttackPlay-by-Play'!$M:$M,GuestHitterData!B13,'GuestAttackPlay-by-Play'!$R:$R,"高飛犧牲")</f>
        <v>0</v>
      </c>
      <c r="T13" s="1">
        <f>COUNTIFS('GuestAttackPlay-by-Play'!$M:$M,GuestHitterData!B13,'GuestAttackPlay-by-Play'!$R:$R,"四壞")</f>
        <v>2</v>
      </c>
      <c r="U13" s="1">
        <f>COUNTIFS('GuestAttackPlay-by-Play'!$M:$M,GuestHitterData!B13,'GuestAttackPlay-by-Play'!$R:$R,"敬遠")</f>
        <v>0</v>
      </c>
      <c r="V13" s="1">
        <f>COUNTIFS('GuestAttackPlay-by-Play'!$M:$M,GuestHitterData!B13,'GuestAttackPlay-by-Play'!$R:$R,"觸身球")</f>
        <v>0</v>
      </c>
      <c r="W13" s="1">
        <f>COUNTIFS('GuestAttackPlay-by-Play'!$M:$M,GuestHitterData!B13,'GuestAttackPlay-by-Play'!$R:$R,"*三振")</f>
        <v>1</v>
      </c>
      <c r="X13" s="1">
        <f t="shared" si="8"/>
        <v>0</v>
      </c>
      <c r="Y13" s="1">
        <f>COUNTIFS('GuestAttackPlay-by-Play'!$AC:$AC,GuestHitterData!B13,'GuestAttackPlay-by-Play'!$AA:$AA,"盜二成功")</f>
        <v>0</v>
      </c>
      <c r="Z13" s="1">
        <f>COUNTIFS('GuestAttackPlay-by-Play'!$AD:$AD,GuestHitterData!B13,'GuestAttackPlay-by-Play'!$AA:$AA,"盜三成功")</f>
        <v>0</v>
      </c>
      <c r="AA13" s="1">
        <f>COUNTIFS('GuestAttackPlay-by-Play'!$AE:$AE,"."&amp;GuestHitterData!B13,'GuestAttackPlay-by-Play'!$AA:$AA,"盜本成功")</f>
        <v>0</v>
      </c>
      <c r="AB13" s="1">
        <f>COUNTIFS('GuestAttackPlay-by-Play'!$AR:$AR,"*"&amp;B13&amp;"*",'GuestAttackPlay-by-Play'!$AA:$AA,"盜*出局")</f>
        <v>0</v>
      </c>
      <c r="AC13" s="23">
        <f t="shared" si="1"/>
        <v>0</v>
      </c>
      <c r="AD13" s="23">
        <f t="shared" si="2"/>
        <v>1.8</v>
      </c>
      <c r="AE13" s="1">
        <f>COUNTIFS('GuestAttackPlay-by-Play'!$M:$M,GuestHitterData!B13,'GuestAttackPlay-by-Play'!$R:$R,"妨礙打擊")</f>
        <v>0</v>
      </c>
    </row>
    <row r="14" spans="1:59" x14ac:dyDescent="0.3">
      <c r="A14" s="39">
        <f>IF(Roster!K14="","-",Roster!K14)</f>
        <v>9</v>
      </c>
      <c r="B14" s="39" t="str">
        <f>IF(A14="-","-",VLOOKUP(A14,Roster!$K$2:$L$27,2,FALSE))</f>
        <v>兄弟王威晨</v>
      </c>
      <c r="C14" s="1" t="str">
        <f>IF(COUNTIF('GuestAttackPlay-by-Play'!$M:$AR,GuestHitterData!B14)&gt;=1,"1","0")</f>
        <v>1</v>
      </c>
      <c r="D14" s="1">
        <f>COUNTIFS('GuestAttackPlay-by-Play'!$M:$M,GuestHitterData!B14,'GuestAttackPlay-by-Play'!$AM:$AM,"1")</f>
        <v>6</v>
      </c>
      <c r="E14" s="1">
        <f t="shared" si="0"/>
        <v>6</v>
      </c>
      <c r="F14" s="23">
        <f t="shared" si="3"/>
        <v>0.5</v>
      </c>
      <c r="G14" s="23">
        <f t="shared" si="4"/>
        <v>0.5</v>
      </c>
      <c r="H14" s="23">
        <f t="shared" si="5"/>
        <v>0.5</v>
      </c>
      <c r="I14" s="1">
        <f>SUMIF('GuestAttackPlay-by-Play'!$M:$M,B14,'GuestAttackPlay-by-Play'!$AN:$AN)</f>
        <v>0</v>
      </c>
      <c r="J14" s="1">
        <f>COUNTIFS('GuestAttackPlay-by-Play'!$AE:$AE,"*"&amp;B14&amp;"*")</f>
        <v>0</v>
      </c>
      <c r="K14" s="1">
        <f t="shared" si="6"/>
        <v>3</v>
      </c>
      <c r="L14" s="1">
        <f>COUNTIFS('GuestAttackPlay-by-Play'!$M:$M,GuestHitterData!B14,'GuestAttackPlay-by-Play'!$R:$R,"一壘安")</f>
        <v>3</v>
      </c>
      <c r="M14" s="1">
        <f>COUNTIFS('GuestAttackPlay-by-Play'!$M:$M,GuestHitterData!B14,'GuestAttackPlay-by-Play'!$R:$R,"二壘安")</f>
        <v>0</v>
      </c>
      <c r="N14" s="1">
        <f>COUNTIFS('GuestAttackPlay-by-Play'!$M:$M,GuestHitterData!B14,'GuestAttackPlay-by-Play'!$R:$R,"三壘安")</f>
        <v>0</v>
      </c>
      <c r="O14" s="1">
        <f>COUNTIFS('GuestAttackPlay-by-Play'!$M:$M,GuestHitterData!B14,'GuestAttackPlay-by-Play'!$R:$R,"全壘打")</f>
        <v>0</v>
      </c>
      <c r="P14" s="1">
        <f t="shared" si="7"/>
        <v>3</v>
      </c>
      <c r="Q14" s="1">
        <f>COUNTIFS('GuestAttackPlay-by-Play'!$M:$M,GuestHitterData!B14,'GuestAttackPlay-by-Play'!$R:$R,"雙殺打")</f>
        <v>0</v>
      </c>
      <c r="R14" s="1">
        <f>COUNTIFS('GuestAttackPlay-by-Play'!$M:$M,GuestHitterData!B14,'GuestAttackPlay-by-Play'!$R:$R,"犧牲觸擊")</f>
        <v>0</v>
      </c>
      <c r="S14" s="1">
        <f>COUNTIFS('GuestAttackPlay-by-Play'!$M:$M,GuestHitterData!B14,'GuestAttackPlay-by-Play'!$R:$R,"高飛犧牲")</f>
        <v>0</v>
      </c>
      <c r="T14" s="1">
        <f>COUNTIFS('GuestAttackPlay-by-Play'!$M:$M,GuestHitterData!B14,'GuestAttackPlay-by-Play'!$R:$R,"四壞")</f>
        <v>0</v>
      </c>
      <c r="U14" s="1">
        <f>COUNTIFS('GuestAttackPlay-by-Play'!$M:$M,GuestHitterData!B14,'GuestAttackPlay-by-Play'!$R:$R,"敬遠")</f>
        <v>0</v>
      </c>
      <c r="V14" s="1">
        <f>COUNTIFS('GuestAttackPlay-by-Play'!$M:$M,GuestHitterData!B14,'GuestAttackPlay-by-Play'!$R:$R,"觸身球")</f>
        <v>0</v>
      </c>
      <c r="W14" s="1">
        <f>COUNTIFS('GuestAttackPlay-by-Play'!$M:$M,GuestHitterData!B14,'GuestAttackPlay-by-Play'!$R:$R,"*三振")</f>
        <v>1</v>
      </c>
      <c r="X14" s="1">
        <f t="shared" si="8"/>
        <v>0</v>
      </c>
      <c r="Y14" s="1">
        <f>COUNTIFS('GuestAttackPlay-by-Play'!$AC:$AC,GuestHitterData!B14,'GuestAttackPlay-by-Play'!$AA:$AA,"盜二成功")</f>
        <v>0</v>
      </c>
      <c r="Z14" s="1">
        <f>COUNTIFS('GuestAttackPlay-by-Play'!$AD:$AD,GuestHitterData!B14,'GuestAttackPlay-by-Play'!$AA:$AA,"盜三成功")</f>
        <v>0</v>
      </c>
      <c r="AA14" s="1">
        <f>COUNTIFS('GuestAttackPlay-by-Play'!$AE:$AE,"."&amp;GuestHitterData!B14,'GuestAttackPlay-by-Play'!$AA:$AA,"盜本成功")</f>
        <v>0</v>
      </c>
      <c r="AB14" s="1">
        <f>COUNTIFS('GuestAttackPlay-by-Play'!$AR:$AR,"*"&amp;B14&amp;"*",'GuestAttackPlay-by-Play'!$AA:$AA,"盜*出局")</f>
        <v>0</v>
      </c>
      <c r="AC14" s="23">
        <f t="shared" si="1"/>
        <v>0</v>
      </c>
      <c r="AD14" s="23">
        <f t="shared" si="2"/>
        <v>1</v>
      </c>
      <c r="AE14" s="1">
        <f>COUNTIFS('GuestAttackPlay-by-Play'!$M:$M,GuestHitterData!B14,'GuestAttackPlay-by-Play'!$R:$R,"妨礙打擊")</f>
        <v>0</v>
      </c>
    </row>
    <row r="15" spans="1:59" x14ac:dyDescent="0.3">
      <c r="A15" s="39">
        <f>IF(Roster!K15="","-",Roster!K15)</f>
        <v>12</v>
      </c>
      <c r="B15" s="39" t="str">
        <f>IF(A15="-","-",VLOOKUP(A15,Roster!$K$2:$L$27,2,FALSE))</f>
        <v>兄弟林明杰</v>
      </c>
      <c r="C15" s="1" t="str">
        <f>IF(COUNTIF('GuestAttackPlay-by-Play'!$M:$AR,GuestHitterData!B15)&gt;=1,"1","0")</f>
        <v>0</v>
      </c>
      <c r="D15" s="1">
        <f>COUNTIFS('GuestAttackPlay-by-Play'!$M:$M,GuestHitterData!B15,'GuestAttackPlay-by-Play'!$AM:$AM,"1")</f>
        <v>0</v>
      </c>
      <c r="E15" s="1">
        <f t="shared" si="0"/>
        <v>0</v>
      </c>
      <c r="F15" s="23">
        <f t="shared" si="3"/>
        <v>0</v>
      </c>
      <c r="G15" s="23">
        <f t="shared" si="4"/>
        <v>0</v>
      </c>
      <c r="H15" s="23">
        <f t="shared" si="5"/>
        <v>0</v>
      </c>
      <c r="I15" s="1">
        <f>SUMIF('GuestAttackPlay-by-Play'!$M:$M,B15,'GuestAttackPlay-by-Play'!$AN:$AN)</f>
        <v>0</v>
      </c>
      <c r="J15" s="1">
        <f>COUNTIFS('GuestAttackPlay-by-Play'!$AE:$AE,"*"&amp;B15&amp;"*")</f>
        <v>0</v>
      </c>
      <c r="K15" s="1">
        <f t="shared" si="6"/>
        <v>0</v>
      </c>
      <c r="L15" s="1">
        <f>COUNTIFS('GuestAttackPlay-by-Play'!$M:$M,GuestHitterData!B15,'GuestAttackPlay-by-Play'!$R:$R,"一壘安")</f>
        <v>0</v>
      </c>
      <c r="M15" s="1">
        <f>COUNTIFS('GuestAttackPlay-by-Play'!$M:$M,GuestHitterData!B15,'GuestAttackPlay-by-Play'!$R:$R,"二壘安")</f>
        <v>0</v>
      </c>
      <c r="N15" s="1">
        <f>COUNTIFS('GuestAttackPlay-by-Play'!$M:$M,GuestHitterData!B15,'GuestAttackPlay-by-Play'!$R:$R,"三壘安")</f>
        <v>0</v>
      </c>
      <c r="O15" s="1">
        <f>COUNTIFS('GuestAttackPlay-by-Play'!$M:$M,GuestHitterData!B15,'GuestAttackPlay-by-Play'!$R:$R,"全壘打")</f>
        <v>0</v>
      </c>
      <c r="P15" s="1">
        <f t="shared" si="7"/>
        <v>0</v>
      </c>
      <c r="Q15" s="1">
        <f>COUNTIFS('GuestAttackPlay-by-Play'!$M:$M,GuestHitterData!B15,'GuestAttackPlay-by-Play'!$R:$R,"雙殺打")</f>
        <v>0</v>
      </c>
      <c r="R15" s="1">
        <f>COUNTIFS('GuestAttackPlay-by-Play'!$M:$M,GuestHitterData!B15,'GuestAttackPlay-by-Play'!$R:$R,"犧牲觸擊")</f>
        <v>0</v>
      </c>
      <c r="S15" s="1">
        <f>COUNTIFS('GuestAttackPlay-by-Play'!$M:$M,GuestHitterData!B15,'GuestAttackPlay-by-Play'!$R:$R,"高飛犧牲")</f>
        <v>0</v>
      </c>
      <c r="T15" s="1">
        <f>COUNTIFS('GuestAttackPlay-by-Play'!$M:$M,GuestHitterData!B15,'GuestAttackPlay-by-Play'!$R:$R,"四壞")</f>
        <v>0</v>
      </c>
      <c r="U15" s="1">
        <f>COUNTIFS('GuestAttackPlay-by-Play'!$M:$M,GuestHitterData!B15,'GuestAttackPlay-by-Play'!$R:$R,"敬遠")</f>
        <v>0</v>
      </c>
      <c r="V15" s="1">
        <f>COUNTIFS('GuestAttackPlay-by-Play'!$M:$M,GuestHitterData!B15,'GuestAttackPlay-by-Play'!$R:$R,"觸身球")</f>
        <v>0</v>
      </c>
      <c r="W15" s="1">
        <f>COUNTIFS('GuestAttackPlay-by-Play'!$M:$M,GuestHitterData!B15,'GuestAttackPlay-by-Play'!$R:$R,"*三振")</f>
        <v>0</v>
      </c>
      <c r="X15" s="1">
        <f t="shared" si="8"/>
        <v>0</v>
      </c>
      <c r="Y15" s="1">
        <f>COUNTIFS('GuestAttackPlay-by-Play'!$AC:$AC,GuestHitterData!B15,'GuestAttackPlay-by-Play'!$AA:$AA,"盜二成功")</f>
        <v>0</v>
      </c>
      <c r="Z15" s="1">
        <f>COUNTIFS('GuestAttackPlay-by-Play'!$AD:$AD,GuestHitterData!B15,'GuestAttackPlay-by-Play'!$AA:$AA,"盜三成功")</f>
        <v>0</v>
      </c>
      <c r="AA15" s="1">
        <f>COUNTIFS('GuestAttackPlay-by-Play'!$AE:$AE,"."&amp;GuestHitterData!B15,'GuestAttackPlay-by-Play'!$AA:$AA,"盜本成功")</f>
        <v>0</v>
      </c>
      <c r="AB15" s="1">
        <f>COUNTIFS('GuestAttackPlay-by-Play'!$AR:$AR,"*"&amp;B15&amp;"*",'GuestAttackPlay-by-Play'!$AA:$AA,"盜*出局")</f>
        <v>0</v>
      </c>
      <c r="AC15" s="23">
        <f t="shared" si="1"/>
        <v>0</v>
      </c>
      <c r="AD15" s="23">
        <f t="shared" si="2"/>
        <v>0</v>
      </c>
      <c r="AE15" s="1">
        <f>COUNTIFS('GuestAttackPlay-by-Play'!$M:$M,GuestHitterData!B15,'GuestAttackPlay-by-Play'!$R:$R,"妨礙打擊")</f>
        <v>0</v>
      </c>
    </row>
    <row r="16" spans="1:59" x14ac:dyDescent="0.3">
      <c r="A16" s="39">
        <f>IF(Roster!K16="","-",Roster!K16)</f>
        <v>16</v>
      </c>
      <c r="B16" s="39" t="str">
        <f>IF(A16="-","-",VLOOKUP(A16,Roster!$K$2:$L$27,2,FALSE))</f>
        <v>兄弟周思齊</v>
      </c>
      <c r="C16" s="1" t="str">
        <f>IF(COUNTIF('GuestAttackPlay-by-Play'!$M:$AR,GuestHitterData!B16)&gt;=1,"1","0")</f>
        <v>0</v>
      </c>
      <c r="D16" s="1">
        <f>COUNTIFS('GuestAttackPlay-by-Play'!$M:$M,GuestHitterData!B16,'GuestAttackPlay-by-Play'!$AM:$AM,"1")</f>
        <v>0</v>
      </c>
      <c r="E16" s="1">
        <f t="shared" si="0"/>
        <v>0</v>
      </c>
      <c r="F16" s="23">
        <f t="shared" si="3"/>
        <v>0</v>
      </c>
      <c r="G16" s="23">
        <f t="shared" si="4"/>
        <v>0</v>
      </c>
      <c r="H16" s="23">
        <f t="shared" si="5"/>
        <v>0</v>
      </c>
      <c r="I16" s="1">
        <f>SUMIF('GuestAttackPlay-by-Play'!$M:$M,B16,'GuestAttackPlay-by-Play'!$AN:$AN)</f>
        <v>0</v>
      </c>
      <c r="J16" s="1">
        <f>COUNTIFS('GuestAttackPlay-by-Play'!$AE:$AE,"*"&amp;B16&amp;"*")</f>
        <v>0</v>
      </c>
      <c r="K16" s="1">
        <f t="shared" si="6"/>
        <v>0</v>
      </c>
      <c r="L16" s="1">
        <f>COUNTIFS('GuestAttackPlay-by-Play'!$M:$M,GuestHitterData!B16,'GuestAttackPlay-by-Play'!$R:$R,"一壘安")</f>
        <v>0</v>
      </c>
      <c r="M16" s="1">
        <f>COUNTIFS('GuestAttackPlay-by-Play'!$M:$M,GuestHitterData!B16,'GuestAttackPlay-by-Play'!$R:$R,"二壘安")</f>
        <v>0</v>
      </c>
      <c r="N16" s="1">
        <f>COUNTIFS('GuestAttackPlay-by-Play'!$M:$M,GuestHitterData!B16,'GuestAttackPlay-by-Play'!$R:$R,"三壘安")</f>
        <v>0</v>
      </c>
      <c r="O16" s="1">
        <f>COUNTIFS('GuestAttackPlay-by-Play'!$M:$M,GuestHitterData!B16,'GuestAttackPlay-by-Play'!$R:$R,"全壘打")</f>
        <v>0</v>
      </c>
      <c r="P16" s="1">
        <f t="shared" si="7"/>
        <v>0</v>
      </c>
      <c r="Q16" s="1">
        <f>COUNTIFS('GuestAttackPlay-by-Play'!$M:$M,GuestHitterData!B16,'GuestAttackPlay-by-Play'!$R:$R,"雙殺打")</f>
        <v>0</v>
      </c>
      <c r="R16" s="1">
        <f>COUNTIFS('GuestAttackPlay-by-Play'!$M:$M,GuestHitterData!B16,'GuestAttackPlay-by-Play'!$R:$R,"犧牲觸擊")</f>
        <v>0</v>
      </c>
      <c r="S16" s="1">
        <f>COUNTIFS('GuestAttackPlay-by-Play'!$M:$M,GuestHitterData!B16,'GuestAttackPlay-by-Play'!$R:$R,"高飛犧牲")</f>
        <v>0</v>
      </c>
      <c r="T16" s="1">
        <f>COUNTIFS('GuestAttackPlay-by-Play'!$M:$M,GuestHitterData!B16,'GuestAttackPlay-by-Play'!$R:$R,"四壞")</f>
        <v>0</v>
      </c>
      <c r="U16" s="1">
        <f>COUNTIFS('GuestAttackPlay-by-Play'!$M:$M,GuestHitterData!B16,'GuestAttackPlay-by-Play'!$R:$R,"敬遠")</f>
        <v>0</v>
      </c>
      <c r="V16" s="1">
        <f>COUNTIFS('GuestAttackPlay-by-Play'!$M:$M,GuestHitterData!B16,'GuestAttackPlay-by-Play'!$R:$R,"觸身球")</f>
        <v>0</v>
      </c>
      <c r="W16" s="1">
        <f>COUNTIFS('GuestAttackPlay-by-Play'!$M:$M,GuestHitterData!B16,'GuestAttackPlay-by-Play'!$R:$R,"*三振")</f>
        <v>0</v>
      </c>
      <c r="X16" s="1">
        <f t="shared" si="8"/>
        <v>0</v>
      </c>
      <c r="Y16" s="1">
        <f>COUNTIFS('GuestAttackPlay-by-Play'!$AC:$AC,GuestHitterData!B16,'GuestAttackPlay-by-Play'!$AA:$AA,"盜二成功")</f>
        <v>0</v>
      </c>
      <c r="Z16" s="1">
        <f>COUNTIFS('GuestAttackPlay-by-Play'!$AD:$AD,GuestHitterData!B16,'GuestAttackPlay-by-Play'!$AA:$AA,"盜三成功")</f>
        <v>0</v>
      </c>
      <c r="AA16" s="1">
        <f>COUNTIFS('GuestAttackPlay-by-Play'!$AE:$AE,"."&amp;GuestHitterData!B16,'GuestAttackPlay-by-Play'!$AA:$AA,"盜本成功")</f>
        <v>0</v>
      </c>
      <c r="AB16" s="1">
        <f>COUNTIFS('GuestAttackPlay-by-Play'!$AR:$AR,"*"&amp;B16&amp;"*",'GuestAttackPlay-by-Play'!$AA:$AA,"盜*出局")</f>
        <v>0</v>
      </c>
      <c r="AC16" s="23">
        <f t="shared" si="1"/>
        <v>0</v>
      </c>
      <c r="AD16" s="23">
        <f t="shared" si="2"/>
        <v>0</v>
      </c>
      <c r="AE16" s="1">
        <f>COUNTIFS('GuestAttackPlay-by-Play'!$M:$M,GuestHitterData!B16,'GuestAttackPlay-by-Play'!$R:$R,"妨礙打擊")</f>
        <v>0</v>
      </c>
    </row>
    <row r="17" spans="1:31" x14ac:dyDescent="0.3">
      <c r="A17" s="39">
        <f>IF(Roster!K17="","-",Roster!K17)</f>
        <v>25</v>
      </c>
      <c r="B17" s="39" t="str">
        <f>IF(A17="-","-",VLOOKUP(A17,Roster!$K$2:$L$27,2,FALSE))</f>
        <v>兄弟林智勝</v>
      </c>
      <c r="C17" s="1" t="str">
        <f>IF(COUNTIF('GuestAttackPlay-by-Play'!$M:$AR,GuestHitterData!B17)&gt;=1,"1","0")</f>
        <v>1</v>
      </c>
      <c r="D17" s="1">
        <f>COUNTIFS('GuestAttackPlay-by-Play'!$M:$M,GuestHitterData!B17,'GuestAttackPlay-by-Play'!$AM:$AM,"1")</f>
        <v>5</v>
      </c>
      <c r="E17" s="1">
        <f t="shared" si="0"/>
        <v>5</v>
      </c>
      <c r="F17" s="23">
        <f t="shared" si="3"/>
        <v>0.2</v>
      </c>
      <c r="G17" s="23">
        <f t="shared" si="4"/>
        <v>0.8</v>
      </c>
      <c r="H17" s="23">
        <f t="shared" si="5"/>
        <v>0.2</v>
      </c>
      <c r="I17" s="1">
        <f>SUMIF('GuestAttackPlay-by-Play'!$M:$M,B17,'GuestAttackPlay-by-Play'!$AN:$AN)</f>
        <v>0</v>
      </c>
      <c r="J17" s="1">
        <f>COUNTIFS('GuestAttackPlay-by-Play'!$AE:$AE,"*"&amp;B17&amp;"*")</f>
        <v>1</v>
      </c>
      <c r="K17" s="1">
        <f t="shared" si="6"/>
        <v>1</v>
      </c>
      <c r="L17" s="1">
        <f>COUNTIFS('GuestAttackPlay-by-Play'!$M:$M,GuestHitterData!B17,'GuestAttackPlay-by-Play'!$R:$R,"一壘安")</f>
        <v>0</v>
      </c>
      <c r="M17" s="1">
        <f>COUNTIFS('GuestAttackPlay-by-Play'!$M:$M,GuestHitterData!B17,'GuestAttackPlay-by-Play'!$R:$R,"二壘安")</f>
        <v>0</v>
      </c>
      <c r="N17" s="1">
        <f>COUNTIFS('GuestAttackPlay-by-Play'!$M:$M,GuestHitterData!B17,'GuestAttackPlay-by-Play'!$R:$R,"三壘安")</f>
        <v>0</v>
      </c>
      <c r="O17" s="1">
        <f>COUNTIFS('GuestAttackPlay-by-Play'!$M:$M,GuestHitterData!B17,'GuestAttackPlay-by-Play'!$R:$R,"全壘打")</f>
        <v>1</v>
      </c>
      <c r="P17" s="1">
        <f t="shared" si="7"/>
        <v>4</v>
      </c>
      <c r="Q17" s="1">
        <f>COUNTIFS('GuestAttackPlay-by-Play'!$M:$M,GuestHitterData!B17,'GuestAttackPlay-by-Play'!$R:$R,"雙殺打")</f>
        <v>2</v>
      </c>
      <c r="R17" s="1">
        <f>COUNTIFS('GuestAttackPlay-by-Play'!$M:$M,GuestHitterData!B17,'GuestAttackPlay-by-Play'!$R:$R,"犧牲觸擊")</f>
        <v>0</v>
      </c>
      <c r="S17" s="1">
        <f>COUNTIFS('GuestAttackPlay-by-Play'!$M:$M,GuestHitterData!B17,'GuestAttackPlay-by-Play'!$R:$R,"高飛犧牲")</f>
        <v>0</v>
      </c>
      <c r="T17" s="1">
        <f>COUNTIFS('GuestAttackPlay-by-Play'!$M:$M,GuestHitterData!B17,'GuestAttackPlay-by-Play'!$R:$R,"四壞")</f>
        <v>0</v>
      </c>
      <c r="U17" s="1">
        <f>COUNTIFS('GuestAttackPlay-by-Play'!$M:$M,GuestHitterData!B17,'GuestAttackPlay-by-Play'!$R:$R,"敬遠")</f>
        <v>0</v>
      </c>
      <c r="V17" s="1">
        <f>COUNTIFS('GuestAttackPlay-by-Play'!$M:$M,GuestHitterData!B17,'GuestAttackPlay-by-Play'!$R:$R,"觸身球")</f>
        <v>0</v>
      </c>
      <c r="W17" s="1">
        <f>COUNTIFS('GuestAttackPlay-by-Play'!$M:$M,GuestHitterData!B17,'GuestAttackPlay-by-Play'!$R:$R,"*三振")</f>
        <v>2</v>
      </c>
      <c r="X17" s="1">
        <f t="shared" si="8"/>
        <v>0</v>
      </c>
      <c r="Y17" s="1">
        <f>COUNTIFS('GuestAttackPlay-by-Play'!$AC:$AC,GuestHitterData!B17,'GuestAttackPlay-by-Play'!$AA:$AA,"盜二成功")</f>
        <v>0</v>
      </c>
      <c r="Z17" s="1">
        <f>COUNTIFS('GuestAttackPlay-by-Play'!$AD:$AD,GuestHitterData!B17,'GuestAttackPlay-by-Play'!$AA:$AA,"盜三成功")</f>
        <v>0</v>
      </c>
      <c r="AA17" s="1">
        <f>COUNTIFS('GuestAttackPlay-by-Play'!$AE:$AE,"."&amp;GuestHitterData!B17,'GuestAttackPlay-by-Play'!$AA:$AA,"盜本成功")</f>
        <v>0</v>
      </c>
      <c r="AB17" s="1">
        <f>COUNTIFS('GuestAttackPlay-by-Play'!$AR:$AR,"*"&amp;B17&amp;"*",'GuestAttackPlay-by-Play'!$AA:$AA,"盜*出局")</f>
        <v>0</v>
      </c>
      <c r="AC17" s="23">
        <f t="shared" si="1"/>
        <v>0</v>
      </c>
      <c r="AD17" s="23">
        <f t="shared" si="2"/>
        <v>1</v>
      </c>
      <c r="AE17" s="1">
        <f>COUNTIFS('GuestAttackPlay-by-Play'!$M:$M,GuestHitterData!B17,'GuestAttackPlay-by-Play'!$R:$R,"妨礙打擊")</f>
        <v>0</v>
      </c>
    </row>
    <row r="18" spans="1:31" x14ac:dyDescent="0.3">
      <c r="A18" s="39">
        <f>IF(Roster!K18="","-",Roster!K18)</f>
        <v>32</v>
      </c>
      <c r="B18" s="39" t="str">
        <f>IF(A18="-","-",VLOOKUP(A18,Roster!$K$2:$L$27,2,FALSE))</f>
        <v>兄弟曾頌恩</v>
      </c>
      <c r="C18" s="1" t="str">
        <f>IF(COUNTIF('GuestAttackPlay-by-Play'!$M:$AR,GuestHitterData!B18)&gt;=1,"1","0")</f>
        <v>0</v>
      </c>
      <c r="D18" s="1">
        <f>COUNTIFS('GuestAttackPlay-by-Play'!$M:$M,GuestHitterData!B18,'GuestAttackPlay-by-Play'!$AM:$AM,"1")</f>
        <v>0</v>
      </c>
      <c r="E18" s="1">
        <f t="shared" si="0"/>
        <v>0</v>
      </c>
      <c r="F18" s="23">
        <f t="shared" si="3"/>
        <v>0</v>
      </c>
      <c r="G18" s="23">
        <f t="shared" si="4"/>
        <v>0</v>
      </c>
      <c r="H18" s="23">
        <f t="shared" si="5"/>
        <v>0</v>
      </c>
      <c r="I18" s="1">
        <f>SUMIF('GuestAttackPlay-by-Play'!$M:$M,B18,'GuestAttackPlay-by-Play'!$AN:$AN)</f>
        <v>0</v>
      </c>
      <c r="J18" s="1">
        <f>COUNTIFS('GuestAttackPlay-by-Play'!$AE:$AE,"*"&amp;B18&amp;"*")</f>
        <v>0</v>
      </c>
      <c r="K18" s="1">
        <f t="shared" si="6"/>
        <v>0</v>
      </c>
      <c r="L18" s="1">
        <f>COUNTIFS('GuestAttackPlay-by-Play'!$M:$M,GuestHitterData!B18,'GuestAttackPlay-by-Play'!$R:$R,"一壘安")</f>
        <v>0</v>
      </c>
      <c r="M18" s="1">
        <f>COUNTIFS('GuestAttackPlay-by-Play'!$M:$M,GuestHitterData!B18,'GuestAttackPlay-by-Play'!$R:$R,"二壘安")</f>
        <v>0</v>
      </c>
      <c r="N18" s="1">
        <f>COUNTIFS('GuestAttackPlay-by-Play'!$M:$M,GuestHitterData!B18,'GuestAttackPlay-by-Play'!$R:$R,"三壘安")</f>
        <v>0</v>
      </c>
      <c r="O18" s="1">
        <f>COUNTIFS('GuestAttackPlay-by-Play'!$M:$M,GuestHitterData!B18,'GuestAttackPlay-by-Play'!$R:$R,"全壘打")</f>
        <v>0</v>
      </c>
      <c r="P18" s="1">
        <f t="shared" si="7"/>
        <v>0</v>
      </c>
      <c r="Q18" s="1">
        <f>COUNTIFS('GuestAttackPlay-by-Play'!$M:$M,GuestHitterData!B18,'GuestAttackPlay-by-Play'!$R:$R,"雙殺打")</f>
        <v>0</v>
      </c>
      <c r="R18" s="1">
        <f>COUNTIFS('GuestAttackPlay-by-Play'!$M:$M,GuestHitterData!B18,'GuestAttackPlay-by-Play'!$R:$R,"犧牲觸擊")</f>
        <v>0</v>
      </c>
      <c r="S18" s="1">
        <f>COUNTIFS('GuestAttackPlay-by-Play'!$M:$M,GuestHitterData!B18,'GuestAttackPlay-by-Play'!$R:$R,"高飛犧牲")</f>
        <v>0</v>
      </c>
      <c r="T18" s="1">
        <f>COUNTIFS('GuestAttackPlay-by-Play'!$M:$M,GuestHitterData!B18,'GuestAttackPlay-by-Play'!$R:$R,"四壞")</f>
        <v>0</v>
      </c>
      <c r="U18" s="1">
        <f>COUNTIFS('GuestAttackPlay-by-Play'!$M:$M,GuestHitterData!B18,'GuestAttackPlay-by-Play'!$R:$R,"敬遠")</f>
        <v>0</v>
      </c>
      <c r="V18" s="1">
        <f>COUNTIFS('GuestAttackPlay-by-Play'!$M:$M,GuestHitterData!B18,'GuestAttackPlay-by-Play'!$R:$R,"觸身球")</f>
        <v>0</v>
      </c>
      <c r="W18" s="1">
        <f>COUNTIFS('GuestAttackPlay-by-Play'!$M:$M,GuestHitterData!B18,'GuestAttackPlay-by-Play'!$R:$R,"*三振")</f>
        <v>0</v>
      </c>
      <c r="X18" s="1">
        <f t="shared" si="8"/>
        <v>0</v>
      </c>
      <c r="Y18" s="1">
        <f>COUNTIFS('GuestAttackPlay-by-Play'!$AC:$AC,GuestHitterData!B18,'GuestAttackPlay-by-Play'!$AA:$AA,"盜二成功")</f>
        <v>0</v>
      </c>
      <c r="Z18" s="1">
        <f>COUNTIFS('GuestAttackPlay-by-Play'!$AD:$AD,GuestHitterData!B18,'GuestAttackPlay-by-Play'!$AA:$AA,"盜三成功")</f>
        <v>0</v>
      </c>
      <c r="AA18" s="1">
        <f>COUNTIFS('GuestAttackPlay-by-Play'!$AE:$AE,"."&amp;GuestHitterData!B18,'GuestAttackPlay-by-Play'!$AA:$AA,"盜本成功")</f>
        <v>0</v>
      </c>
      <c r="AB18" s="1">
        <f>COUNTIFS('GuestAttackPlay-by-Play'!$AR:$AR,"*"&amp;B18&amp;"*",'GuestAttackPlay-by-Play'!$AA:$AA,"盜*出局")</f>
        <v>0</v>
      </c>
      <c r="AC18" s="23">
        <f t="shared" si="1"/>
        <v>0</v>
      </c>
      <c r="AD18" s="23">
        <f t="shared" si="2"/>
        <v>0</v>
      </c>
      <c r="AE18" s="1">
        <f>COUNTIFS('GuestAttackPlay-by-Play'!$M:$M,GuestHitterData!B18,'GuestAttackPlay-by-Play'!$R:$R,"妨礙打擊")</f>
        <v>0</v>
      </c>
    </row>
    <row r="19" spans="1:31" x14ac:dyDescent="0.3">
      <c r="A19" s="39">
        <f>IF(Roster!K19="","-",Roster!K19)</f>
        <v>39</v>
      </c>
      <c r="B19" s="39" t="str">
        <f>IF(A19="-","-",VLOOKUP(A19,Roster!$K$2:$L$27,2,FALSE))</f>
        <v>兄弟詹子賢</v>
      </c>
      <c r="C19" s="1" t="str">
        <f>IF(COUNTIF('GuestAttackPlay-by-Play'!$M:$AR,GuestHitterData!B19)&gt;=1,"1","0")</f>
        <v>1</v>
      </c>
      <c r="D19" s="1">
        <f>COUNTIFS('GuestAttackPlay-by-Play'!$M:$M,GuestHitterData!B19,'GuestAttackPlay-by-Play'!$AM:$AM,"1")</f>
        <v>5</v>
      </c>
      <c r="E19" s="1">
        <f t="shared" si="0"/>
        <v>3</v>
      </c>
      <c r="F19" s="23">
        <f t="shared" si="3"/>
        <v>0</v>
      </c>
      <c r="G19" s="23">
        <f t="shared" si="4"/>
        <v>0</v>
      </c>
      <c r="H19" s="23">
        <f t="shared" si="5"/>
        <v>0.4</v>
      </c>
      <c r="I19" s="1">
        <f>SUMIF('GuestAttackPlay-by-Play'!$M:$M,B19,'GuestAttackPlay-by-Play'!$AN:$AN)</f>
        <v>0</v>
      </c>
      <c r="J19" s="1">
        <f>COUNTIFS('GuestAttackPlay-by-Play'!$AE:$AE,"*"&amp;B19&amp;"*")</f>
        <v>0</v>
      </c>
      <c r="K19" s="1">
        <f t="shared" si="6"/>
        <v>0</v>
      </c>
      <c r="L19" s="1">
        <f>COUNTIFS('GuestAttackPlay-by-Play'!$M:$M,GuestHitterData!B19,'GuestAttackPlay-by-Play'!$R:$R,"一壘安")</f>
        <v>0</v>
      </c>
      <c r="M19" s="1">
        <f>COUNTIFS('GuestAttackPlay-by-Play'!$M:$M,GuestHitterData!B19,'GuestAttackPlay-by-Play'!$R:$R,"二壘安")</f>
        <v>0</v>
      </c>
      <c r="N19" s="1">
        <f>COUNTIFS('GuestAttackPlay-by-Play'!$M:$M,GuestHitterData!B19,'GuestAttackPlay-by-Play'!$R:$R,"三壘安")</f>
        <v>0</v>
      </c>
      <c r="O19" s="1">
        <f>COUNTIFS('GuestAttackPlay-by-Play'!$M:$M,GuestHitterData!B19,'GuestAttackPlay-by-Play'!$R:$R,"全壘打")</f>
        <v>0</v>
      </c>
      <c r="P19" s="1">
        <f t="shared" si="7"/>
        <v>0</v>
      </c>
      <c r="Q19" s="1">
        <f>COUNTIFS('GuestAttackPlay-by-Play'!$M:$M,GuestHitterData!B19,'GuestAttackPlay-by-Play'!$R:$R,"雙殺打")</f>
        <v>0</v>
      </c>
      <c r="R19" s="1">
        <f>COUNTIFS('GuestAttackPlay-by-Play'!$M:$M,GuestHitterData!B19,'GuestAttackPlay-by-Play'!$R:$R,"犧牲觸擊")</f>
        <v>0</v>
      </c>
      <c r="S19" s="1">
        <f>COUNTIFS('GuestAttackPlay-by-Play'!$M:$M,GuestHitterData!B19,'GuestAttackPlay-by-Play'!$R:$R,"高飛犧牲")</f>
        <v>0</v>
      </c>
      <c r="T19" s="1">
        <f>COUNTIFS('GuestAttackPlay-by-Play'!$M:$M,GuestHitterData!B19,'GuestAttackPlay-by-Play'!$R:$R,"四壞")</f>
        <v>2</v>
      </c>
      <c r="U19" s="1">
        <f>COUNTIFS('GuestAttackPlay-by-Play'!$M:$M,GuestHitterData!B19,'GuestAttackPlay-by-Play'!$R:$R,"敬遠")</f>
        <v>0</v>
      </c>
      <c r="V19" s="1">
        <f>COUNTIFS('GuestAttackPlay-by-Play'!$M:$M,GuestHitterData!B19,'GuestAttackPlay-by-Play'!$R:$R,"觸身球")</f>
        <v>0</v>
      </c>
      <c r="W19" s="1">
        <f>COUNTIFS('GuestAttackPlay-by-Play'!$M:$M,GuestHitterData!B19,'GuestAttackPlay-by-Play'!$R:$R,"*三振")</f>
        <v>0</v>
      </c>
      <c r="X19" s="1">
        <f t="shared" si="8"/>
        <v>0</v>
      </c>
      <c r="Y19" s="1">
        <f>COUNTIFS('GuestAttackPlay-by-Play'!$AC:$AC,GuestHitterData!B19,'GuestAttackPlay-by-Play'!$AA:$AA,"盜二成功")</f>
        <v>0</v>
      </c>
      <c r="Z19" s="1">
        <f>COUNTIFS('GuestAttackPlay-by-Play'!$AD:$AD,GuestHitterData!B19,'GuestAttackPlay-by-Play'!$AA:$AA,"盜三成功")</f>
        <v>0</v>
      </c>
      <c r="AA19" s="1">
        <f>COUNTIFS('GuestAttackPlay-by-Play'!$AE:$AE,"."&amp;GuestHitterData!B19,'GuestAttackPlay-by-Play'!$AA:$AA,"盜本成功")</f>
        <v>0</v>
      </c>
      <c r="AB19" s="1">
        <f>COUNTIFS('GuestAttackPlay-by-Play'!$AR:$AR,"*"&amp;B19&amp;"*",'GuestAttackPlay-by-Play'!$AA:$AA,"盜*出局")</f>
        <v>0</v>
      </c>
      <c r="AC19" s="23">
        <f t="shared" si="1"/>
        <v>0</v>
      </c>
      <c r="AD19" s="23">
        <f t="shared" si="2"/>
        <v>0.4</v>
      </c>
      <c r="AE19" s="1">
        <f>COUNTIFS('GuestAttackPlay-by-Play'!$M:$M,GuestHitterData!B19,'GuestAttackPlay-by-Play'!$R:$R,"妨礙打擊")</f>
        <v>0</v>
      </c>
    </row>
    <row r="20" spans="1:31" x14ac:dyDescent="0.3">
      <c r="A20" s="39">
        <f>IF(Roster!K20="","-",Roster!K20)</f>
        <v>42</v>
      </c>
      <c r="B20" s="39" t="str">
        <f>IF(A20="-","-",VLOOKUP(A20,Roster!$K$2:$L$27,2,FALSE))</f>
        <v>兄弟陳家駒</v>
      </c>
      <c r="C20" s="1" t="str">
        <f>IF(COUNTIF('GuestAttackPlay-by-Play'!$M:$AR,GuestHitterData!B20)&gt;=1,"1","0")</f>
        <v>0</v>
      </c>
      <c r="D20" s="1">
        <f>COUNTIFS('GuestAttackPlay-by-Play'!$M:$M,GuestHitterData!B20,'GuestAttackPlay-by-Play'!$AM:$AM,"1")</f>
        <v>0</v>
      </c>
      <c r="E20" s="1">
        <f t="shared" si="0"/>
        <v>0</v>
      </c>
      <c r="F20" s="23">
        <f t="shared" si="3"/>
        <v>0</v>
      </c>
      <c r="G20" s="23">
        <f t="shared" si="4"/>
        <v>0</v>
      </c>
      <c r="H20" s="23">
        <f t="shared" si="5"/>
        <v>0</v>
      </c>
      <c r="I20" s="1">
        <f>SUMIF('GuestAttackPlay-by-Play'!$M:$M,B20,'GuestAttackPlay-by-Play'!$AN:$AN)</f>
        <v>0</v>
      </c>
      <c r="J20" s="1">
        <f>COUNTIFS('GuestAttackPlay-by-Play'!$AE:$AE,"*"&amp;B20&amp;"*")</f>
        <v>0</v>
      </c>
      <c r="K20" s="1">
        <f t="shared" si="6"/>
        <v>0</v>
      </c>
      <c r="L20" s="1">
        <f>COUNTIFS('GuestAttackPlay-by-Play'!$M:$M,GuestHitterData!B20,'GuestAttackPlay-by-Play'!$R:$R,"一壘安")</f>
        <v>0</v>
      </c>
      <c r="M20" s="1">
        <f>COUNTIFS('GuestAttackPlay-by-Play'!$M:$M,GuestHitterData!B20,'GuestAttackPlay-by-Play'!$R:$R,"二壘安")</f>
        <v>0</v>
      </c>
      <c r="N20" s="1">
        <f>COUNTIFS('GuestAttackPlay-by-Play'!$M:$M,GuestHitterData!B20,'GuestAttackPlay-by-Play'!$R:$R,"三壘安")</f>
        <v>0</v>
      </c>
      <c r="O20" s="1">
        <f>COUNTIFS('GuestAttackPlay-by-Play'!$M:$M,GuestHitterData!B20,'GuestAttackPlay-by-Play'!$R:$R,"全壘打")</f>
        <v>0</v>
      </c>
      <c r="P20" s="1">
        <f t="shared" si="7"/>
        <v>0</v>
      </c>
      <c r="Q20" s="1">
        <f>COUNTIFS('GuestAttackPlay-by-Play'!$M:$M,GuestHitterData!B20,'GuestAttackPlay-by-Play'!$R:$R,"雙殺打")</f>
        <v>0</v>
      </c>
      <c r="R20" s="1">
        <f>COUNTIFS('GuestAttackPlay-by-Play'!$M:$M,GuestHitterData!B20,'GuestAttackPlay-by-Play'!$R:$R,"犧牲觸擊")</f>
        <v>0</v>
      </c>
      <c r="S20" s="1">
        <f>COUNTIFS('GuestAttackPlay-by-Play'!$M:$M,GuestHitterData!B20,'GuestAttackPlay-by-Play'!$R:$R,"高飛犧牲")</f>
        <v>0</v>
      </c>
      <c r="T20" s="1">
        <f>COUNTIFS('GuestAttackPlay-by-Play'!$M:$M,GuestHitterData!B20,'GuestAttackPlay-by-Play'!$R:$R,"四壞")</f>
        <v>0</v>
      </c>
      <c r="U20" s="1">
        <f>COUNTIFS('GuestAttackPlay-by-Play'!$M:$M,GuestHitterData!B20,'GuestAttackPlay-by-Play'!$R:$R,"敬遠")</f>
        <v>0</v>
      </c>
      <c r="V20" s="1">
        <f>COUNTIFS('GuestAttackPlay-by-Play'!$M:$M,GuestHitterData!B20,'GuestAttackPlay-by-Play'!$R:$R,"觸身球")</f>
        <v>0</v>
      </c>
      <c r="W20" s="1">
        <f>COUNTIFS('GuestAttackPlay-by-Play'!$M:$M,GuestHitterData!B20,'GuestAttackPlay-by-Play'!$R:$R,"*三振")</f>
        <v>0</v>
      </c>
      <c r="X20" s="1">
        <f t="shared" si="8"/>
        <v>0</v>
      </c>
      <c r="Y20" s="1">
        <f>COUNTIFS('GuestAttackPlay-by-Play'!$AC:$AC,GuestHitterData!B20,'GuestAttackPlay-by-Play'!$AA:$AA,"盜二成功")</f>
        <v>0</v>
      </c>
      <c r="Z20" s="1">
        <f>COUNTIFS('GuestAttackPlay-by-Play'!$AD:$AD,GuestHitterData!B20,'GuestAttackPlay-by-Play'!$AA:$AA,"盜三成功")</f>
        <v>0</v>
      </c>
      <c r="AA20" s="1">
        <f>COUNTIFS('GuestAttackPlay-by-Play'!$AE:$AE,"."&amp;GuestHitterData!B20,'GuestAttackPlay-by-Play'!$AA:$AA,"盜本成功")</f>
        <v>0</v>
      </c>
      <c r="AB20" s="1">
        <f>COUNTIFS('GuestAttackPlay-by-Play'!$AR:$AR,"*"&amp;B20&amp;"*",'GuestAttackPlay-by-Play'!$AA:$AA,"盜*出局")</f>
        <v>0</v>
      </c>
      <c r="AC20" s="23">
        <f t="shared" si="1"/>
        <v>0</v>
      </c>
      <c r="AD20" s="23">
        <f t="shared" si="2"/>
        <v>0</v>
      </c>
      <c r="AE20" s="1">
        <f>COUNTIFS('GuestAttackPlay-by-Play'!$M:$M,GuestHitterData!B20,'GuestAttackPlay-by-Play'!$R:$R,"妨礙打擊")</f>
        <v>0</v>
      </c>
    </row>
    <row r="21" spans="1:31" x14ac:dyDescent="0.3">
      <c r="A21" s="39">
        <f>IF(Roster!K21="","-",Roster!K21)</f>
        <v>63</v>
      </c>
      <c r="B21" s="39" t="str">
        <f>IF(A21="-","-",VLOOKUP(A21,Roster!$K$2:$L$27,2,FALSE))</f>
        <v>兄弟潘志芳</v>
      </c>
      <c r="C21" s="1" t="str">
        <f>IF(COUNTIF('GuestAttackPlay-by-Play'!$M:$AR,GuestHitterData!B21)&gt;=1,"1","0")</f>
        <v>1</v>
      </c>
      <c r="D21" s="1">
        <f>COUNTIFS('GuestAttackPlay-by-Play'!$M:$M,GuestHitterData!B21,'GuestAttackPlay-by-Play'!$AM:$AM,"1")</f>
        <v>5</v>
      </c>
      <c r="E21" s="1">
        <f t="shared" si="0"/>
        <v>3</v>
      </c>
      <c r="F21" s="23">
        <f t="shared" si="3"/>
        <v>0</v>
      </c>
      <c r="G21" s="23">
        <f t="shared" si="4"/>
        <v>0</v>
      </c>
      <c r="H21" s="23">
        <f t="shared" si="5"/>
        <v>0</v>
      </c>
      <c r="I21" s="1">
        <f>SUMIF('GuestAttackPlay-by-Play'!$M:$M,B21,'GuestAttackPlay-by-Play'!$AN:$AN)</f>
        <v>0</v>
      </c>
      <c r="J21" s="1">
        <f>COUNTIFS('GuestAttackPlay-by-Play'!$AE:$AE,"*"&amp;B21&amp;"*")</f>
        <v>1</v>
      </c>
      <c r="K21" s="1">
        <f t="shared" si="6"/>
        <v>0</v>
      </c>
      <c r="L21" s="1">
        <f>COUNTIFS('GuestAttackPlay-by-Play'!$M:$M,GuestHitterData!B21,'GuestAttackPlay-by-Play'!$R:$R,"一壘安")</f>
        <v>0</v>
      </c>
      <c r="M21" s="1">
        <f>COUNTIFS('GuestAttackPlay-by-Play'!$M:$M,GuestHitterData!B21,'GuestAttackPlay-by-Play'!$R:$R,"二壘安")</f>
        <v>0</v>
      </c>
      <c r="N21" s="1">
        <f>COUNTIFS('GuestAttackPlay-by-Play'!$M:$M,GuestHitterData!B21,'GuestAttackPlay-by-Play'!$R:$R,"三壘安")</f>
        <v>0</v>
      </c>
      <c r="O21" s="1">
        <f>COUNTIFS('GuestAttackPlay-by-Play'!$M:$M,GuestHitterData!B21,'GuestAttackPlay-by-Play'!$R:$R,"全壘打")</f>
        <v>0</v>
      </c>
      <c r="P21" s="1">
        <f t="shared" si="7"/>
        <v>0</v>
      </c>
      <c r="Q21" s="1">
        <f>COUNTIFS('GuestAttackPlay-by-Play'!$M:$M,GuestHitterData!B21,'GuestAttackPlay-by-Play'!$R:$R,"雙殺打")</f>
        <v>0</v>
      </c>
      <c r="R21" s="1">
        <f>COUNTIFS('GuestAttackPlay-by-Play'!$M:$M,GuestHitterData!B21,'GuestAttackPlay-by-Play'!$R:$R,"犧牲觸擊")</f>
        <v>2</v>
      </c>
      <c r="S21" s="1">
        <f>COUNTIFS('GuestAttackPlay-by-Play'!$M:$M,GuestHitterData!B21,'GuestAttackPlay-by-Play'!$R:$R,"高飛犧牲")</f>
        <v>0</v>
      </c>
      <c r="T21" s="1">
        <f>COUNTIFS('GuestAttackPlay-by-Play'!$M:$M,GuestHitterData!B21,'GuestAttackPlay-by-Play'!$R:$R,"四壞")</f>
        <v>0</v>
      </c>
      <c r="U21" s="1">
        <f>COUNTIFS('GuestAttackPlay-by-Play'!$M:$M,GuestHitterData!B21,'GuestAttackPlay-by-Play'!$R:$R,"敬遠")</f>
        <v>0</v>
      </c>
      <c r="V21" s="1">
        <f>COUNTIFS('GuestAttackPlay-by-Play'!$M:$M,GuestHitterData!B21,'GuestAttackPlay-by-Play'!$R:$R,"觸身球")</f>
        <v>0</v>
      </c>
      <c r="W21" s="1">
        <f>COUNTIFS('GuestAttackPlay-by-Play'!$M:$M,GuestHitterData!B21,'GuestAttackPlay-by-Play'!$R:$R,"*三振")</f>
        <v>1</v>
      </c>
      <c r="X21" s="1">
        <f t="shared" si="8"/>
        <v>1</v>
      </c>
      <c r="Y21" s="1">
        <f>COUNTIFS('GuestAttackPlay-by-Play'!$AC:$AC,GuestHitterData!B21,'GuestAttackPlay-by-Play'!$AA:$AA,"盜二成功")</f>
        <v>1</v>
      </c>
      <c r="Z21" s="1">
        <f>COUNTIFS('GuestAttackPlay-by-Play'!$AD:$AD,GuestHitterData!B21,'GuestAttackPlay-by-Play'!$AA:$AA,"盜三成功")</f>
        <v>0</v>
      </c>
      <c r="AA21" s="1">
        <f>COUNTIFS('GuestAttackPlay-by-Play'!$AE:$AE,"."&amp;GuestHitterData!B21,'GuestAttackPlay-by-Play'!$AA:$AA,"盜本成功")</f>
        <v>0</v>
      </c>
      <c r="AB21" s="1">
        <f>COUNTIFS('GuestAttackPlay-by-Play'!$AR:$AR,"*"&amp;B21&amp;"*",'GuestAttackPlay-by-Play'!$AA:$AA,"盜*出局")</f>
        <v>0</v>
      </c>
      <c r="AC21" s="23">
        <f t="shared" si="1"/>
        <v>1</v>
      </c>
      <c r="AD21" s="23">
        <f t="shared" si="2"/>
        <v>0</v>
      </c>
      <c r="AE21" s="1">
        <f>COUNTIFS('GuestAttackPlay-by-Play'!$M:$M,GuestHitterData!B21,'GuestAttackPlay-by-Play'!$R:$R,"妨礙打擊")</f>
        <v>0</v>
      </c>
    </row>
    <row r="22" spans="1:31" x14ac:dyDescent="0.3">
      <c r="A22" s="39">
        <f>IF(Roster!K22="","-",Roster!K22)</f>
        <v>65</v>
      </c>
      <c r="B22" s="39" t="str">
        <f>IF(A22="-","-",VLOOKUP(A22,Roster!$K$2:$L$27,2,FALSE))</f>
        <v>兄弟高宇杰</v>
      </c>
      <c r="C22" s="1" t="str">
        <f>IF(COUNTIF('GuestAttackPlay-by-Play'!$M:$AR,GuestHitterData!B22)&gt;=1,"1","0")</f>
        <v>1</v>
      </c>
      <c r="D22" s="1">
        <f>COUNTIFS('GuestAttackPlay-by-Play'!$M:$M,GuestHitterData!B22,'GuestAttackPlay-by-Play'!$AM:$AM,"1")</f>
        <v>5</v>
      </c>
      <c r="E22" s="1">
        <f t="shared" si="0"/>
        <v>4</v>
      </c>
      <c r="F22" s="23">
        <f t="shared" si="3"/>
        <v>0.5</v>
      </c>
      <c r="G22" s="23">
        <f t="shared" si="4"/>
        <v>0.5</v>
      </c>
      <c r="H22" s="23">
        <f t="shared" si="5"/>
        <v>0.5</v>
      </c>
      <c r="I22" s="1">
        <f>SUMIF('GuestAttackPlay-by-Play'!$M:$M,B22,'GuestAttackPlay-by-Play'!$AN:$AN)</f>
        <v>0</v>
      </c>
      <c r="J22" s="1">
        <f>COUNTIFS('GuestAttackPlay-by-Play'!$AE:$AE,"*"&amp;B22&amp;"*")</f>
        <v>1</v>
      </c>
      <c r="K22" s="1">
        <f t="shared" si="6"/>
        <v>2</v>
      </c>
      <c r="L22" s="1">
        <f>COUNTIFS('GuestAttackPlay-by-Play'!$M:$M,GuestHitterData!B22,'GuestAttackPlay-by-Play'!$R:$R,"一壘安")</f>
        <v>2</v>
      </c>
      <c r="M22" s="1">
        <f>COUNTIFS('GuestAttackPlay-by-Play'!$M:$M,GuestHitterData!B22,'GuestAttackPlay-by-Play'!$R:$R,"二壘安")</f>
        <v>0</v>
      </c>
      <c r="N22" s="1">
        <f>COUNTIFS('GuestAttackPlay-by-Play'!$M:$M,GuestHitterData!B22,'GuestAttackPlay-by-Play'!$R:$R,"三壘安")</f>
        <v>0</v>
      </c>
      <c r="O22" s="1">
        <f>COUNTIFS('GuestAttackPlay-by-Play'!$M:$M,GuestHitterData!B22,'GuestAttackPlay-by-Play'!$R:$R,"全壘打")</f>
        <v>0</v>
      </c>
      <c r="P22" s="1">
        <f t="shared" si="7"/>
        <v>2</v>
      </c>
      <c r="Q22" s="1">
        <f>COUNTIFS('GuestAttackPlay-by-Play'!$M:$M,GuestHitterData!B22,'GuestAttackPlay-by-Play'!$R:$R,"雙殺打")</f>
        <v>0</v>
      </c>
      <c r="R22" s="1">
        <f>COUNTIFS('GuestAttackPlay-by-Play'!$M:$M,GuestHitterData!B22,'GuestAttackPlay-by-Play'!$R:$R,"犧牲觸擊")</f>
        <v>1</v>
      </c>
      <c r="S22" s="1">
        <f>COUNTIFS('GuestAttackPlay-by-Play'!$M:$M,GuestHitterData!B22,'GuestAttackPlay-by-Play'!$R:$R,"高飛犧牲")</f>
        <v>0</v>
      </c>
      <c r="T22" s="1">
        <f>COUNTIFS('GuestAttackPlay-by-Play'!$M:$M,GuestHitterData!B22,'GuestAttackPlay-by-Play'!$R:$R,"四壞")</f>
        <v>0</v>
      </c>
      <c r="U22" s="1">
        <f>COUNTIFS('GuestAttackPlay-by-Play'!$M:$M,GuestHitterData!B22,'GuestAttackPlay-by-Play'!$R:$R,"敬遠")</f>
        <v>0</v>
      </c>
      <c r="V22" s="1">
        <f>COUNTIFS('GuestAttackPlay-by-Play'!$M:$M,GuestHitterData!B22,'GuestAttackPlay-by-Play'!$R:$R,"觸身球")</f>
        <v>0</v>
      </c>
      <c r="W22" s="1">
        <f>COUNTIFS('GuestAttackPlay-by-Play'!$M:$M,GuestHitterData!B22,'GuestAttackPlay-by-Play'!$R:$R,"*三振")</f>
        <v>0</v>
      </c>
      <c r="X22" s="1">
        <f t="shared" si="8"/>
        <v>0</v>
      </c>
      <c r="Y22" s="1">
        <f>COUNTIFS('GuestAttackPlay-by-Play'!$AC:$AC,GuestHitterData!B22,'GuestAttackPlay-by-Play'!$AA:$AA,"盜二成功")</f>
        <v>0</v>
      </c>
      <c r="Z22" s="1">
        <f>COUNTIFS('GuestAttackPlay-by-Play'!$AD:$AD,GuestHitterData!B22,'GuestAttackPlay-by-Play'!$AA:$AA,"盜三成功")</f>
        <v>0</v>
      </c>
      <c r="AA22" s="1">
        <f>COUNTIFS('GuestAttackPlay-by-Play'!$AE:$AE,"."&amp;GuestHitterData!B22,'GuestAttackPlay-by-Play'!$AA:$AA,"盜本成功")</f>
        <v>0</v>
      </c>
      <c r="AB22" s="1">
        <f>COUNTIFS('GuestAttackPlay-by-Play'!$AR:$AR,"*"&amp;B22&amp;"*",'GuestAttackPlay-by-Play'!$AA:$AA,"盜*出局")</f>
        <v>0</v>
      </c>
      <c r="AC22" s="23">
        <f t="shared" si="1"/>
        <v>0</v>
      </c>
      <c r="AD22" s="23">
        <f t="shared" si="2"/>
        <v>1</v>
      </c>
      <c r="AE22" s="1">
        <f>COUNTIFS('GuestAttackPlay-by-Play'!$M:$M,GuestHitterData!B22,'GuestAttackPlay-by-Play'!$R:$R,"妨礙打擊")</f>
        <v>0</v>
      </c>
    </row>
    <row r="23" spans="1:31" x14ac:dyDescent="0.3">
      <c r="A23" s="39">
        <f>IF(Roster!K23="","-",Roster!K23)</f>
        <v>69</v>
      </c>
      <c r="B23" s="39" t="str">
        <f>IF(A23="-","-",VLOOKUP(A23,Roster!$K$2:$L$27,2,FALSE))</f>
        <v>兄弟張志強</v>
      </c>
      <c r="C23" s="1" t="str">
        <f>IF(COUNTIF('GuestAttackPlay-by-Play'!$M:$AR,GuestHitterData!B23)&gt;=1,"1","0")</f>
        <v>0</v>
      </c>
      <c r="D23" s="1">
        <f>COUNTIFS('GuestAttackPlay-by-Play'!$M:$M,GuestHitterData!B23,'GuestAttackPlay-by-Play'!$AM:$AM,"1")</f>
        <v>0</v>
      </c>
      <c r="E23" s="1">
        <f t="shared" si="0"/>
        <v>0</v>
      </c>
      <c r="F23" s="23">
        <f t="shared" si="3"/>
        <v>0</v>
      </c>
      <c r="G23" s="23">
        <f t="shared" si="4"/>
        <v>0</v>
      </c>
      <c r="H23" s="23">
        <f t="shared" si="5"/>
        <v>0</v>
      </c>
      <c r="I23" s="1">
        <f>SUMIF('GuestAttackPlay-by-Play'!$M:$M,B23,'GuestAttackPlay-by-Play'!$AN:$AN)</f>
        <v>0</v>
      </c>
      <c r="J23" s="1">
        <f>COUNTIFS('GuestAttackPlay-by-Play'!$AE:$AE,"*"&amp;B23&amp;"*")</f>
        <v>0</v>
      </c>
      <c r="K23" s="1">
        <f t="shared" si="6"/>
        <v>0</v>
      </c>
      <c r="L23" s="1">
        <f>COUNTIFS('GuestAttackPlay-by-Play'!$M:$M,GuestHitterData!B23,'GuestAttackPlay-by-Play'!$R:$R,"一壘安")</f>
        <v>0</v>
      </c>
      <c r="M23" s="1">
        <f>COUNTIFS('GuestAttackPlay-by-Play'!$M:$M,GuestHitterData!B23,'GuestAttackPlay-by-Play'!$R:$R,"二壘安")</f>
        <v>0</v>
      </c>
      <c r="N23" s="1">
        <f>COUNTIFS('GuestAttackPlay-by-Play'!$M:$M,GuestHitterData!B23,'GuestAttackPlay-by-Play'!$R:$R,"三壘安")</f>
        <v>0</v>
      </c>
      <c r="O23" s="1">
        <f>COUNTIFS('GuestAttackPlay-by-Play'!$M:$M,GuestHitterData!B23,'GuestAttackPlay-by-Play'!$R:$R,"全壘打")</f>
        <v>0</v>
      </c>
      <c r="P23" s="1">
        <f t="shared" si="7"/>
        <v>0</v>
      </c>
      <c r="Q23" s="1">
        <f>COUNTIFS('GuestAttackPlay-by-Play'!$M:$M,GuestHitterData!B23,'GuestAttackPlay-by-Play'!$R:$R,"雙殺打")</f>
        <v>0</v>
      </c>
      <c r="R23" s="1">
        <f>COUNTIFS('GuestAttackPlay-by-Play'!$M:$M,GuestHitterData!B23,'GuestAttackPlay-by-Play'!$R:$R,"犧牲觸擊")</f>
        <v>0</v>
      </c>
      <c r="S23" s="1">
        <f>COUNTIFS('GuestAttackPlay-by-Play'!$M:$M,GuestHitterData!B23,'GuestAttackPlay-by-Play'!$R:$R,"高飛犧牲")</f>
        <v>0</v>
      </c>
      <c r="T23" s="1">
        <f>COUNTIFS('GuestAttackPlay-by-Play'!$M:$M,GuestHitterData!B23,'GuestAttackPlay-by-Play'!$R:$R,"四壞")</f>
        <v>0</v>
      </c>
      <c r="U23" s="1">
        <f>COUNTIFS('GuestAttackPlay-by-Play'!$M:$M,GuestHitterData!B23,'GuestAttackPlay-by-Play'!$R:$R,"敬遠")</f>
        <v>0</v>
      </c>
      <c r="V23" s="1">
        <f>COUNTIFS('GuestAttackPlay-by-Play'!$M:$M,GuestHitterData!B23,'GuestAttackPlay-by-Play'!$R:$R,"觸身球")</f>
        <v>0</v>
      </c>
      <c r="W23" s="1">
        <f>COUNTIFS('GuestAttackPlay-by-Play'!$M:$M,GuestHitterData!B23,'GuestAttackPlay-by-Play'!$R:$R,"*三振")</f>
        <v>0</v>
      </c>
      <c r="X23" s="1">
        <f t="shared" si="8"/>
        <v>0</v>
      </c>
      <c r="Y23" s="1">
        <f>COUNTIFS('GuestAttackPlay-by-Play'!$AC:$AC,GuestHitterData!B23,'GuestAttackPlay-by-Play'!$AA:$AA,"盜二成功")</f>
        <v>0</v>
      </c>
      <c r="Z23" s="1">
        <f>COUNTIFS('GuestAttackPlay-by-Play'!$AD:$AD,GuestHitterData!B23,'GuestAttackPlay-by-Play'!$AA:$AA,"盜三成功")</f>
        <v>0</v>
      </c>
      <c r="AA23" s="1">
        <f>COUNTIFS('GuestAttackPlay-by-Play'!$AE:$AE,"."&amp;GuestHitterData!B23,'GuestAttackPlay-by-Play'!$AA:$AA,"盜本成功")</f>
        <v>0</v>
      </c>
      <c r="AB23" s="1">
        <f>COUNTIFS('GuestAttackPlay-by-Play'!$AR:$AR,"*"&amp;B23&amp;"*",'GuestAttackPlay-by-Play'!$AA:$AA,"盜*出局")</f>
        <v>0</v>
      </c>
      <c r="AC23" s="23">
        <f t="shared" si="1"/>
        <v>0</v>
      </c>
      <c r="AD23" s="23">
        <f t="shared" si="2"/>
        <v>0</v>
      </c>
      <c r="AE23" s="1">
        <f>COUNTIFS('GuestAttackPlay-by-Play'!$M:$M,GuestHitterData!B23,'GuestAttackPlay-by-Play'!$R:$R,"妨礙打擊")</f>
        <v>0</v>
      </c>
    </row>
    <row r="24" spans="1:31" x14ac:dyDescent="0.3">
      <c r="A24" s="39">
        <f>IF(Roster!K24="","-",Roster!K24)</f>
        <v>74</v>
      </c>
      <c r="B24" s="39" t="str">
        <f>IF(A24="-","-",VLOOKUP(A24,Roster!$K$2:$L$27,2,FALSE))</f>
        <v>兄弟許基宏</v>
      </c>
      <c r="C24" s="1" t="str">
        <f>IF(COUNTIF('GuestAttackPlay-by-Play'!$M:$AR,GuestHitterData!B24)&gt;=1,"1","0")</f>
        <v>1</v>
      </c>
      <c r="D24" s="1">
        <f>COUNTIFS('GuestAttackPlay-by-Play'!$M:$M,GuestHitterData!B24,'GuestAttackPlay-by-Play'!$AM:$AM,"1")</f>
        <v>5</v>
      </c>
      <c r="E24" s="1">
        <f t="shared" si="0"/>
        <v>5</v>
      </c>
      <c r="F24" s="23">
        <f t="shared" si="3"/>
        <v>0.8</v>
      </c>
      <c r="G24" s="23">
        <f t="shared" si="4"/>
        <v>1.4</v>
      </c>
      <c r="H24" s="23">
        <f t="shared" si="5"/>
        <v>0.8</v>
      </c>
      <c r="I24" s="1">
        <f>SUMIF('GuestAttackPlay-by-Play'!$M:$M,B24,'GuestAttackPlay-by-Play'!$AN:$AN)</f>
        <v>0</v>
      </c>
      <c r="J24" s="1">
        <f>COUNTIFS('GuestAttackPlay-by-Play'!$AE:$AE,"*"&amp;B24&amp;"*")</f>
        <v>3</v>
      </c>
      <c r="K24" s="1">
        <f t="shared" si="6"/>
        <v>4</v>
      </c>
      <c r="L24" s="1">
        <f>COUNTIFS('GuestAttackPlay-by-Play'!$M:$M,GuestHitterData!B24,'GuestAttackPlay-by-Play'!$R:$R,"一壘安")</f>
        <v>3</v>
      </c>
      <c r="M24" s="1">
        <f>COUNTIFS('GuestAttackPlay-by-Play'!$M:$M,GuestHitterData!B24,'GuestAttackPlay-by-Play'!$R:$R,"二壘安")</f>
        <v>0</v>
      </c>
      <c r="N24" s="1">
        <f>COUNTIFS('GuestAttackPlay-by-Play'!$M:$M,GuestHitterData!B24,'GuestAttackPlay-by-Play'!$R:$R,"三壘安")</f>
        <v>0</v>
      </c>
      <c r="O24" s="1">
        <f>COUNTIFS('GuestAttackPlay-by-Play'!$M:$M,GuestHitterData!B24,'GuestAttackPlay-by-Play'!$R:$R,"全壘打")</f>
        <v>1</v>
      </c>
      <c r="P24" s="1">
        <f t="shared" si="7"/>
        <v>7</v>
      </c>
      <c r="Q24" s="1">
        <f>COUNTIFS('GuestAttackPlay-by-Play'!$M:$M,GuestHitterData!B24,'GuestAttackPlay-by-Play'!$R:$R,"雙殺打")</f>
        <v>0</v>
      </c>
      <c r="R24" s="1">
        <f>COUNTIFS('GuestAttackPlay-by-Play'!$M:$M,GuestHitterData!B24,'GuestAttackPlay-by-Play'!$R:$R,"犧牲觸擊")</f>
        <v>0</v>
      </c>
      <c r="S24" s="1">
        <f>COUNTIFS('GuestAttackPlay-by-Play'!$M:$M,GuestHitterData!B24,'GuestAttackPlay-by-Play'!$R:$R,"高飛犧牲")</f>
        <v>0</v>
      </c>
      <c r="T24" s="1">
        <f>COUNTIFS('GuestAttackPlay-by-Play'!$M:$M,GuestHitterData!B24,'GuestAttackPlay-by-Play'!$R:$R,"四壞")</f>
        <v>0</v>
      </c>
      <c r="U24" s="1">
        <f>COUNTIFS('GuestAttackPlay-by-Play'!$M:$M,GuestHitterData!B24,'GuestAttackPlay-by-Play'!$R:$R,"敬遠")</f>
        <v>0</v>
      </c>
      <c r="V24" s="1">
        <f>COUNTIFS('GuestAttackPlay-by-Play'!$M:$M,GuestHitterData!B24,'GuestAttackPlay-by-Play'!$R:$R,"觸身球")</f>
        <v>0</v>
      </c>
      <c r="W24" s="1">
        <f>COUNTIFS('GuestAttackPlay-by-Play'!$M:$M,GuestHitterData!B24,'GuestAttackPlay-by-Play'!$R:$R,"*三振")</f>
        <v>0</v>
      </c>
      <c r="X24" s="1">
        <f t="shared" si="8"/>
        <v>0</v>
      </c>
      <c r="Y24" s="1">
        <f>COUNTIFS('GuestAttackPlay-by-Play'!$AC:$AC,GuestHitterData!B24,'GuestAttackPlay-by-Play'!$AA:$AA,"盜二成功")</f>
        <v>0</v>
      </c>
      <c r="Z24" s="1">
        <f>COUNTIFS('GuestAttackPlay-by-Play'!$AD:$AD,GuestHitterData!B24,'GuestAttackPlay-by-Play'!$AA:$AA,"盜三成功")</f>
        <v>0</v>
      </c>
      <c r="AA24" s="1">
        <f>COUNTIFS('GuestAttackPlay-by-Play'!$AE:$AE,"."&amp;GuestHitterData!B24,'GuestAttackPlay-by-Play'!$AA:$AA,"盜本成功")</f>
        <v>0</v>
      </c>
      <c r="AB24" s="1">
        <f>COUNTIFS('GuestAttackPlay-by-Play'!$AR:$AR,"*"&amp;B24&amp;"*",'GuestAttackPlay-by-Play'!$AA:$AA,"盜*出局")</f>
        <v>0</v>
      </c>
      <c r="AC24" s="23">
        <f t="shared" si="1"/>
        <v>0</v>
      </c>
      <c r="AD24" s="23">
        <f t="shared" si="2"/>
        <v>2.2000000000000002</v>
      </c>
      <c r="AE24" s="1">
        <f>COUNTIFS('GuestAttackPlay-by-Play'!$M:$M,GuestHitterData!B24,'GuestAttackPlay-by-Play'!$R:$R,"妨礙打擊")</f>
        <v>0</v>
      </c>
    </row>
    <row r="25" spans="1:31" x14ac:dyDescent="0.3">
      <c r="A25" s="39">
        <f>IF(Roster!K25="","-",Roster!K25)</f>
        <v>88</v>
      </c>
      <c r="B25" s="39" t="str">
        <f>IF(A25="-","-",VLOOKUP(A25,Roster!$K$2:$L$27,2,FALSE))</f>
        <v>兄弟宋晟睿</v>
      </c>
      <c r="C25" s="1" t="str">
        <f>IF(COUNTIF('GuestAttackPlay-by-Play'!$M:$AR,GuestHitterData!B25)&gt;=1,"1","0")</f>
        <v>1</v>
      </c>
      <c r="D25" s="1">
        <f>COUNTIFS('GuestAttackPlay-by-Play'!$M:$M,GuestHitterData!B25,'GuestAttackPlay-by-Play'!$AM:$AM,"1")</f>
        <v>0</v>
      </c>
      <c r="E25" s="1">
        <f t="shared" si="0"/>
        <v>0</v>
      </c>
      <c r="F25" s="23">
        <f t="shared" si="3"/>
        <v>0</v>
      </c>
      <c r="G25" s="23">
        <f t="shared" si="4"/>
        <v>0</v>
      </c>
      <c r="H25" s="23">
        <f t="shared" si="5"/>
        <v>0</v>
      </c>
      <c r="I25" s="1">
        <f>SUMIF('GuestAttackPlay-by-Play'!$M:$M,B25,'GuestAttackPlay-by-Play'!$AN:$AN)</f>
        <v>0</v>
      </c>
      <c r="J25" s="1">
        <f>COUNTIFS('GuestAttackPlay-by-Play'!$AE:$AE,"*"&amp;B25&amp;"*")</f>
        <v>0</v>
      </c>
      <c r="K25" s="1">
        <f t="shared" si="6"/>
        <v>0</v>
      </c>
      <c r="L25" s="1">
        <f>COUNTIFS('GuestAttackPlay-by-Play'!$M:$M,GuestHitterData!B25,'GuestAttackPlay-by-Play'!$R:$R,"一壘安")</f>
        <v>0</v>
      </c>
      <c r="M25" s="1">
        <f>COUNTIFS('GuestAttackPlay-by-Play'!$M:$M,GuestHitterData!B25,'GuestAttackPlay-by-Play'!$R:$R,"二壘安")</f>
        <v>0</v>
      </c>
      <c r="N25" s="1">
        <f>COUNTIFS('GuestAttackPlay-by-Play'!$M:$M,GuestHitterData!B25,'GuestAttackPlay-by-Play'!$R:$R,"三壘安")</f>
        <v>0</v>
      </c>
      <c r="O25" s="1">
        <f>COUNTIFS('GuestAttackPlay-by-Play'!$M:$M,GuestHitterData!B25,'GuestAttackPlay-by-Play'!$R:$R,"全壘打")</f>
        <v>0</v>
      </c>
      <c r="P25" s="1">
        <f t="shared" si="7"/>
        <v>0</v>
      </c>
      <c r="Q25" s="1">
        <f>COUNTIFS('GuestAttackPlay-by-Play'!$M:$M,GuestHitterData!B25,'GuestAttackPlay-by-Play'!$R:$R,"雙殺打")</f>
        <v>0</v>
      </c>
      <c r="R25" s="1">
        <f>COUNTIFS('GuestAttackPlay-by-Play'!$M:$M,GuestHitterData!B25,'GuestAttackPlay-by-Play'!$R:$R,"犧牲觸擊")</f>
        <v>0</v>
      </c>
      <c r="S25" s="1">
        <f>COUNTIFS('GuestAttackPlay-by-Play'!$M:$M,GuestHitterData!B25,'GuestAttackPlay-by-Play'!$R:$R,"高飛犧牲")</f>
        <v>0</v>
      </c>
      <c r="T25" s="1">
        <f>COUNTIFS('GuestAttackPlay-by-Play'!$M:$M,GuestHitterData!B25,'GuestAttackPlay-by-Play'!$R:$R,"四壞")</f>
        <v>0</v>
      </c>
      <c r="U25" s="1">
        <f>COUNTIFS('GuestAttackPlay-by-Play'!$M:$M,GuestHitterData!B25,'GuestAttackPlay-by-Play'!$R:$R,"敬遠")</f>
        <v>0</v>
      </c>
      <c r="V25" s="1">
        <f>COUNTIFS('GuestAttackPlay-by-Play'!$M:$M,GuestHitterData!B25,'GuestAttackPlay-by-Play'!$R:$R,"觸身球")</f>
        <v>0</v>
      </c>
      <c r="W25" s="1">
        <f>COUNTIFS('GuestAttackPlay-by-Play'!$M:$M,GuestHitterData!B25,'GuestAttackPlay-by-Play'!$R:$R,"*三振")</f>
        <v>0</v>
      </c>
      <c r="X25" s="1">
        <f t="shared" si="8"/>
        <v>0</v>
      </c>
      <c r="Y25" s="1">
        <f>COUNTIFS('GuestAttackPlay-by-Play'!$AC:$AC,GuestHitterData!B25,'GuestAttackPlay-by-Play'!$AA:$AA,"盜二成功")</f>
        <v>0</v>
      </c>
      <c r="Z25" s="1">
        <f>COUNTIFS('GuestAttackPlay-by-Play'!$AD:$AD,GuestHitterData!B25,'GuestAttackPlay-by-Play'!$AA:$AA,"盜三成功")</f>
        <v>0</v>
      </c>
      <c r="AA25" s="1">
        <f>COUNTIFS('GuestAttackPlay-by-Play'!$AE:$AE,"."&amp;GuestHitterData!B25,'GuestAttackPlay-by-Play'!$AA:$AA,"盜本成功")</f>
        <v>0</v>
      </c>
      <c r="AB25" s="1">
        <f>COUNTIFS('GuestAttackPlay-by-Play'!$AR:$AR,"*"&amp;B25&amp;"*",'GuestAttackPlay-by-Play'!$AA:$AA,"盜*出局")</f>
        <v>0</v>
      </c>
      <c r="AC25" s="23">
        <f t="shared" si="1"/>
        <v>0</v>
      </c>
      <c r="AD25" s="23">
        <f t="shared" si="2"/>
        <v>0</v>
      </c>
      <c r="AE25" s="1">
        <f>COUNTIFS('GuestAttackPlay-by-Play'!$M:$M,GuestHitterData!B25,'GuestAttackPlay-by-Play'!$R:$R,"妨礙打擊")</f>
        <v>0</v>
      </c>
    </row>
    <row r="26" spans="1:31" x14ac:dyDescent="0.3">
      <c r="A26" s="39">
        <f>IF(Roster!K26="","-",Roster!K26)</f>
        <v>90</v>
      </c>
      <c r="B26" s="39" t="str">
        <f>IF(A26="-","-",VLOOKUP(A26,Roster!$K$2:$L$27,2,FALSE))</f>
        <v>兄弟江坤宇</v>
      </c>
      <c r="C26" s="39" t="str">
        <f>IF(COUNTIF('GuestAttackPlay-by-Play'!$M:$AR,GuestHitterData!B26)&gt;=1,"1","0")</f>
        <v>1</v>
      </c>
      <c r="D26" s="39">
        <f>COUNTIFS('GuestAttackPlay-by-Play'!$M:$M,GuestHitterData!B26,'GuestAttackPlay-by-Play'!$AM:$AM,"1")</f>
        <v>6</v>
      </c>
      <c r="E26" s="39">
        <f t="shared" si="0"/>
        <v>6</v>
      </c>
      <c r="F26" s="23">
        <f t="shared" si="3"/>
        <v>0.33333333333333331</v>
      </c>
      <c r="G26" s="23">
        <f t="shared" si="4"/>
        <v>0.5</v>
      </c>
      <c r="H26" s="23">
        <f t="shared" si="5"/>
        <v>0.33333333333333331</v>
      </c>
      <c r="I26" s="39">
        <f>SUMIF('GuestAttackPlay-by-Play'!$M:$M,B26,'GuestAttackPlay-by-Play'!$AN:$AN)</f>
        <v>0</v>
      </c>
      <c r="J26" s="39">
        <f>COUNTIFS('GuestAttackPlay-by-Play'!$AE:$AE,"*"&amp;B26&amp;"*")</f>
        <v>0</v>
      </c>
      <c r="K26" s="39">
        <f t="shared" si="6"/>
        <v>2</v>
      </c>
      <c r="L26" s="39">
        <f>COUNTIFS('GuestAttackPlay-by-Play'!$M:$M,GuestHitterData!B26,'GuestAttackPlay-by-Play'!$R:$R,"一壘安")</f>
        <v>1</v>
      </c>
      <c r="M26" s="39">
        <f>COUNTIFS('GuestAttackPlay-by-Play'!$M:$M,GuestHitterData!B26,'GuestAttackPlay-by-Play'!$R:$R,"二壘安")</f>
        <v>1</v>
      </c>
      <c r="N26" s="39">
        <f>COUNTIFS('GuestAttackPlay-by-Play'!$M:$M,GuestHitterData!B26,'GuestAttackPlay-by-Play'!$R:$R,"三壘安")</f>
        <v>0</v>
      </c>
      <c r="O26" s="39">
        <f>COUNTIFS('GuestAttackPlay-by-Play'!$M:$M,GuestHitterData!B26,'GuestAttackPlay-by-Play'!$R:$R,"全壘打")</f>
        <v>0</v>
      </c>
      <c r="P26" s="39">
        <f t="shared" si="7"/>
        <v>3</v>
      </c>
      <c r="Q26" s="39">
        <f>COUNTIFS('GuestAttackPlay-by-Play'!$M:$M,GuestHitterData!B26,'GuestAttackPlay-by-Play'!$R:$R,"雙殺打")</f>
        <v>0</v>
      </c>
      <c r="R26" s="39">
        <f>COUNTIFS('GuestAttackPlay-by-Play'!$M:$M,GuestHitterData!B26,'GuestAttackPlay-by-Play'!$R:$R,"犧牲觸擊")</f>
        <v>0</v>
      </c>
      <c r="S26" s="39">
        <f>COUNTIFS('GuestAttackPlay-by-Play'!$M:$M,GuestHitterData!B26,'GuestAttackPlay-by-Play'!$R:$R,"高飛犧牲")</f>
        <v>0</v>
      </c>
      <c r="T26" s="39">
        <f>COUNTIFS('GuestAttackPlay-by-Play'!$M:$M,GuestHitterData!B26,'GuestAttackPlay-by-Play'!$R:$R,"四壞")</f>
        <v>0</v>
      </c>
      <c r="U26" s="39">
        <f>COUNTIFS('GuestAttackPlay-by-Play'!$M:$M,GuestHitterData!B26,'GuestAttackPlay-by-Play'!$R:$R,"敬遠")</f>
        <v>0</v>
      </c>
      <c r="V26" s="39">
        <f>COUNTIFS('GuestAttackPlay-by-Play'!$M:$M,GuestHitterData!B26,'GuestAttackPlay-by-Play'!$R:$R,"觸身球")</f>
        <v>0</v>
      </c>
      <c r="W26" s="39">
        <f>COUNTIFS('GuestAttackPlay-by-Play'!$M:$M,GuestHitterData!B26,'GuestAttackPlay-by-Play'!$R:$R,"*三振")</f>
        <v>0</v>
      </c>
      <c r="X26" s="39">
        <f t="shared" si="8"/>
        <v>0</v>
      </c>
      <c r="Y26" s="39">
        <f>COUNTIFS('GuestAttackPlay-by-Play'!$AC:$AC,GuestHitterData!B26,'GuestAttackPlay-by-Play'!$AA:$AA,"盜二成功")</f>
        <v>0</v>
      </c>
      <c r="Z26" s="39">
        <f>COUNTIFS('GuestAttackPlay-by-Play'!$AD:$AD,GuestHitterData!B26,'GuestAttackPlay-by-Play'!$AA:$AA,"盜三成功")</f>
        <v>0</v>
      </c>
      <c r="AA26" s="39">
        <f>COUNTIFS('GuestAttackPlay-by-Play'!$AE:$AE,"."&amp;GuestHitterData!B26,'GuestAttackPlay-by-Play'!$AA:$AA,"盜本成功")</f>
        <v>0</v>
      </c>
      <c r="AB26" s="39">
        <f>COUNTIFS('GuestAttackPlay-by-Play'!$AR:$AR,"*"&amp;B26&amp;"*",'GuestAttackPlay-by-Play'!$AA:$AA,"盜*出局")</f>
        <v>0</v>
      </c>
      <c r="AC26" s="23">
        <f t="shared" si="1"/>
        <v>0</v>
      </c>
      <c r="AD26" s="23">
        <f t="shared" si="2"/>
        <v>0.83333333333333326</v>
      </c>
      <c r="AE26" s="39">
        <f>COUNTIFS('GuestAttackPlay-by-Play'!$M:$M,GuestHitterData!B26,'GuestAttackPlay-by-Play'!$R:$R,"妨礙打擊")</f>
        <v>0</v>
      </c>
    </row>
    <row r="27" spans="1:31" x14ac:dyDescent="0.3">
      <c r="A27" s="39">
        <f>IF(Roster!K27="","-",Roster!K27)</f>
        <v>98</v>
      </c>
      <c r="B27" s="39" t="str">
        <f>IF(A27="-","-",VLOOKUP(A27,Roster!$K$2:$L$27,2,FALSE))</f>
        <v>兄弟岳東華</v>
      </c>
      <c r="C27" s="39" t="str">
        <f>IF(COUNTIF('GuestAttackPlay-by-Play'!$M:$AR,GuestHitterData!B27)&gt;=1,"1","0")</f>
        <v>0</v>
      </c>
      <c r="D27" s="39">
        <f>COUNTIFS('GuestAttackPlay-by-Play'!$M:$M,GuestHitterData!B27,'GuestAttackPlay-by-Play'!$AM:$AM,"1")</f>
        <v>0</v>
      </c>
      <c r="E27" s="39">
        <f t="shared" si="0"/>
        <v>0</v>
      </c>
      <c r="F27" s="23">
        <f t="shared" si="3"/>
        <v>0</v>
      </c>
      <c r="G27" s="23">
        <f t="shared" si="4"/>
        <v>0</v>
      </c>
      <c r="H27" s="23">
        <f t="shared" si="5"/>
        <v>0</v>
      </c>
      <c r="I27" s="39">
        <f>SUMIF('GuestAttackPlay-by-Play'!$M:$M,B27,'GuestAttackPlay-by-Play'!$AN:$AN)</f>
        <v>0</v>
      </c>
      <c r="J27" s="39">
        <f>COUNTIFS('GuestAttackPlay-by-Play'!$AE:$AE,"*"&amp;B27&amp;"*")</f>
        <v>0</v>
      </c>
      <c r="K27" s="39">
        <f t="shared" si="6"/>
        <v>0</v>
      </c>
      <c r="L27" s="39">
        <f>COUNTIFS('GuestAttackPlay-by-Play'!$M:$M,GuestHitterData!B27,'GuestAttackPlay-by-Play'!$R:$R,"一壘安")</f>
        <v>0</v>
      </c>
      <c r="M27" s="39">
        <f>COUNTIFS('GuestAttackPlay-by-Play'!$M:$M,GuestHitterData!B27,'GuestAttackPlay-by-Play'!$R:$R,"二壘安")</f>
        <v>0</v>
      </c>
      <c r="N27" s="39">
        <f>COUNTIFS('GuestAttackPlay-by-Play'!$M:$M,GuestHitterData!B27,'GuestAttackPlay-by-Play'!$R:$R,"三壘安")</f>
        <v>0</v>
      </c>
      <c r="O27" s="39">
        <f>COUNTIFS('GuestAttackPlay-by-Play'!$M:$M,GuestHitterData!B27,'GuestAttackPlay-by-Play'!$R:$R,"全壘打")</f>
        <v>0</v>
      </c>
      <c r="P27" s="39">
        <f t="shared" si="7"/>
        <v>0</v>
      </c>
      <c r="Q27" s="39">
        <f>COUNTIFS('GuestAttackPlay-by-Play'!$M:$M,GuestHitterData!B27,'GuestAttackPlay-by-Play'!$R:$R,"雙殺打")</f>
        <v>0</v>
      </c>
      <c r="R27" s="39">
        <f>COUNTIFS('GuestAttackPlay-by-Play'!$M:$M,GuestHitterData!B27,'GuestAttackPlay-by-Play'!$R:$R,"犧牲觸擊")</f>
        <v>0</v>
      </c>
      <c r="S27" s="39">
        <f>COUNTIFS('GuestAttackPlay-by-Play'!$M:$M,GuestHitterData!B27,'GuestAttackPlay-by-Play'!$R:$R,"高飛犧牲")</f>
        <v>0</v>
      </c>
      <c r="T27" s="39">
        <f>COUNTIFS('GuestAttackPlay-by-Play'!$M:$M,GuestHitterData!B27,'GuestAttackPlay-by-Play'!$R:$R,"四壞")</f>
        <v>0</v>
      </c>
      <c r="U27" s="39">
        <f>COUNTIFS('GuestAttackPlay-by-Play'!$M:$M,GuestHitterData!B27,'GuestAttackPlay-by-Play'!$R:$R,"敬遠")</f>
        <v>0</v>
      </c>
      <c r="V27" s="39">
        <f>COUNTIFS('GuestAttackPlay-by-Play'!$M:$M,GuestHitterData!B27,'GuestAttackPlay-by-Play'!$R:$R,"觸身球")</f>
        <v>0</v>
      </c>
      <c r="W27" s="39">
        <f>COUNTIFS('GuestAttackPlay-by-Play'!$M:$M,GuestHitterData!B27,'GuestAttackPlay-by-Play'!$R:$R,"*三振")</f>
        <v>0</v>
      </c>
      <c r="X27" s="39">
        <f t="shared" si="8"/>
        <v>0</v>
      </c>
      <c r="Y27" s="39">
        <f>COUNTIFS('GuestAttackPlay-by-Play'!$AC:$AC,GuestHitterData!B27,'GuestAttackPlay-by-Play'!$AA:$AA,"盜二成功")</f>
        <v>0</v>
      </c>
      <c r="Z27" s="39">
        <f>COUNTIFS('GuestAttackPlay-by-Play'!$AD:$AD,GuestHitterData!B27,'GuestAttackPlay-by-Play'!$AA:$AA,"盜三成功")</f>
        <v>0</v>
      </c>
      <c r="AA27" s="39">
        <f>COUNTIFS('GuestAttackPlay-by-Play'!$AE:$AE,"."&amp;GuestHitterData!B27,'GuestAttackPlay-by-Play'!$AA:$AA,"盜本成功")</f>
        <v>0</v>
      </c>
      <c r="AB27" s="39">
        <f>COUNTIFS('GuestAttackPlay-by-Play'!$AR:$AR,"*"&amp;B27&amp;"*",'GuestAttackPlay-by-Play'!$AA:$AA,"盜*出局")</f>
        <v>0</v>
      </c>
      <c r="AC27" s="23">
        <f t="shared" si="1"/>
        <v>0</v>
      </c>
      <c r="AD27" s="23">
        <f t="shared" si="2"/>
        <v>0</v>
      </c>
      <c r="AE27" s="39">
        <f>COUNTIFS('GuestAttackPlay-by-Play'!$M:$M,GuestHitterData!B27,'GuestAttackPlay-by-Play'!$R:$R,"妨礙打擊")</f>
        <v>0</v>
      </c>
    </row>
    <row r="28" spans="1:31" s="17" customFormat="1" x14ac:dyDescent="0.3"/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5"/>
  <dimension ref="A1:BG28"/>
  <sheetViews>
    <sheetView zoomScale="90" zoomScaleNormal="9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V15" sqref="V15"/>
    </sheetView>
  </sheetViews>
  <sheetFormatPr defaultColWidth="12.44140625" defaultRowHeight="16.2" x14ac:dyDescent="0.3"/>
  <cols>
    <col min="1" max="11" width="12.44140625" style="1"/>
    <col min="12" max="14" width="7.44140625" style="1" customWidth="1"/>
    <col min="15" max="29" width="12.44140625" style="1"/>
    <col min="30" max="30" width="17.44140625" style="1" customWidth="1"/>
    <col min="31" max="16384" width="12.44140625" style="1"/>
  </cols>
  <sheetData>
    <row r="1" spans="1:59" s="3" customFormat="1" ht="14.4" x14ac:dyDescent="0.3">
      <c r="A1" s="3" t="s">
        <v>5</v>
      </c>
      <c r="B1" s="3" t="s">
        <v>30</v>
      </c>
      <c r="C1" s="3" t="s">
        <v>32</v>
      </c>
      <c r="D1" s="3" t="s">
        <v>33</v>
      </c>
      <c r="E1" s="3" t="s">
        <v>34</v>
      </c>
      <c r="F1" s="3" t="s">
        <v>50</v>
      </c>
      <c r="G1" s="3" t="s">
        <v>51</v>
      </c>
      <c r="H1" s="3" t="s">
        <v>68</v>
      </c>
      <c r="I1" s="3" t="s">
        <v>35</v>
      </c>
      <c r="J1" s="3" t="s">
        <v>36</v>
      </c>
      <c r="K1" s="3" t="s">
        <v>37</v>
      </c>
      <c r="L1" s="3" t="s">
        <v>112</v>
      </c>
      <c r="M1" s="3" t="s">
        <v>113</v>
      </c>
      <c r="N1" s="3" t="s">
        <v>114</v>
      </c>
      <c r="O1" s="3" t="s">
        <v>38</v>
      </c>
      <c r="P1" s="3" t="s">
        <v>39</v>
      </c>
      <c r="Q1" s="3" t="s">
        <v>122</v>
      </c>
      <c r="R1" s="3" t="s">
        <v>115</v>
      </c>
      <c r="S1" s="3" t="s">
        <v>31</v>
      </c>
      <c r="T1" s="3" t="s">
        <v>41</v>
      </c>
      <c r="U1" s="3" t="s">
        <v>56</v>
      </c>
      <c r="V1" s="3" t="s">
        <v>42</v>
      </c>
      <c r="W1" s="3" t="s">
        <v>43</v>
      </c>
      <c r="X1" s="3" t="s">
        <v>44</v>
      </c>
      <c r="Y1" s="3" t="s">
        <v>117</v>
      </c>
      <c r="Z1" s="3" t="s">
        <v>119</v>
      </c>
      <c r="AA1" s="3" t="s">
        <v>120</v>
      </c>
      <c r="AB1" s="3" t="s">
        <v>45</v>
      </c>
      <c r="AC1" s="3" t="s">
        <v>47</v>
      </c>
      <c r="AD1" s="3" t="s">
        <v>67</v>
      </c>
      <c r="AE1" s="3" t="s">
        <v>116</v>
      </c>
      <c r="AG1" s="3" t="s">
        <v>48</v>
      </c>
      <c r="AH1" s="3" t="s">
        <v>64</v>
      </c>
      <c r="AI1" s="3" t="s">
        <v>49</v>
      </c>
      <c r="AJ1" s="3" t="s">
        <v>46</v>
      </c>
    </row>
    <row r="2" spans="1:59" x14ac:dyDescent="0.3">
      <c r="A2" s="1">
        <f>IF(Roster!C2="","-",Roster!C2)</f>
        <v>0</v>
      </c>
      <c r="B2" s="1" t="str">
        <f>IF(A2="-","-",VLOOKUP(A2,Roster!$C$2:$D$27,2,FALSE))</f>
        <v>樂天陳禹勳</v>
      </c>
      <c r="C2" s="1" t="str">
        <f>IF(COUNTIF('HomeAttackPlay-by-Play'!$M:$AR,HomeHitterData!B2)&gt;=1,"1","0")</f>
        <v>0</v>
      </c>
      <c r="D2" s="1">
        <f>COUNTIFS('HomeAttackPlay-by-Play'!$M:$M,HomeHitterData!B2,'HomeAttackPlay-by-Play'!$AM:$AM,"1")</f>
        <v>0</v>
      </c>
      <c r="E2" s="1">
        <f t="shared" ref="E2:E27" si="0">D2-R2-S2-T2-U2-V2-AE2</f>
        <v>0</v>
      </c>
      <c r="F2" s="23">
        <f>IF(E2=0,0,K2/E2)</f>
        <v>0</v>
      </c>
      <c r="G2" s="23">
        <f>IF(E2=0,0,P2/E2)</f>
        <v>0</v>
      </c>
      <c r="H2" s="23">
        <f>IF(E2+T2+U2+V2+S2=0,0,(K2+T2+U2+V2)/(E2+T2+U2+V2+S2))</f>
        <v>0</v>
      </c>
      <c r="I2" s="1">
        <f>SUMIF('HomeAttackPlay-by-Play'!$M:$M,B2,'HomeAttackPlay-by-Play'!$AN:$AN)</f>
        <v>0</v>
      </c>
      <c r="J2" s="1">
        <f>COUNTIFS('HomeAttackPlay-by-Play'!$AE:$AE,"*"&amp;B2&amp;"*")</f>
        <v>0</v>
      </c>
      <c r="K2" s="1">
        <f>L2+M2+N2+O2</f>
        <v>0</v>
      </c>
      <c r="L2" s="1">
        <f>COUNTIFS('HomeAttackPlay-by-Play'!$M:$M,HomeHitterData!B2,'HomeAttackPlay-by-Play'!$R:$R,"一壘安")</f>
        <v>0</v>
      </c>
      <c r="M2" s="1">
        <f>COUNTIFS('HomeAttackPlay-by-Play'!$M:$M,HomeHitterData!B2,'HomeAttackPlay-by-Play'!$R:$R,"二壘安")</f>
        <v>0</v>
      </c>
      <c r="N2" s="1">
        <f>COUNTIFS('HomeAttackPlay-by-Play'!$M:$M,HomeHitterData!B2,'HomeAttackPlay-by-Play'!$R:$R,"三壘安")</f>
        <v>0</v>
      </c>
      <c r="O2" s="1">
        <f>COUNTIFS('HomeAttackPlay-by-Play'!$M:$M,HomeHitterData!B2,'HomeAttackPlay-by-Play'!$R:$R,"全壘打")</f>
        <v>0</v>
      </c>
      <c r="P2" s="1">
        <f>L2+2*M2+3*N2+4*O2</f>
        <v>0</v>
      </c>
      <c r="Q2" s="1">
        <f>COUNTIFS('HomeAttackPlay-by-Play'!$M:$M,HomeHitterData!B2,'HomeAttackPlay-by-Play'!$R:$R,"雙殺打")</f>
        <v>0</v>
      </c>
      <c r="R2" s="1">
        <f>COUNTIFS('HomeAttackPlay-by-Play'!$M:$M,HomeHitterData!B2,'HomeAttackPlay-by-Play'!$R:$R,"犧牲觸擊")</f>
        <v>0</v>
      </c>
      <c r="S2" s="1">
        <f>COUNTIFS('HomeAttackPlay-by-Play'!$M:$M,HomeHitterData!B2,'HomeAttackPlay-by-Play'!$R:$R,"高飛犧牲")</f>
        <v>0</v>
      </c>
      <c r="T2" s="1">
        <f>COUNTIFS('HomeAttackPlay-by-Play'!$M:$M,HomeHitterData!B2,'HomeAttackPlay-by-Play'!$R:$R,"四壞")</f>
        <v>0</v>
      </c>
      <c r="U2" s="1">
        <f>COUNTIFS('HomeAttackPlay-by-Play'!$M:$M,HomeHitterData!B2,'HomeAttackPlay-by-Play'!$R:$R,"敬遠")</f>
        <v>0</v>
      </c>
      <c r="V2" s="1">
        <f>COUNTIFS('HomeAttackPlay-by-Play'!$M:$M,HomeHitterData!B2,'HomeAttackPlay-by-Play'!$R:$R,"觸身球")</f>
        <v>0</v>
      </c>
      <c r="W2" s="1">
        <f>COUNTIFS('HomeAttackPlay-by-Play'!$M:$M,HomeHitterData!B2,'HomeAttackPlay-by-Play'!$R:$R,"三振")</f>
        <v>0</v>
      </c>
      <c r="X2" s="1">
        <f>Y2+Z2+AA2</f>
        <v>0</v>
      </c>
      <c r="Y2" s="1">
        <f>COUNTIFS('HomeAttackPlay-by-Play'!$AC:$AC,HomeHitterData!B2,'HomeAttackPlay-by-Play'!$AA:$AA,"盜二成功")</f>
        <v>0</v>
      </c>
      <c r="Z2" s="1">
        <f>COUNTIFS('HomeAttackPlay-by-Play'!$AD:$AD,HomeHitterData!B2,'HomeAttackPlay-by-Play'!$AA:$AA,"盜三成功")</f>
        <v>0</v>
      </c>
      <c r="AA2" s="1">
        <f>COUNTIFS('HomeAttackPlay-by-Play'!$AE:$AE,"."&amp;HomeHitterData!B2,'HomeAttackPlay-by-Play'!$AA:$AA,"盜本成功")</f>
        <v>0</v>
      </c>
      <c r="AB2" s="1">
        <f>COUNTIFS('HomeAttackPlay-by-Play'!$AR:$AR,"*"&amp;B2&amp;"*",'HomeAttackPlay-by-Play'!$AA:$AA,"盜*出局")</f>
        <v>0</v>
      </c>
      <c r="AC2" s="23">
        <f t="shared" ref="AC2:AC27" si="1">IF(Y2+AB2=0,0,Y2/(Y2+AB2))</f>
        <v>0</v>
      </c>
      <c r="AD2" s="23">
        <f t="shared" ref="AD2:AD27" si="2">H2+G2</f>
        <v>0</v>
      </c>
      <c r="AE2" s="1">
        <f>COUNTIFS('HomeAttackPlay-by-Play'!$M:$M,HomeHitterData!B2,'HomeAttackPlay-by-Play'!$R:$R,"妨礙打擊")</f>
        <v>0</v>
      </c>
      <c r="BG2" s="21">
        <v>0.35923611111111109</v>
      </c>
    </row>
    <row r="3" spans="1:59" x14ac:dyDescent="0.3">
      <c r="A3" s="39">
        <f>IF(Roster!C3="","-",Roster!C3)</f>
        <v>4</v>
      </c>
      <c r="B3" s="39" t="str">
        <f>IF(A3="-","-",VLOOKUP(A3,Roster!$C$2:$D$27,2,FALSE))</f>
        <v>樂天黃偉晟</v>
      </c>
      <c r="C3" s="1" t="str">
        <f>IF(COUNTIF('HomeAttackPlay-by-Play'!$M:$AR,HomeHitterData!B3)&gt;=1,"1","0")</f>
        <v>0</v>
      </c>
      <c r="D3" s="1">
        <f>COUNTIFS('HomeAttackPlay-by-Play'!$M:$M,HomeHitterData!B3,'HomeAttackPlay-by-Play'!$AM:$AM,"1")</f>
        <v>0</v>
      </c>
      <c r="E3" s="1">
        <f t="shared" si="0"/>
        <v>0</v>
      </c>
      <c r="F3" s="23">
        <f t="shared" ref="F3:F27" si="3">IF(E3=0,0,K3/E3)</f>
        <v>0</v>
      </c>
      <c r="G3" s="23">
        <f t="shared" ref="G3:G27" si="4">IF(E3=0,0,P3/E3)</f>
        <v>0</v>
      </c>
      <c r="H3" s="23">
        <f t="shared" ref="H3:H27" si="5">IF(E3+T3+U3+V3+S3=0,0,(K3+T3+U3+V3)/(E3+T3+U3+V3+S3))</f>
        <v>0</v>
      </c>
      <c r="I3" s="1">
        <f>SUMIF('HomeAttackPlay-by-Play'!$M:$M,B3,'HomeAttackPlay-by-Play'!$AN:$AN)</f>
        <v>0</v>
      </c>
      <c r="J3" s="1">
        <f>COUNTIFS('HomeAttackPlay-by-Play'!$AE:$AE,"*"&amp;B3&amp;"*")</f>
        <v>0</v>
      </c>
      <c r="K3" s="1">
        <f t="shared" ref="K3:K27" si="6">L3+M3+N3+O3</f>
        <v>0</v>
      </c>
      <c r="L3" s="1">
        <f>COUNTIFS('HomeAttackPlay-by-Play'!$M:$M,HomeHitterData!B3,'HomeAttackPlay-by-Play'!$R:$R,"一壘安")</f>
        <v>0</v>
      </c>
      <c r="M3" s="1">
        <f>COUNTIFS('HomeAttackPlay-by-Play'!$M:$M,HomeHitterData!B3,'HomeAttackPlay-by-Play'!$R:$R,"二壘安")</f>
        <v>0</v>
      </c>
      <c r="N3" s="1">
        <f>COUNTIFS('HomeAttackPlay-by-Play'!$M:$M,HomeHitterData!B3,'HomeAttackPlay-by-Play'!$R:$R,"三壘安")</f>
        <v>0</v>
      </c>
      <c r="O3" s="1">
        <f>COUNTIFS('HomeAttackPlay-by-Play'!$M:$M,HomeHitterData!B3,'HomeAttackPlay-by-Play'!$R:$R,"全壘打")</f>
        <v>0</v>
      </c>
      <c r="P3" s="1">
        <f t="shared" ref="P3:P27" si="7">L3+2*M3+3*N3+4*O3</f>
        <v>0</v>
      </c>
      <c r="Q3" s="1">
        <f>COUNTIFS('HomeAttackPlay-by-Play'!$M:$M,HomeHitterData!B3,'HomeAttackPlay-by-Play'!$R:$R,"雙殺打")</f>
        <v>0</v>
      </c>
      <c r="R3" s="1">
        <f>COUNTIFS('HomeAttackPlay-by-Play'!$M:$M,HomeHitterData!B3,'HomeAttackPlay-by-Play'!$R:$R,"犧牲觸擊")</f>
        <v>0</v>
      </c>
      <c r="S3" s="1">
        <f>COUNTIFS('HomeAttackPlay-by-Play'!$M:$M,HomeHitterData!B3,'HomeAttackPlay-by-Play'!$R:$R,"高飛犧牲")</f>
        <v>0</v>
      </c>
      <c r="T3" s="1">
        <f>COUNTIFS('HomeAttackPlay-by-Play'!$M:$M,HomeHitterData!B3,'HomeAttackPlay-by-Play'!$R:$R,"四壞")</f>
        <v>0</v>
      </c>
      <c r="U3" s="1">
        <f>COUNTIFS('HomeAttackPlay-by-Play'!$M:$M,HomeHitterData!B3,'HomeAttackPlay-by-Play'!$R:$R,"敬遠")</f>
        <v>0</v>
      </c>
      <c r="V3" s="1">
        <f>COUNTIFS('HomeAttackPlay-by-Play'!$M:$M,HomeHitterData!B3,'HomeAttackPlay-by-Play'!$R:$R,"觸身球")</f>
        <v>0</v>
      </c>
      <c r="W3" s="1">
        <f>COUNTIFS('HomeAttackPlay-by-Play'!$M:$M,HomeHitterData!B3,'HomeAttackPlay-by-Play'!$R:$R,"三振")</f>
        <v>0</v>
      </c>
      <c r="X3" s="1">
        <f t="shared" ref="X3:X27" si="8">Y3+Z3+AA3</f>
        <v>0</v>
      </c>
      <c r="Y3" s="1">
        <f>COUNTIFS('HomeAttackPlay-by-Play'!$AC:$AC,HomeHitterData!B3,'HomeAttackPlay-by-Play'!$AA:$AA,"盜二成功")</f>
        <v>0</v>
      </c>
      <c r="Z3" s="1">
        <f>COUNTIFS('HomeAttackPlay-by-Play'!$AD:$AD,HomeHitterData!B3,'HomeAttackPlay-by-Play'!$AA:$AA,"盜三成功")</f>
        <v>0</v>
      </c>
      <c r="AA3" s="1">
        <f>COUNTIFS('HomeAttackPlay-by-Play'!$AE:$AE,"."&amp;HomeHitterData!B3,'HomeAttackPlay-by-Play'!$AA:$AA,"盜本成功")</f>
        <v>0</v>
      </c>
      <c r="AB3" s="1">
        <f>COUNTIFS('HomeAttackPlay-by-Play'!$AR:$AR,"*"&amp;B3&amp;"*",'HomeAttackPlay-by-Play'!$AA:$AA,"盜*出局")</f>
        <v>0</v>
      </c>
      <c r="AC3" s="23">
        <f t="shared" si="1"/>
        <v>0</v>
      </c>
      <c r="AD3" s="23">
        <f t="shared" si="2"/>
        <v>0</v>
      </c>
      <c r="AE3" s="1">
        <f>COUNTIFS('HomeAttackPlay-by-Play'!$M:$M,HomeHitterData!B3,'HomeAttackPlay-by-Play'!$R:$R,"妨礙打擊")</f>
        <v>0</v>
      </c>
    </row>
    <row r="4" spans="1:59" x14ac:dyDescent="0.3">
      <c r="A4" s="39">
        <f>IF(Roster!C4="","-",Roster!C4)</f>
        <v>16</v>
      </c>
      <c r="B4" s="39" t="str">
        <f>IF(A4="-","-",VLOOKUP(A4,Roster!$C$2:$D$27,2,FALSE))</f>
        <v>樂天張喜凱</v>
      </c>
      <c r="C4" s="1" t="str">
        <f>IF(COUNTIF('HomeAttackPlay-by-Play'!$M:$AR,HomeHitterData!B4)&gt;=1,"1","0")</f>
        <v>0</v>
      </c>
      <c r="D4" s="1">
        <f>COUNTIFS('HomeAttackPlay-by-Play'!$M:$M,HomeHitterData!B4,'HomeAttackPlay-by-Play'!$AM:$AM,"1")</f>
        <v>0</v>
      </c>
      <c r="E4" s="1">
        <f t="shared" si="0"/>
        <v>0</v>
      </c>
      <c r="F4" s="23">
        <f t="shared" si="3"/>
        <v>0</v>
      </c>
      <c r="G4" s="23">
        <f t="shared" si="4"/>
        <v>0</v>
      </c>
      <c r="H4" s="23">
        <f t="shared" si="5"/>
        <v>0</v>
      </c>
      <c r="I4" s="1">
        <f>SUMIF('HomeAttackPlay-by-Play'!$M:$M,B4,'HomeAttackPlay-by-Play'!$AN:$AN)</f>
        <v>0</v>
      </c>
      <c r="J4" s="1">
        <f>COUNTIFS('HomeAttackPlay-by-Play'!$AE:$AE,"*"&amp;B4&amp;"*")</f>
        <v>0</v>
      </c>
      <c r="K4" s="1">
        <f t="shared" si="6"/>
        <v>0</v>
      </c>
      <c r="L4" s="1">
        <f>COUNTIFS('HomeAttackPlay-by-Play'!$M:$M,HomeHitterData!B4,'HomeAttackPlay-by-Play'!$R:$R,"一壘安")</f>
        <v>0</v>
      </c>
      <c r="M4" s="1">
        <f>COUNTIFS('HomeAttackPlay-by-Play'!$M:$M,HomeHitterData!B4,'HomeAttackPlay-by-Play'!$R:$R,"二壘安")</f>
        <v>0</v>
      </c>
      <c r="N4" s="1">
        <f>COUNTIFS('HomeAttackPlay-by-Play'!$M:$M,HomeHitterData!B4,'HomeAttackPlay-by-Play'!$R:$R,"三壘安")</f>
        <v>0</v>
      </c>
      <c r="O4" s="1">
        <f>COUNTIFS('HomeAttackPlay-by-Play'!$M:$M,HomeHitterData!B4,'HomeAttackPlay-by-Play'!$R:$R,"全壘打")</f>
        <v>0</v>
      </c>
      <c r="P4" s="1">
        <f t="shared" si="7"/>
        <v>0</v>
      </c>
      <c r="Q4" s="1">
        <f>COUNTIFS('HomeAttackPlay-by-Play'!$M:$M,HomeHitterData!B4,'HomeAttackPlay-by-Play'!$R:$R,"雙殺打")</f>
        <v>0</v>
      </c>
      <c r="R4" s="1">
        <f>COUNTIFS('HomeAttackPlay-by-Play'!$M:$M,HomeHitterData!B4,'HomeAttackPlay-by-Play'!$R:$R,"犧牲觸擊")</f>
        <v>0</v>
      </c>
      <c r="S4" s="1">
        <f>COUNTIFS('HomeAttackPlay-by-Play'!$M:$M,HomeHitterData!B4,'HomeAttackPlay-by-Play'!$R:$R,"高飛犧牲")</f>
        <v>0</v>
      </c>
      <c r="T4" s="1">
        <f>COUNTIFS('HomeAttackPlay-by-Play'!$M:$M,HomeHitterData!B4,'HomeAttackPlay-by-Play'!$R:$R,"四壞")</f>
        <v>0</v>
      </c>
      <c r="U4" s="1">
        <f>COUNTIFS('HomeAttackPlay-by-Play'!$M:$M,HomeHitterData!B4,'HomeAttackPlay-by-Play'!$R:$R,"敬遠")</f>
        <v>0</v>
      </c>
      <c r="V4" s="1">
        <f>COUNTIFS('HomeAttackPlay-by-Play'!$M:$M,HomeHitterData!B4,'HomeAttackPlay-by-Play'!$R:$R,"觸身球")</f>
        <v>0</v>
      </c>
      <c r="W4" s="1">
        <f>COUNTIFS('HomeAttackPlay-by-Play'!$M:$M,HomeHitterData!B4,'HomeAttackPlay-by-Play'!$R:$R,"三振")</f>
        <v>0</v>
      </c>
      <c r="X4" s="1">
        <f t="shared" si="8"/>
        <v>0</v>
      </c>
      <c r="Y4" s="1">
        <f>COUNTIFS('HomeAttackPlay-by-Play'!$AC:$AC,HomeHitterData!B4,'HomeAttackPlay-by-Play'!$AA:$AA,"盜二成功")</f>
        <v>0</v>
      </c>
      <c r="Z4" s="1">
        <f>COUNTIFS('HomeAttackPlay-by-Play'!$AD:$AD,HomeHitterData!B4,'HomeAttackPlay-by-Play'!$AA:$AA,"盜三成功")</f>
        <v>0</v>
      </c>
      <c r="AA4" s="1">
        <f>COUNTIFS('HomeAttackPlay-by-Play'!$AE:$AE,"."&amp;HomeHitterData!B4,'HomeAttackPlay-by-Play'!$AA:$AA,"盜本成功")</f>
        <v>0</v>
      </c>
      <c r="AB4" s="1">
        <f>COUNTIFS('HomeAttackPlay-by-Play'!$AR:$AR,"*"&amp;B4&amp;"*",'HomeAttackPlay-by-Play'!$AA:$AA,"盜*出局")</f>
        <v>0</v>
      </c>
      <c r="AC4" s="23">
        <f t="shared" si="1"/>
        <v>0</v>
      </c>
      <c r="AD4" s="23">
        <f t="shared" si="2"/>
        <v>0</v>
      </c>
      <c r="AE4" s="1">
        <f>COUNTIFS('HomeAttackPlay-by-Play'!$M:$M,HomeHitterData!B4,'HomeAttackPlay-by-Play'!$R:$R,"妨礙打擊")</f>
        <v>0</v>
      </c>
    </row>
    <row r="5" spans="1:59" x14ac:dyDescent="0.3">
      <c r="A5" s="39">
        <f>IF(Roster!C5="","-",Roster!C5)</f>
        <v>17</v>
      </c>
      <c r="B5" s="39" t="str">
        <f>IF(A5="-","-",VLOOKUP(A5,Roster!$C$2:$D$27,2,FALSE))</f>
        <v>樂天游朝惟</v>
      </c>
      <c r="C5" s="1" t="str">
        <f>IF(COUNTIF('HomeAttackPlay-by-Play'!$M:$AR,HomeHitterData!B5)&gt;=1,"1","0")</f>
        <v>0</v>
      </c>
      <c r="D5" s="1">
        <f>COUNTIFS('HomeAttackPlay-by-Play'!$M:$M,HomeHitterData!B5,'HomeAttackPlay-by-Play'!$AM:$AM,"1")</f>
        <v>0</v>
      </c>
      <c r="E5" s="1">
        <f t="shared" si="0"/>
        <v>0</v>
      </c>
      <c r="F5" s="23">
        <f t="shared" si="3"/>
        <v>0</v>
      </c>
      <c r="G5" s="23">
        <f t="shared" si="4"/>
        <v>0</v>
      </c>
      <c r="H5" s="23">
        <f t="shared" si="5"/>
        <v>0</v>
      </c>
      <c r="I5" s="1">
        <f>SUMIF('HomeAttackPlay-by-Play'!$M:$M,B5,'HomeAttackPlay-by-Play'!$AN:$AN)</f>
        <v>0</v>
      </c>
      <c r="J5" s="1">
        <f>COUNTIFS('HomeAttackPlay-by-Play'!$AE:$AE,"*"&amp;B5&amp;"*")</f>
        <v>0</v>
      </c>
      <c r="K5" s="1">
        <f t="shared" si="6"/>
        <v>0</v>
      </c>
      <c r="L5" s="1">
        <f>COUNTIFS('HomeAttackPlay-by-Play'!$M:$M,HomeHitterData!B5,'HomeAttackPlay-by-Play'!$R:$R,"一壘安")</f>
        <v>0</v>
      </c>
      <c r="M5" s="1">
        <f>COUNTIFS('HomeAttackPlay-by-Play'!$M:$M,HomeHitterData!B5,'HomeAttackPlay-by-Play'!$R:$R,"二壘安")</f>
        <v>0</v>
      </c>
      <c r="N5" s="1">
        <f>COUNTIFS('HomeAttackPlay-by-Play'!$M:$M,HomeHitterData!B5,'HomeAttackPlay-by-Play'!$R:$R,"三壘安")</f>
        <v>0</v>
      </c>
      <c r="O5" s="1">
        <f>COUNTIFS('HomeAttackPlay-by-Play'!$M:$M,HomeHitterData!B5,'HomeAttackPlay-by-Play'!$R:$R,"全壘打")</f>
        <v>0</v>
      </c>
      <c r="P5" s="1">
        <f t="shared" si="7"/>
        <v>0</v>
      </c>
      <c r="Q5" s="1">
        <f>COUNTIFS('HomeAttackPlay-by-Play'!$M:$M,HomeHitterData!B5,'HomeAttackPlay-by-Play'!$R:$R,"雙殺打")</f>
        <v>0</v>
      </c>
      <c r="R5" s="1">
        <f>COUNTIFS('HomeAttackPlay-by-Play'!$M:$M,HomeHitterData!B5,'HomeAttackPlay-by-Play'!$R:$R,"犧牲觸擊")</f>
        <v>0</v>
      </c>
      <c r="S5" s="1">
        <f>COUNTIFS('HomeAttackPlay-by-Play'!$M:$M,HomeHitterData!B5,'HomeAttackPlay-by-Play'!$R:$R,"高飛犧牲")</f>
        <v>0</v>
      </c>
      <c r="T5" s="1">
        <f>COUNTIFS('HomeAttackPlay-by-Play'!$M:$M,HomeHitterData!B5,'HomeAttackPlay-by-Play'!$R:$R,"四壞")</f>
        <v>0</v>
      </c>
      <c r="U5" s="1">
        <f>COUNTIFS('HomeAttackPlay-by-Play'!$M:$M,HomeHitterData!B5,'HomeAttackPlay-by-Play'!$R:$R,"敬遠")</f>
        <v>0</v>
      </c>
      <c r="V5" s="1">
        <f>COUNTIFS('HomeAttackPlay-by-Play'!$M:$M,HomeHitterData!B5,'HomeAttackPlay-by-Play'!$R:$R,"觸身球")</f>
        <v>0</v>
      </c>
      <c r="W5" s="1">
        <f>COUNTIFS('HomeAttackPlay-by-Play'!$M:$M,HomeHitterData!B5,'HomeAttackPlay-by-Play'!$R:$R,"三振")</f>
        <v>0</v>
      </c>
      <c r="X5" s="1">
        <f t="shared" si="8"/>
        <v>0</v>
      </c>
      <c r="Y5" s="1">
        <f>COUNTIFS('HomeAttackPlay-by-Play'!$AC:$AC,HomeHitterData!B5,'HomeAttackPlay-by-Play'!$AA:$AA,"盜二成功")</f>
        <v>0</v>
      </c>
      <c r="Z5" s="1">
        <f>COUNTIFS('HomeAttackPlay-by-Play'!$AD:$AD,HomeHitterData!B5,'HomeAttackPlay-by-Play'!$AA:$AA,"盜三成功")</f>
        <v>0</v>
      </c>
      <c r="AA5" s="1">
        <f>COUNTIFS('HomeAttackPlay-by-Play'!$AE:$AE,"."&amp;HomeHitterData!B5,'HomeAttackPlay-by-Play'!$AA:$AA,"盜本成功")</f>
        <v>0</v>
      </c>
      <c r="AB5" s="1">
        <f>COUNTIFS('HomeAttackPlay-by-Play'!$AR:$AR,"*"&amp;B5&amp;"*",'HomeAttackPlay-by-Play'!$AA:$AA,"盜*出局")</f>
        <v>0</v>
      </c>
      <c r="AC5" s="23">
        <f t="shared" si="1"/>
        <v>0</v>
      </c>
      <c r="AD5" s="23">
        <f t="shared" si="2"/>
        <v>0</v>
      </c>
      <c r="AE5" s="1">
        <f>COUNTIFS('HomeAttackPlay-by-Play'!$M:$M,HomeHitterData!B5,'HomeAttackPlay-by-Play'!$R:$R,"妨礙打擊")</f>
        <v>0</v>
      </c>
    </row>
    <row r="6" spans="1:59" x14ac:dyDescent="0.3">
      <c r="A6" s="39">
        <f>IF(Roster!C6="","-",Roster!C6)</f>
        <v>26</v>
      </c>
      <c r="B6" s="39" t="str">
        <f>IF(A6="-","-",VLOOKUP(A6,Roster!$C$2:$D$27,2,FALSE))</f>
        <v>樂天葉家淇</v>
      </c>
      <c r="C6" s="1" t="str">
        <f>IF(COUNTIF('HomeAttackPlay-by-Play'!$M:$AR,HomeHitterData!B6)&gt;=1,"1","0")</f>
        <v>0</v>
      </c>
      <c r="D6" s="1">
        <f>COUNTIFS('HomeAttackPlay-by-Play'!$M:$M,HomeHitterData!B6,'HomeAttackPlay-by-Play'!$AM:$AM,"1")</f>
        <v>0</v>
      </c>
      <c r="E6" s="1">
        <f t="shared" si="0"/>
        <v>0</v>
      </c>
      <c r="F6" s="23">
        <f t="shared" si="3"/>
        <v>0</v>
      </c>
      <c r="G6" s="23">
        <f t="shared" si="4"/>
        <v>0</v>
      </c>
      <c r="H6" s="23">
        <f t="shared" si="5"/>
        <v>0</v>
      </c>
      <c r="I6" s="1">
        <f>SUMIF('HomeAttackPlay-by-Play'!$M:$M,B6,'HomeAttackPlay-by-Play'!$AN:$AN)</f>
        <v>0</v>
      </c>
      <c r="J6" s="1">
        <f>COUNTIFS('HomeAttackPlay-by-Play'!$AE:$AE,"*"&amp;B6&amp;"*")</f>
        <v>0</v>
      </c>
      <c r="K6" s="1">
        <f t="shared" si="6"/>
        <v>0</v>
      </c>
      <c r="L6" s="1">
        <f>COUNTIFS('HomeAttackPlay-by-Play'!$M:$M,HomeHitterData!B6,'HomeAttackPlay-by-Play'!$R:$R,"一壘安")</f>
        <v>0</v>
      </c>
      <c r="M6" s="1">
        <f>COUNTIFS('HomeAttackPlay-by-Play'!$M:$M,HomeHitterData!B6,'HomeAttackPlay-by-Play'!$R:$R,"二壘安")</f>
        <v>0</v>
      </c>
      <c r="N6" s="1">
        <f>COUNTIFS('HomeAttackPlay-by-Play'!$M:$M,HomeHitterData!B6,'HomeAttackPlay-by-Play'!$R:$R,"三壘安")</f>
        <v>0</v>
      </c>
      <c r="O6" s="1">
        <f>COUNTIFS('HomeAttackPlay-by-Play'!$M:$M,HomeHitterData!B6,'HomeAttackPlay-by-Play'!$R:$R,"全壘打")</f>
        <v>0</v>
      </c>
      <c r="P6" s="1">
        <f t="shared" si="7"/>
        <v>0</v>
      </c>
      <c r="Q6" s="1">
        <f>COUNTIFS('HomeAttackPlay-by-Play'!$M:$M,HomeHitterData!B6,'HomeAttackPlay-by-Play'!$R:$R,"雙殺打")</f>
        <v>0</v>
      </c>
      <c r="R6" s="1">
        <f>COUNTIFS('HomeAttackPlay-by-Play'!$M:$M,HomeHitterData!B6,'HomeAttackPlay-by-Play'!$R:$R,"犧牲觸擊")</f>
        <v>0</v>
      </c>
      <c r="S6" s="1">
        <f>COUNTIFS('HomeAttackPlay-by-Play'!$M:$M,HomeHitterData!B6,'HomeAttackPlay-by-Play'!$R:$R,"高飛犧牲")</f>
        <v>0</v>
      </c>
      <c r="T6" s="1">
        <f>COUNTIFS('HomeAttackPlay-by-Play'!$M:$M,HomeHitterData!B6,'HomeAttackPlay-by-Play'!$R:$R,"四壞")</f>
        <v>0</v>
      </c>
      <c r="U6" s="1">
        <f>COUNTIFS('HomeAttackPlay-by-Play'!$M:$M,HomeHitterData!B6,'HomeAttackPlay-by-Play'!$R:$R,"敬遠")</f>
        <v>0</v>
      </c>
      <c r="V6" s="1">
        <f>COUNTIFS('HomeAttackPlay-by-Play'!$M:$M,HomeHitterData!B6,'HomeAttackPlay-by-Play'!$R:$R,"觸身球")</f>
        <v>0</v>
      </c>
      <c r="W6" s="1">
        <f>COUNTIFS('HomeAttackPlay-by-Play'!$M:$M,HomeHitterData!B6,'HomeAttackPlay-by-Play'!$R:$R,"三振")</f>
        <v>0</v>
      </c>
      <c r="X6" s="1">
        <f t="shared" si="8"/>
        <v>0</v>
      </c>
      <c r="Y6" s="1">
        <f>COUNTIFS('HomeAttackPlay-by-Play'!$AC:$AC,HomeHitterData!B6,'HomeAttackPlay-by-Play'!$AA:$AA,"盜二成功")</f>
        <v>0</v>
      </c>
      <c r="Z6" s="1">
        <f>COUNTIFS('HomeAttackPlay-by-Play'!$AD:$AD,HomeHitterData!B6,'HomeAttackPlay-by-Play'!$AA:$AA,"盜三成功")</f>
        <v>0</v>
      </c>
      <c r="AA6" s="1">
        <f>COUNTIFS('HomeAttackPlay-by-Play'!$AE:$AE,"."&amp;HomeHitterData!B6,'HomeAttackPlay-by-Play'!$AA:$AA,"盜本成功")</f>
        <v>0</v>
      </c>
      <c r="AB6" s="1">
        <f>COUNTIFS('HomeAttackPlay-by-Play'!$AR:$AR,"*"&amp;B6&amp;"*",'HomeAttackPlay-by-Play'!$AA:$AA,"盜*出局")</f>
        <v>0</v>
      </c>
      <c r="AC6" s="23">
        <f t="shared" si="1"/>
        <v>0</v>
      </c>
      <c r="AD6" s="23">
        <f t="shared" si="2"/>
        <v>0</v>
      </c>
      <c r="AE6" s="1">
        <f>COUNTIFS('HomeAttackPlay-by-Play'!$M:$M,HomeHitterData!B6,'HomeAttackPlay-by-Play'!$R:$R,"妨礙打擊")</f>
        <v>0</v>
      </c>
    </row>
    <row r="7" spans="1:59" x14ac:dyDescent="0.3">
      <c r="A7" s="39">
        <f>IF(Roster!C7="","-",Roster!C7)</f>
        <v>32</v>
      </c>
      <c r="B7" s="39" t="str">
        <f>IF(A7="-","-",VLOOKUP(A7,Roster!$C$2:$D$27,2,FALSE))</f>
        <v>樂天王溢正</v>
      </c>
      <c r="C7" s="1" t="str">
        <f>IF(COUNTIF('HomeAttackPlay-by-Play'!$M:$AR,HomeHitterData!B7)&gt;=1,"1","0")</f>
        <v>0</v>
      </c>
      <c r="D7" s="1">
        <f>COUNTIFS('HomeAttackPlay-by-Play'!$M:$M,HomeHitterData!B7,'HomeAttackPlay-by-Play'!$AM:$AM,"1")</f>
        <v>0</v>
      </c>
      <c r="E7" s="1">
        <f t="shared" si="0"/>
        <v>0</v>
      </c>
      <c r="F7" s="23">
        <f t="shared" si="3"/>
        <v>0</v>
      </c>
      <c r="G7" s="23">
        <f t="shared" si="4"/>
        <v>0</v>
      </c>
      <c r="H7" s="23">
        <f t="shared" si="5"/>
        <v>0</v>
      </c>
      <c r="I7" s="1">
        <f>SUMIF('HomeAttackPlay-by-Play'!$M:$M,B7,'HomeAttackPlay-by-Play'!$AN:$AN)</f>
        <v>0</v>
      </c>
      <c r="J7" s="1">
        <f>COUNTIFS('HomeAttackPlay-by-Play'!$AE:$AE,"*"&amp;B7&amp;"*")</f>
        <v>0</v>
      </c>
      <c r="K7" s="1">
        <f t="shared" si="6"/>
        <v>0</v>
      </c>
      <c r="L7" s="1">
        <f>COUNTIFS('HomeAttackPlay-by-Play'!$M:$M,HomeHitterData!B7,'HomeAttackPlay-by-Play'!$R:$R,"一壘安")</f>
        <v>0</v>
      </c>
      <c r="M7" s="1">
        <f>COUNTIFS('HomeAttackPlay-by-Play'!$M:$M,HomeHitterData!B7,'HomeAttackPlay-by-Play'!$R:$R,"二壘安")</f>
        <v>0</v>
      </c>
      <c r="N7" s="1">
        <f>COUNTIFS('HomeAttackPlay-by-Play'!$M:$M,HomeHitterData!B7,'HomeAttackPlay-by-Play'!$R:$R,"三壘安")</f>
        <v>0</v>
      </c>
      <c r="O7" s="1">
        <f>COUNTIFS('HomeAttackPlay-by-Play'!$M:$M,HomeHitterData!B7,'HomeAttackPlay-by-Play'!$R:$R,"全壘打")</f>
        <v>0</v>
      </c>
      <c r="P7" s="1">
        <f t="shared" si="7"/>
        <v>0</v>
      </c>
      <c r="Q7" s="1">
        <f>COUNTIFS('HomeAttackPlay-by-Play'!$M:$M,HomeHitterData!B7,'HomeAttackPlay-by-Play'!$R:$R,"雙殺打")</f>
        <v>0</v>
      </c>
      <c r="R7" s="1">
        <f>COUNTIFS('HomeAttackPlay-by-Play'!$M:$M,HomeHitterData!B7,'HomeAttackPlay-by-Play'!$R:$R,"犧牲觸擊")</f>
        <v>0</v>
      </c>
      <c r="S7" s="1">
        <f>COUNTIFS('HomeAttackPlay-by-Play'!$M:$M,HomeHitterData!B7,'HomeAttackPlay-by-Play'!$R:$R,"高飛犧牲")</f>
        <v>0</v>
      </c>
      <c r="T7" s="1">
        <f>COUNTIFS('HomeAttackPlay-by-Play'!$M:$M,HomeHitterData!B7,'HomeAttackPlay-by-Play'!$R:$R,"四壞")</f>
        <v>0</v>
      </c>
      <c r="U7" s="1">
        <f>COUNTIFS('HomeAttackPlay-by-Play'!$M:$M,HomeHitterData!B7,'HomeAttackPlay-by-Play'!$R:$R,"敬遠")</f>
        <v>0</v>
      </c>
      <c r="V7" s="1">
        <f>COUNTIFS('HomeAttackPlay-by-Play'!$M:$M,HomeHitterData!B7,'HomeAttackPlay-by-Play'!$R:$R,"觸身球")</f>
        <v>0</v>
      </c>
      <c r="W7" s="1">
        <f>COUNTIFS('HomeAttackPlay-by-Play'!$M:$M,HomeHitterData!B7,'HomeAttackPlay-by-Play'!$R:$R,"三振")</f>
        <v>0</v>
      </c>
      <c r="X7" s="1">
        <f t="shared" si="8"/>
        <v>0</v>
      </c>
      <c r="Y7" s="1">
        <f>COUNTIFS('HomeAttackPlay-by-Play'!$AC:$AC,HomeHitterData!B7,'HomeAttackPlay-by-Play'!$AA:$AA,"盜二成功")</f>
        <v>0</v>
      </c>
      <c r="Z7" s="1">
        <f>COUNTIFS('HomeAttackPlay-by-Play'!$AD:$AD,HomeHitterData!B7,'HomeAttackPlay-by-Play'!$AA:$AA,"盜三成功")</f>
        <v>0</v>
      </c>
      <c r="AA7" s="1">
        <f>COUNTIFS('HomeAttackPlay-by-Play'!$AE:$AE,"."&amp;HomeHitterData!B7,'HomeAttackPlay-by-Play'!$AA:$AA,"盜本成功")</f>
        <v>0</v>
      </c>
      <c r="AB7" s="1">
        <f>COUNTIFS('HomeAttackPlay-by-Play'!$AR:$AR,"*"&amp;B7&amp;"*",'HomeAttackPlay-by-Play'!$AA:$AA,"盜*出局")</f>
        <v>0</v>
      </c>
      <c r="AC7" s="23">
        <f t="shared" si="1"/>
        <v>0</v>
      </c>
      <c r="AD7" s="23">
        <f t="shared" si="2"/>
        <v>0</v>
      </c>
      <c r="AE7" s="1">
        <f>COUNTIFS('HomeAttackPlay-by-Play'!$M:$M,HomeHitterData!B7,'HomeAttackPlay-by-Play'!$R:$R,"妨礙打擊")</f>
        <v>0</v>
      </c>
    </row>
    <row r="8" spans="1:59" x14ac:dyDescent="0.3">
      <c r="A8" s="39">
        <f>IF(Roster!C8="","-",Roster!C8)</f>
        <v>48</v>
      </c>
      <c r="B8" s="39" t="str">
        <f>IF(A8="-","-",VLOOKUP(A8,Roster!$C$2:$D$27,2,FALSE))</f>
        <v>樂天賴鴻誠</v>
      </c>
      <c r="C8" s="1" t="str">
        <f>IF(COUNTIF('HomeAttackPlay-by-Play'!$M:$AR,HomeHitterData!B8)&gt;=1,"1","0")</f>
        <v>0</v>
      </c>
      <c r="D8" s="1">
        <f>COUNTIFS('HomeAttackPlay-by-Play'!$M:$M,HomeHitterData!B8,'HomeAttackPlay-by-Play'!$AM:$AM,"1")</f>
        <v>0</v>
      </c>
      <c r="E8" s="1">
        <f t="shared" si="0"/>
        <v>0</v>
      </c>
      <c r="F8" s="23">
        <f t="shared" si="3"/>
        <v>0</v>
      </c>
      <c r="G8" s="23">
        <f t="shared" si="4"/>
        <v>0</v>
      </c>
      <c r="H8" s="23">
        <f t="shared" si="5"/>
        <v>0</v>
      </c>
      <c r="I8" s="1">
        <f>SUMIF('HomeAttackPlay-by-Play'!$M:$M,B8,'HomeAttackPlay-by-Play'!$AN:$AN)</f>
        <v>0</v>
      </c>
      <c r="J8" s="1">
        <f>COUNTIFS('HomeAttackPlay-by-Play'!$AE:$AE,"*"&amp;B8&amp;"*")</f>
        <v>0</v>
      </c>
      <c r="K8" s="1">
        <f t="shared" si="6"/>
        <v>0</v>
      </c>
      <c r="L8" s="1">
        <f>COUNTIFS('HomeAttackPlay-by-Play'!$M:$M,HomeHitterData!B8,'HomeAttackPlay-by-Play'!$R:$R,"一壘安")</f>
        <v>0</v>
      </c>
      <c r="M8" s="1">
        <f>COUNTIFS('HomeAttackPlay-by-Play'!$M:$M,HomeHitterData!B8,'HomeAttackPlay-by-Play'!$R:$R,"二壘安")</f>
        <v>0</v>
      </c>
      <c r="N8" s="1">
        <f>COUNTIFS('HomeAttackPlay-by-Play'!$M:$M,HomeHitterData!B8,'HomeAttackPlay-by-Play'!$R:$R,"三壘安")</f>
        <v>0</v>
      </c>
      <c r="O8" s="1">
        <f>COUNTIFS('HomeAttackPlay-by-Play'!$M:$M,HomeHitterData!B8,'HomeAttackPlay-by-Play'!$R:$R,"全壘打")</f>
        <v>0</v>
      </c>
      <c r="P8" s="1">
        <f t="shared" si="7"/>
        <v>0</v>
      </c>
      <c r="Q8" s="1">
        <f>COUNTIFS('HomeAttackPlay-by-Play'!$M:$M,HomeHitterData!B8,'HomeAttackPlay-by-Play'!$R:$R,"雙殺打")</f>
        <v>0</v>
      </c>
      <c r="R8" s="1">
        <f>COUNTIFS('HomeAttackPlay-by-Play'!$M:$M,HomeHitterData!B8,'HomeAttackPlay-by-Play'!$R:$R,"犧牲觸擊")</f>
        <v>0</v>
      </c>
      <c r="S8" s="1">
        <f>COUNTIFS('HomeAttackPlay-by-Play'!$M:$M,HomeHitterData!B8,'HomeAttackPlay-by-Play'!$R:$R,"高飛犧牲")</f>
        <v>0</v>
      </c>
      <c r="T8" s="1">
        <f>COUNTIFS('HomeAttackPlay-by-Play'!$M:$M,HomeHitterData!B8,'HomeAttackPlay-by-Play'!$R:$R,"四壞")</f>
        <v>0</v>
      </c>
      <c r="U8" s="1">
        <f>COUNTIFS('HomeAttackPlay-by-Play'!$M:$M,HomeHitterData!B8,'HomeAttackPlay-by-Play'!$R:$R,"敬遠")</f>
        <v>0</v>
      </c>
      <c r="V8" s="1">
        <f>COUNTIFS('HomeAttackPlay-by-Play'!$M:$M,HomeHitterData!B8,'HomeAttackPlay-by-Play'!$R:$R,"觸身球")</f>
        <v>0</v>
      </c>
      <c r="W8" s="1">
        <f>COUNTIFS('HomeAttackPlay-by-Play'!$M:$M,HomeHitterData!B8,'HomeAttackPlay-by-Play'!$R:$R,"三振")</f>
        <v>0</v>
      </c>
      <c r="X8" s="1">
        <f t="shared" si="8"/>
        <v>0</v>
      </c>
      <c r="Y8" s="1">
        <f>COUNTIFS('HomeAttackPlay-by-Play'!$AC:$AC,HomeHitterData!B8,'HomeAttackPlay-by-Play'!$AA:$AA,"盜二成功")</f>
        <v>0</v>
      </c>
      <c r="Z8" s="1">
        <f>COUNTIFS('HomeAttackPlay-by-Play'!$AD:$AD,HomeHitterData!B8,'HomeAttackPlay-by-Play'!$AA:$AA,"盜三成功")</f>
        <v>0</v>
      </c>
      <c r="AA8" s="1">
        <f>COUNTIFS('HomeAttackPlay-by-Play'!$AE:$AE,"."&amp;HomeHitterData!B8,'HomeAttackPlay-by-Play'!$AA:$AA,"盜本成功")</f>
        <v>0</v>
      </c>
      <c r="AB8" s="1">
        <f>COUNTIFS('HomeAttackPlay-by-Play'!$AR:$AR,"*"&amp;B8&amp;"*",'HomeAttackPlay-by-Play'!$AA:$AA,"盜*出局")</f>
        <v>0</v>
      </c>
      <c r="AC8" s="23">
        <f t="shared" si="1"/>
        <v>0</v>
      </c>
      <c r="AD8" s="23">
        <f t="shared" si="2"/>
        <v>0</v>
      </c>
      <c r="AE8" s="1">
        <f>COUNTIFS('HomeAttackPlay-by-Play'!$M:$M,HomeHitterData!B8,'HomeAttackPlay-by-Play'!$R:$R,"妨礙打擊")</f>
        <v>0</v>
      </c>
    </row>
    <row r="9" spans="1:59" x14ac:dyDescent="0.3">
      <c r="A9" s="39">
        <f>IF(Roster!C9="","-",Roster!C9)</f>
        <v>60</v>
      </c>
      <c r="B9" s="39" t="str">
        <f>IF(A9="-","-",VLOOKUP(A9,Roster!$C$2:$D$27,2,FALSE))</f>
        <v>樂天洪聖欽</v>
      </c>
      <c r="C9" s="1" t="str">
        <f>IF(COUNTIF('HomeAttackPlay-by-Play'!$M:$AR,HomeHitterData!B9)&gt;=1,"1","0")</f>
        <v>0</v>
      </c>
      <c r="D9" s="1">
        <f>COUNTIFS('HomeAttackPlay-by-Play'!$M:$M,HomeHitterData!B9,'HomeAttackPlay-by-Play'!$AM:$AM,"1")</f>
        <v>0</v>
      </c>
      <c r="E9" s="1">
        <f t="shared" si="0"/>
        <v>0</v>
      </c>
      <c r="F9" s="23">
        <f t="shared" si="3"/>
        <v>0</v>
      </c>
      <c r="G9" s="23">
        <f t="shared" si="4"/>
        <v>0</v>
      </c>
      <c r="H9" s="23">
        <f t="shared" si="5"/>
        <v>0</v>
      </c>
      <c r="I9" s="1">
        <f>SUMIF('HomeAttackPlay-by-Play'!$M:$M,B9,'HomeAttackPlay-by-Play'!$AN:$AN)</f>
        <v>0</v>
      </c>
      <c r="J9" s="1">
        <f>COUNTIFS('HomeAttackPlay-by-Play'!$AE:$AE,"*"&amp;B9&amp;"*")</f>
        <v>0</v>
      </c>
      <c r="K9" s="1">
        <f t="shared" si="6"/>
        <v>0</v>
      </c>
      <c r="L9" s="1">
        <f>COUNTIFS('HomeAttackPlay-by-Play'!$M:$M,HomeHitterData!B9,'HomeAttackPlay-by-Play'!$R:$R,"一壘安")</f>
        <v>0</v>
      </c>
      <c r="M9" s="1">
        <f>COUNTIFS('HomeAttackPlay-by-Play'!$M:$M,HomeHitterData!B9,'HomeAttackPlay-by-Play'!$R:$R,"二壘安")</f>
        <v>0</v>
      </c>
      <c r="N9" s="1">
        <f>COUNTIFS('HomeAttackPlay-by-Play'!$M:$M,HomeHitterData!B9,'HomeAttackPlay-by-Play'!$R:$R,"三壘安")</f>
        <v>0</v>
      </c>
      <c r="O9" s="1">
        <f>COUNTIFS('HomeAttackPlay-by-Play'!$M:$M,HomeHitterData!B9,'HomeAttackPlay-by-Play'!$R:$R,"全壘打")</f>
        <v>0</v>
      </c>
      <c r="P9" s="1">
        <f t="shared" si="7"/>
        <v>0</v>
      </c>
      <c r="Q9" s="1">
        <f>COUNTIFS('HomeAttackPlay-by-Play'!$M:$M,HomeHitterData!B9,'HomeAttackPlay-by-Play'!$R:$R,"雙殺打")</f>
        <v>0</v>
      </c>
      <c r="R9" s="1">
        <f>COUNTIFS('HomeAttackPlay-by-Play'!$M:$M,HomeHitterData!B9,'HomeAttackPlay-by-Play'!$R:$R,"犧牲觸擊")</f>
        <v>0</v>
      </c>
      <c r="S9" s="1">
        <f>COUNTIFS('HomeAttackPlay-by-Play'!$M:$M,HomeHitterData!B9,'HomeAttackPlay-by-Play'!$R:$R,"高飛犧牲")</f>
        <v>0</v>
      </c>
      <c r="T9" s="1">
        <f>COUNTIFS('HomeAttackPlay-by-Play'!$M:$M,HomeHitterData!B9,'HomeAttackPlay-by-Play'!$R:$R,"四壞")</f>
        <v>0</v>
      </c>
      <c r="U9" s="1">
        <f>COUNTIFS('HomeAttackPlay-by-Play'!$M:$M,HomeHitterData!B9,'HomeAttackPlay-by-Play'!$R:$R,"敬遠")</f>
        <v>0</v>
      </c>
      <c r="V9" s="1">
        <f>COUNTIFS('HomeAttackPlay-by-Play'!$M:$M,HomeHitterData!B9,'HomeAttackPlay-by-Play'!$R:$R,"觸身球")</f>
        <v>0</v>
      </c>
      <c r="W9" s="1">
        <f>COUNTIFS('HomeAttackPlay-by-Play'!$M:$M,HomeHitterData!B9,'HomeAttackPlay-by-Play'!$R:$R,"三振")</f>
        <v>0</v>
      </c>
      <c r="X9" s="1">
        <f t="shared" si="8"/>
        <v>0</v>
      </c>
      <c r="Y9" s="1">
        <f>COUNTIFS('HomeAttackPlay-by-Play'!$AC:$AC,HomeHitterData!B9,'HomeAttackPlay-by-Play'!$AA:$AA,"盜二成功")</f>
        <v>0</v>
      </c>
      <c r="Z9" s="1">
        <f>COUNTIFS('HomeAttackPlay-by-Play'!$AD:$AD,HomeHitterData!B9,'HomeAttackPlay-by-Play'!$AA:$AA,"盜三成功")</f>
        <v>0</v>
      </c>
      <c r="AA9" s="1">
        <f>COUNTIFS('HomeAttackPlay-by-Play'!$AE:$AE,"."&amp;HomeHitterData!B9,'HomeAttackPlay-by-Play'!$AA:$AA,"盜本成功")</f>
        <v>0</v>
      </c>
      <c r="AB9" s="1">
        <f>COUNTIFS('HomeAttackPlay-by-Play'!$AR:$AR,"*"&amp;B9&amp;"*",'HomeAttackPlay-by-Play'!$AA:$AA,"盜*出局")</f>
        <v>0</v>
      </c>
      <c r="AC9" s="23">
        <f t="shared" si="1"/>
        <v>0</v>
      </c>
      <c r="AD9" s="23">
        <f t="shared" si="2"/>
        <v>0</v>
      </c>
      <c r="AE9" s="1">
        <f>COUNTIFS('HomeAttackPlay-by-Play'!$M:$M,HomeHitterData!B9,'HomeAttackPlay-by-Play'!$R:$R,"妨礙打擊")</f>
        <v>0</v>
      </c>
    </row>
    <row r="10" spans="1:59" x14ac:dyDescent="0.3">
      <c r="A10" s="39">
        <f>IF(Roster!C10="","-",Roster!C10)</f>
        <v>69</v>
      </c>
      <c r="B10" s="39" t="str">
        <f>IF(A10="-","-",VLOOKUP(A10,Roster!$C$2:$D$27,2,FALSE))</f>
        <v>樂天黃子鵬</v>
      </c>
      <c r="C10" s="1" t="str">
        <f>IF(COUNTIF('HomeAttackPlay-by-Play'!$M:$AR,HomeHitterData!B10)&gt;=1,"1","0")</f>
        <v>0</v>
      </c>
      <c r="D10" s="1">
        <f>COUNTIFS('HomeAttackPlay-by-Play'!$M:$M,HomeHitterData!B10,'HomeAttackPlay-by-Play'!$AM:$AM,"1")</f>
        <v>0</v>
      </c>
      <c r="E10" s="1">
        <f t="shared" si="0"/>
        <v>0</v>
      </c>
      <c r="F10" s="23">
        <f t="shared" si="3"/>
        <v>0</v>
      </c>
      <c r="G10" s="23">
        <f t="shared" si="4"/>
        <v>0</v>
      </c>
      <c r="H10" s="23">
        <f t="shared" si="5"/>
        <v>0</v>
      </c>
      <c r="I10" s="1">
        <f>SUMIF('HomeAttackPlay-by-Play'!$M:$M,B10,'HomeAttackPlay-by-Play'!$AN:$AN)</f>
        <v>0</v>
      </c>
      <c r="J10" s="1">
        <f>COUNTIFS('HomeAttackPlay-by-Play'!$AE:$AE,"*"&amp;B10&amp;"*")</f>
        <v>0</v>
      </c>
      <c r="K10" s="1">
        <f t="shared" si="6"/>
        <v>0</v>
      </c>
      <c r="L10" s="1">
        <f>COUNTIFS('HomeAttackPlay-by-Play'!$M:$M,HomeHitterData!B10,'HomeAttackPlay-by-Play'!$R:$R,"一壘安")</f>
        <v>0</v>
      </c>
      <c r="M10" s="1">
        <f>COUNTIFS('HomeAttackPlay-by-Play'!$M:$M,HomeHitterData!B10,'HomeAttackPlay-by-Play'!$R:$R,"二壘安")</f>
        <v>0</v>
      </c>
      <c r="N10" s="1">
        <f>COUNTIFS('HomeAttackPlay-by-Play'!$M:$M,HomeHitterData!B10,'HomeAttackPlay-by-Play'!$R:$R,"三壘安")</f>
        <v>0</v>
      </c>
      <c r="O10" s="1">
        <f>COUNTIFS('HomeAttackPlay-by-Play'!$M:$M,HomeHitterData!B10,'HomeAttackPlay-by-Play'!$R:$R,"全壘打")</f>
        <v>0</v>
      </c>
      <c r="P10" s="1">
        <f t="shared" si="7"/>
        <v>0</v>
      </c>
      <c r="Q10" s="1">
        <f>COUNTIFS('HomeAttackPlay-by-Play'!$M:$M,HomeHitterData!B10,'HomeAttackPlay-by-Play'!$R:$R,"雙殺打")</f>
        <v>0</v>
      </c>
      <c r="R10" s="1">
        <f>COUNTIFS('HomeAttackPlay-by-Play'!$M:$M,HomeHitterData!B10,'HomeAttackPlay-by-Play'!$R:$R,"犧牲觸擊")</f>
        <v>0</v>
      </c>
      <c r="S10" s="1">
        <f>COUNTIFS('HomeAttackPlay-by-Play'!$M:$M,HomeHitterData!B10,'HomeAttackPlay-by-Play'!$R:$R,"高飛犧牲")</f>
        <v>0</v>
      </c>
      <c r="T10" s="1">
        <f>COUNTIFS('HomeAttackPlay-by-Play'!$M:$M,HomeHitterData!B10,'HomeAttackPlay-by-Play'!$R:$R,"四壞")</f>
        <v>0</v>
      </c>
      <c r="U10" s="1">
        <f>COUNTIFS('HomeAttackPlay-by-Play'!$M:$M,HomeHitterData!B10,'HomeAttackPlay-by-Play'!$R:$R,"敬遠")</f>
        <v>0</v>
      </c>
      <c r="V10" s="1">
        <f>COUNTIFS('HomeAttackPlay-by-Play'!$M:$M,HomeHitterData!B10,'HomeAttackPlay-by-Play'!$R:$R,"觸身球")</f>
        <v>0</v>
      </c>
      <c r="W10" s="1">
        <f>COUNTIFS('HomeAttackPlay-by-Play'!$M:$M,HomeHitterData!B10,'HomeAttackPlay-by-Play'!$R:$R,"三振")</f>
        <v>0</v>
      </c>
      <c r="X10" s="1">
        <f t="shared" si="8"/>
        <v>0</v>
      </c>
      <c r="Y10" s="1">
        <f>COUNTIFS('HomeAttackPlay-by-Play'!$AC:$AC,HomeHitterData!B10,'HomeAttackPlay-by-Play'!$AA:$AA,"盜二成功")</f>
        <v>0</v>
      </c>
      <c r="Z10" s="1">
        <f>COUNTIFS('HomeAttackPlay-by-Play'!$AD:$AD,HomeHitterData!B10,'HomeAttackPlay-by-Play'!$AA:$AA,"盜三成功")</f>
        <v>0</v>
      </c>
      <c r="AA10" s="1">
        <f>COUNTIFS('HomeAttackPlay-by-Play'!$AE:$AE,"."&amp;HomeHitterData!B10,'HomeAttackPlay-by-Play'!$AA:$AA,"盜本成功")</f>
        <v>0</v>
      </c>
      <c r="AB10" s="1">
        <f>COUNTIFS('HomeAttackPlay-by-Play'!$AR:$AR,"*"&amp;B10&amp;"*",'HomeAttackPlay-by-Play'!$AA:$AA,"盜*出局")</f>
        <v>0</v>
      </c>
      <c r="AC10" s="23">
        <f t="shared" si="1"/>
        <v>0</v>
      </c>
      <c r="AD10" s="23">
        <f t="shared" si="2"/>
        <v>0</v>
      </c>
      <c r="AE10" s="1">
        <f>COUNTIFS('HomeAttackPlay-by-Play'!$M:$M,HomeHitterData!B10,'HomeAttackPlay-by-Play'!$R:$R,"妨礙打擊")</f>
        <v>0</v>
      </c>
    </row>
    <row r="11" spans="1:59" x14ac:dyDescent="0.3">
      <c r="A11" s="39">
        <f>IF(Roster!C7="","-",Roster!C7)</f>
        <v>32</v>
      </c>
      <c r="B11" s="39" t="str">
        <f>IF(A11="-","-",VLOOKUP(A11,Roster!$C$2:$D$27,2,FALSE))</f>
        <v>樂天王溢正</v>
      </c>
      <c r="C11" s="1" t="str">
        <f>IF(COUNTIF('HomeAttackPlay-by-Play'!$M:$AR,HomeHitterData!B11)&gt;=1,"1","0")</f>
        <v>0</v>
      </c>
      <c r="D11" s="1">
        <f>COUNTIFS('HomeAttackPlay-by-Play'!$M:$M,HomeHitterData!B11,'HomeAttackPlay-by-Play'!$AM:$AM,"1")</f>
        <v>0</v>
      </c>
      <c r="E11" s="1">
        <f t="shared" si="0"/>
        <v>0</v>
      </c>
      <c r="F11" s="23">
        <f t="shared" si="3"/>
        <v>0</v>
      </c>
      <c r="G11" s="23">
        <f t="shared" si="4"/>
        <v>0</v>
      </c>
      <c r="H11" s="23">
        <f t="shared" si="5"/>
        <v>0</v>
      </c>
      <c r="I11" s="1">
        <f>SUMIF('HomeAttackPlay-by-Play'!$M:$M,B11,'HomeAttackPlay-by-Play'!$AN:$AN)</f>
        <v>0</v>
      </c>
      <c r="J11" s="1">
        <f>COUNTIFS('HomeAttackPlay-by-Play'!$AE:$AE,"*"&amp;B11&amp;"*")</f>
        <v>0</v>
      </c>
      <c r="K11" s="1">
        <f t="shared" si="6"/>
        <v>0</v>
      </c>
      <c r="L11" s="1">
        <f>COUNTIFS('HomeAttackPlay-by-Play'!$M:$M,HomeHitterData!B11,'HomeAttackPlay-by-Play'!$R:$R,"一壘安")</f>
        <v>0</v>
      </c>
      <c r="M11" s="1">
        <f>COUNTIFS('HomeAttackPlay-by-Play'!$M:$M,HomeHitterData!B11,'HomeAttackPlay-by-Play'!$R:$R,"二壘安")</f>
        <v>0</v>
      </c>
      <c r="N11" s="1">
        <f>COUNTIFS('HomeAttackPlay-by-Play'!$M:$M,HomeHitterData!B11,'HomeAttackPlay-by-Play'!$R:$R,"三壘安")</f>
        <v>0</v>
      </c>
      <c r="O11" s="1">
        <f>COUNTIFS('HomeAttackPlay-by-Play'!$M:$M,HomeHitterData!B11,'HomeAttackPlay-by-Play'!$R:$R,"全壘打")</f>
        <v>0</v>
      </c>
      <c r="P11" s="1">
        <f t="shared" si="7"/>
        <v>0</v>
      </c>
      <c r="Q11" s="1">
        <f>COUNTIFS('HomeAttackPlay-by-Play'!$M:$M,HomeHitterData!B11,'HomeAttackPlay-by-Play'!$R:$R,"雙殺打")</f>
        <v>0</v>
      </c>
      <c r="R11" s="1">
        <f>COUNTIFS('HomeAttackPlay-by-Play'!$M:$M,HomeHitterData!B11,'HomeAttackPlay-by-Play'!$R:$R,"犧牲觸擊")</f>
        <v>0</v>
      </c>
      <c r="S11" s="1">
        <f>COUNTIFS('HomeAttackPlay-by-Play'!$M:$M,HomeHitterData!B11,'HomeAttackPlay-by-Play'!$R:$R,"高飛犧牲")</f>
        <v>0</v>
      </c>
      <c r="T11" s="1">
        <f>COUNTIFS('HomeAttackPlay-by-Play'!$M:$M,HomeHitterData!B11,'HomeAttackPlay-by-Play'!$R:$R,"四壞")</f>
        <v>0</v>
      </c>
      <c r="U11" s="1">
        <f>COUNTIFS('HomeAttackPlay-by-Play'!$M:$M,HomeHitterData!B11,'HomeAttackPlay-by-Play'!$R:$R,"敬遠")</f>
        <v>0</v>
      </c>
      <c r="V11" s="1">
        <f>COUNTIFS('HomeAttackPlay-by-Play'!$M:$M,HomeHitterData!B11,'HomeAttackPlay-by-Play'!$R:$R,"觸身球")</f>
        <v>0</v>
      </c>
      <c r="W11" s="1">
        <f>COUNTIFS('HomeAttackPlay-by-Play'!$M:$M,HomeHitterData!B11,'HomeAttackPlay-by-Play'!$R:$R,"三振")</f>
        <v>0</v>
      </c>
      <c r="X11" s="1">
        <f t="shared" si="8"/>
        <v>0</v>
      </c>
      <c r="Y11" s="1">
        <f>COUNTIFS('HomeAttackPlay-by-Play'!$AC:$AC,HomeHitterData!B11,'HomeAttackPlay-by-Play'!$AA:$AA,"盜二成功")</f>
        <v>0</v>
      </c>
      <c r="Z11" s="1">
        <f>COUNTIFS('HomeAttackPlay-by-Play'!$AD:$AD,HomeHitterData!B11,'HomeAttackPlay-by-Play'!$AA:$AA,"盜三成功")</f>
        <v>0</v>
      </c>
      <c r="AA11" s="1">
        <f>COUNTIFS('HomeAttackPlay-by-Play'!$AE:$AE,"."&amp;HomeHitterData!B11,'HomeAttackPlay-by-Play'!$AA:$AA,"盜本成功")</f>
        <v>0</v>
      </c>
      <c r="AB11" s="1">
        <f>COUNTIFS('HomeAttackPlay-by-Play'!$AR:$AR,"*"&amp;B11&amp;"*",'HomeAttackPlay-by-Play'!$AA:$AA,"盜*出局")</f>
        <v>0</v>
      </c>
      <c r="AC11" s="23">
        <f t="shared" si="1"/>
        <v>0</v>
      </c>
      <c r="AD11" s="23">
        <f t="shared" si="2"/>
        <v>0</v>
      </c>
      <c r="AE11" s="1">
        <f>COUNTIFS('HomeAttackPlay-by-Play'!$M:$M,HomeHitterData!B11,'HomeAttackPlay-by-Play'!$R:$R,"妨礙打擊")</f>
        <v>0</v>
      </c>
    </row>
    <row r="12" spans="1:59" x14ac:dyDescent="0.3">
      <c r="A12" s="39">
        <f>IF(Roster!C12="","-",Roster!C12)</f>
        <v>61</v>
      </c>
      <c r="B12" s="39" t="str">
        <f>IF(A12="-","-",VLOOKUP(A12,Roster!$C$2:$D$27,2,FALSE))</f>
        <v>樂天豪勁</v>
      </c>
      <c r="C12" s="1" t="str">
        <f>IF(COUNTIF('HomeAttackPlay-by-Play'!$M:$AR,HomeHitterData!B12)&gt;=1,"1","0")</f>
        <v>0</v>
      </c>
      <c r="D12" s="1">
        <f>COUNTIFS('HomeAttackPlay-by-Play'!$M:$M,HomeHitterData!B12,'HomeAttackPlay-by-Play'!$AM:$AM,"1")</f>
        <v>0</v>
      </c>
      <c r="E12" s="1">
        <f t="shared" si="0"/>
        <v>0</v>
      </c>
      <c r="F12" s="23">
        <f t="shared" si="3"/>
        <v>0</v>
      </c>
      <c r="G12" s="23">
        <f t="shared" si="4"/>
        <v>0</v>
      </c>
      <c r="H12" s="23">
        <f t="shared" si="5"/>
        <v>0</v>
      </c>
      <c r="I12" s="1">
        <f>SUMIF('HomeAttackPlay-by-Play'!$M:$M,B12,'HomeAttackPlay-by-Play'!$AN:$AN)</f>
        <v>0</v>
      </c>
      <c r="J12" s="1">
        <f>COUNTIFS('HomeAttackPlay-by-Play'!$AE:$AE,"*"&amp;B12&amp;"*")</f>
        <v>0</v>
      </c>
      <c r="K12" s="1">
        <f t="shared" si="6"/>
        <v>0</v>
      </c>
      <c r="L12" s="1">
        <f>COUNTIFS('HomeAttackPlay-by-Play'!$M:$M,HomeHitterData!B12,'HomeAttackPlay-by-Play'!$R:$R,"一壘安")</f>
        <v>0</v>
      </c>
      <c r="M12" s="1">
        <f>COUNTIFS('HomeAttackPlay-by-Play'!$M:$M,HomeHitterData!B12,'HomeAttackPlay-by-Play'!$R:$R,"二壘安")</f>
        <v>0</v>
      </c>
      <c r="N12" s="1">
        <f>COUNTIFS('HomeAttackPlay-by-Play'!$M:$M,HomeHitterData!B12,'HomeAttackPlay-by-Play'!$R:$R,"三壘安")</f>
        <v>0</v>
      </c>
      <c r="O12" s="1">
        <f>COUNTIFS('HomeAttackPlay-by-Play'!$M:$M,HomeHitterData!B12,'HomeAttackPlay-by-Play'!$R:$R,"全壘打")</f>
        <v>0</v>
      </c>
      <c r="P12" s="1">
        <f t="shared" si="7"/>
        <v>0</v>
      </c>
      <c r="Q12" s="1">
        <f>COUNTIFS('HomeAttackPlay-by-Play'!$M:$M,HomeHitterData!B12,'HomeAttackPlay-by-Play'!$R:$R,"雙殺打")</f>
        <v>0</v>
      </c>
      <c r="R12" s="1">
        <f>COUNTIFS('HomeAttackPlay-by-Play'!$M:$M,HomeHitterData!B12,'HomeAttackPlay-by-Play'!$R:$R,"犧牲觸擊")</f>
        <v>0</v>
      </c>
      <c r="S12" s="1">
        <f>COUNTIFS('HomeAttackPlay-by-Play'!$M:$M,HomeHitterData!B12,'HomeAttackPlay-by-Play'!$R:$R,"高飛犧牲")</f>
        <v>0</v>
      </c>
      <c r="T12" s="1">
        <f>COUNTIFS('HomeAttackPlay-by-Play'!$M:$M,HomeHitterData!B12,'HomeAttackPlay-by-Play'!$R:$R,"四壞")</f>
        <v>0</v>
      </c>
      <c r="U12" s="1">
        <f>COUNTIFS('HomeAttackPlay-by-Play'!$M:$M,HomeHitterData!B12,'HomeAttackPlay-by-Play'!$R:$R,"敬遠")</f>
        <v>0</v>
      </c>
      <c r="V12" s="1">
        <f>COUNTIFS('HomeAttackPlay-by-Play'!$M:$M,HomeHitterData!B12,'HomeAttackPlay-by-Play'!$R:$R,"觸身球")</f>
        <v>0</v>
      </c>
      <c r="W12" s="1">
        <f>COUNTIFS('HomeAttackPlay-by-Play'!$M:$M,HomeHitterData!B12,'HomeAttackPlay-by-Play'!$R:$R,"三振")</f>
        <v>0</v>
      </c>
      <c r="X12" s="1">
        <f t="shared" si="8"/>
        <v>0</v>
      </c>
      <c r="Y12" s="1">
        <f>COUNTIFS('HomeAttackPlay-by-Play'!$AC:$AC,HomeHitterData!B12,'HomeAttackPlay-by-Play'!$AA:$AA,"盜二成功")</f>
        <v>0</v>
      </c>
      <c r="Z12" s="1">
        <f>COUNTIFS('HomeAttackPlay-by-Play'!$AD:$AD,HomeHitterData!B12,'HomeAttackPlay-by-Play'!$AA:$AA,"盜三成功")</f>
        <v>0</v>
      </c>
      <c r="AA12" s="1">
        <f>COUNTIFS('HomeAttackPlay-by-Play'!$AE:$AE,"."&amp;HomeHitterData!B12,'HomeAttackPlay-by-Play'!$AA:$AA,"盜本成功")</f>
        <v>0</v>
      </c>
      <c r="AB12" s="1">
        <f>COUNTIFS('HomeAttackPlay-by-Play'!$AR:$AR,"*"&amp;B12&amp;"*",'HomeAttackPlay-by-Play'!$AA:$AA,"盜*出局")</f>
        <v>0</v>
      </c>
      <c r="AC12" s="23">
        <f t="shared" si="1"/>
        <v>0</v>
      </c>
      <c r="AD12" s="23">
        <f t="shared" si="2"/>
        <v>0</v>
      </c>
      <c r="AE12" s="1">
        <f>COUNTIFS('HomeAttackPlay-by-Play'!$M:$M,HomeHitterData!B12,'HomeAttackPlay-by-Play'!$R:$R,"妨礙打擊")</f>
        <v>0</v>
      </c>
    </row>
    <row r="13" spans="1:59" x14ac:dyDescent="0.3">
      <c r="A13" s="39">
        <f>IF(Roster!C13="","-",Roster!C13)</f>
        <v>5</v>
      </c>
      <c r="B13" s="39" t="str">
        <f>IF(A13="-","-",VLOOKUP(A13,Roster!$C$2:$D$27,2,FALSE))</f>
        <v>樂天梁家榮</v>
      </c>
      <c r="C13" s="1" t="str">
        <f>IF(COUNTIF('HomeAttackPlay-by-Play'!$M:$AR,HomeHitterData!B13)&gt;=1,"1","0")</f>
        <v>1</v>
      </c>
      <c r="D13" s="1">
        <f>COUNTIFS('HomeAttackPlay-by-Play'!$M:$M,HomeHitterData!B13,'HomeAttackPlay-by-Play'!$AM:$AM,"1")</f>
        <v>4</v>
      </c>
      <c r="E13" s="1">
        <f t="shared" si="0"/>
        <v>3</v>
      </c>
      <c r="F13" s="23">
        <f t="shared" si="3"/>
        <v>0.33333333333333331</v>
      </c>
      <c r="G13" s="23">
        <f t="shared" si="4"/>
        <v>0.33333333333333331</v>
      </c>
      <c r="H13" s="23">
        <f t="shared" si="5"/>
        <v>0.5</v>
      </c>
      <c r="I13" s="1">
        <f>SUMIF('HomeAttackPlay-by-Play'!$M:$M,B13,'HomeAttackPlay-by-Play'!$AN:$AN)</f>
        <v>0</v>
      </c>
      <c r="J13" s="1">
        <f>COUNTIFS('HomeAttackPlay-by-Play'!$AE:$AE,"*"&amp;B13&amp;"*")</f>
        <v>1</v>
      </c>
      <c r="K13" s="1">
        <f t="shared" si="6"/>
        <v>1</v>
      </c>
      <c r="L13" s="1">
        <f>COUNTIFS('HomeAttackPlay-by-Play'!$M:$M,HomeHitterData!B13,'HomeAttackPlay-by-Play'!$R:$R,"一壘安")</f>
        <v>1</v>
      </c>
      <c r="M13" s="1">
        <f>COUNTIFS('HomeAttackPlay-by-Play'!$M:$M,HomeHitterData!B13,'HomeAttackPlay-by-Play'!$R:$R,"二壘安")</f>
        <v>0</v>
      </c>
      <c r="N13" s="1">
        <f>COUNTIFS('HomeAttackPlay-by-Play'!$M:$M,HomeHitterData!B13,'HomeAttackPlay-by-Play'!$R:$R,"三壘安")</f>
        <v>0</v>
      </c>
      <c r="O13" s="1">
        <f>COUNTIFS('HomeAttackPlay-by-Play'!$M:$M,HomeHitterData!B13,'HomeAttackPlay-by-Play'!$R:$R,"全壘打")</f>
        <v>0</v>
      </c>
      <c r="P13" s="1">
        <f t="shared" si="7"/>
        <v>1</v>
      </c>
      <c r="Q13" s="1">
        <f>COUNTIFS('HomeAttackPlay-by-Play'!$M:$M,HomeHitterData!B13,'HomeAttackPlay-by-Play'!$R:$R,"雙殺打")</f>
        <v>0</v>
      </c>
      <c r="R13" s="1">
        <f>COUNTIFS('HomeAttackPlay-by-Play'!$M:$M,HomeHitterData!B13,'HomeAttackPlay-by-Play'!$R:$R,"犧牲觸擊")</f>
        <v>0</v>
      </c>
      <c r="S13" s="1">
        <f>COUNTIFS('HomeAttackPlay-by-Play'!$M:$M,HomeHitterData!B13,'HomeAttackPlay-by-Play'!$R:$R,"高飛犧牲")</f>
        <v>0</v>
      </c>
      <c r="T13" s="1">
        <f>COUNTIFS('HomeAttackPlay-by-Play'!$M:$M,HomeHitterData!B13,'HomeAttackPlay-by-Play'!$R:$R,"四壞")</f>
        <v>1</v>
      </c>
      <c r="U13" s="1">
        <f>COUNTIFS('HomeAttackPlay-by-Play'!$M:$M,HomeHitterData!B13,'HomeAttackPlay-by-Play'!$R:$R,"敬遠")</f>
        <v>0</v>
      </c>
      <c r="V13" s="1">
        <f>COUNTIFS('HomeAttackPlay-by-Play'!$M:$M,HomeHitterData!B13,'HomeAttackPlay-by-Play'!$R:$R,"觸身球")</f>
        <v>0</v>
      </c>
      <c r="W13" s="1">
        <f>COUNTIFS('HomeAttackPlay-by-Play'!$M:$M,HomeHitterData!B13,'HomeAttackPlay-by-Play'!$R:$R,"三振")</f>
        <v>0</v>
      </c>
      <c r="X13" s="1">
        <f t="shared" si="8"/>
        <v>0</v>
      </c>
      <c r="Y13" s="1">
        <f>COUNTIFS('HomeAttackPlay-by-Play'!$AC:$AC,HomeHitterData!B13,'HomeAttackPlay-by-Play'!$AA:$AA,"盜二成功")</f>
        <v>0</v>
      </c>
      <c r="Z13" s="1">
        <f>COUNTIFS('HomeAttackPlay-by-Play'!$AD:$AD,HomeHitterData!B13,'HomeAttackPlay-by-Play'!$AA:$AA,"盜三成功")</f>
        <v>0</v>
      </c>
      <c r="AA13" s="1">
        <f>COUNTIFS('HomeAttackPlay-by-Play'!$AE:$AE,"."&amp;HomeHitterData!B13,'HomeAttackPlay-by-Play'!$AA:$AA,"盜本成功")</f>
        <v>0</v>
      </c>
      <c r="AB13" s="1">
        <f>COUNTIFS('HomeAttackPlay-by-Play'!$AR:$AR,"*"&amp;B13&amp;"*",'HomeAttackPlay-by-Play'!$AA:$AA,"盜*出局")</f>
        <v>0</v>
      </c>
      <c r="AC13" s="23">
        <f t="shared" si="1"/>
        <v>0</v>
      </c>
      <c r="AD13" s="23">
        <f t="shared" si="2"/>
        <v>0.83333333333333326</v>
      </c>
      <c r="AE13" s="1">
        <f>COUNTIFS('HomeAttackPlay-by-Play'!$M:$M,HomeHitterData!B13,'HomeAttackPlay-by-Play'!$R:$R,"妨礙打擊")</f>
        <v>0</v>
      </c>
    </row>
    <row r="14" spans="1:59" x14ac:dyDescent="0.3">
      <c r="A14" s="39">
        <f>IF(Roster!C14="","-",Roster!C14)</f>
        <v>6</v>
      </c>
      <c r="B14" s="39" t="str">
        <f>IF(A14="-","-",VLOOKUP(A14,Roster!$C$2:$D$27,2,FALSE))</f>
        <v>樂天林承飛</v>
      </c>
      <c r="C14" s="1" t="str">
        <f>IF(COUNTIF('HomeAttackPlay-by-Play'!$M:$AR,HomeHitterData!B14)&gt;=1,"1","0")</f>
        <v>1</v>
      </c>
      <c r="D14" s="1">
        <f>COUNTIFS('HomeAttackPlay-by-Play'!$M:$M,HomeHitterData!B14,'HomeAttackPlay-by-Play'!$AM:$AM,"1")</f>
        <v>4</v>
      </c>
      <c r="E14" s="1">
        <f t="shared" si="0"/>
        <v>3</v>
      </c>
      <c r="F14" s="23">
        <f t="shared" si="3"/>
        <v>0.66666666666666663</v>
      </c>
      <c r="G14" s="23">
        <f t="shared" si="4"/>
        <v>0.66666666666666663</v>
      </c>
      <c r="H14" s="23">
        <f t="shared" si="5"/>
        <v>0.5</v>
      </c>
      <c r="I14" s="1">
        <f>SUMIF('HomeAttackPlay-by-Play'!$M:$M,B14,'HomeAttackPlay-by-Play'!$AN:$AN)</f>
        <v>0</v>
      </c>
      <c r="J14" s="1">
        <f>COUNTIFS('HomeAttackPlay-by-Play'!$AE:$AE,"*"&amp;B14&amp;"*")</f>
        <v>0</v>
      </c>
      <c r="K14" s="1">
        <f t="shared" si="6"/>
        <v>2</v>
      </c>
      <c r="L14" s="1">
        <f>COUNTIFS('HomeAttackPlay-by-Play'!$M:$M,HomeHitterData!B14,'HomeAttackPlay-by-Play'!$R:$R,"一壘安")</f>
        <v>2</v>
      </c>
      <c r="M14" s="1">
        <f>COUNTIFS('HomeAttackPlay-by-Play'!$M:$M,HomeHitterData!B14,'HomeAttackPlay-by-Play'!$R:$R,"二壘安")</f>
        <v>0</v>
      </c>
      <c r="N14" s="1">
        <f>COUNTIFS('HomeAttackPlay-by-Play'!$M:$M,HomeHitterData!B14,'HomeAttackPlay-by-Play'!$R:$R,"三壘安")</f>
        <v>0</v>
      </c>
      <c r="O14" s="1">
        <f>COUNTIFS('HomeAttackPlay-by-Play'!$M:$M,HomeHitterData!B14,'HomeAttackPlay-by-Play'!$R:$R,"全壘打")</f>
        <v>0</v>
      </c>
      <c r="P14" s="1">
        <f t="shared" si="7"/>
        <v>2</v>
      </c>
      <c r="Q14" s="1">
        <f>COUNTIFS('HomeAttackPlay-by-Play'!$M:$M,HomeHitterData!B14,'HomeAttackPlay-by-Play'!$R:$R,"雙殺打")</f>
        <v>0</v>
      </c>
      <c r="R14" s="1">
        <f>COUNTIFS('HomeAttackPlay-by-Play'!$M:$M,HomeHitterData!B14,'HomeAttackPlay-by-Play'!$R:$R,"犧牲觸擊")</f>
        <v>0</v>
      </c>
      <c r="S14" s="1">
        <f>COUNTIFS('HomeAttackPlay-by-Play'!$M:$M,HomeHitterData!B14,'HomeAttackPlay-by-Play'!$R:$R,"高飛犧牲")</f>
        <v>1</v>
      </c>
      <c r="T14" s="1">
        <f>COUNTIFS('HomeAttackPlay-by-Play'!$M:$M,HomeHitterData!B14,'HomeAttackPlay-by-Play'!$R:$R,"四壞")</f>
        <v>0</v>
      </c>
      <c r="U14" s="1">
        <f>COUNTIFS('HomeAttackPlay-by-Play'!$M:$M,HomeHitterData!B14,'HomeAttackPlay-by-Play'!$R:$R,"敬遠")</f>
        <v>0</v>
      </c>
      <c r="V14" s="1">
        <f>COUNTIFS('HomeAttackPlay-by-Play'!$M:$M,HomeHitterData!B14,'HomeAttackPlay-by-Play'!$R:$R,"觸身球")</f>
        <v>0</v>
      </c>
      <c r="W14" s="1">
        <f>COUNTIFS('HomeAttackPlay-by-Play'!$M:$M,HomeHitterData!B14,'HomeAttackPlay-by-Play'!$R:$R,"三振")</f>
        <v>0</v>
      </c>
      <c r="X14" s="1">
        <f t="shared" si="8"/>
        <v>0</v>
      </c>
      <c r="Y14" s="1">
        <f>COUNTIFS('HomeAttackPlay-by-Play'!$AC:$AC,HomeHitterData!B14,'HomeAttackPlay-by-Play'!$AA:$AA,"盜二成功")</f>
        <v>0</v>
      </c>
      <c r="Z14" s="1">
        <f>COUNTIFS('HomeAttackPlay-by-Play'!$AD:$AD,HomeHitterData!B14,'HomeAttackPlay-by-Play'!$AA:$AA,"盜三成功")</f>
        <v>0</v>
      </c>
      <c r="AA14" s="1">
        <f>COUNTIFS('HomeAttackPlay-by-Play'!$AE:$AE,"."&amp;HomeHitterData!B14,'HomeAttackPlay-by-Play'!$AA:$AA,"盜本成功")</f>
        <v>0</v>
      </c>
      <c r="AB14" s="1">
        <f>COUNTIFS('HomeAttackPlay-by-Play'!$AR:$AR,"*"&amp;B14&amp;"*",'HomeAttackPlay-by-Play'!$AA:$AA,"盜*出局")</f>
        <v>0</v>
      </c>
      <c r="AC14" s="23">
        <f t="shared" si="1"/>
        <v>0</v>
      </c>
      <c r="AD14" s="23">
        <f t="shared" si="2"/>
        <v>1.1666666666666665</v>
      </c>
      <c r="AE14" s="1">
        <f>COUNTIFS('HomeAttackPlay-by-Play'!$M:$M,HomeHitterData!B14,'HomeAttackPlay-by-Play'!$R:$R,"妨礙打擊")</f>
        <v>0</v>
      </c>
    </row>
    <row r="15" spans="1:59" x14ac:dyDescent="0.3">
      <c r="A15" s="39">
        <f>IF(Roster!C15="","-",Roster!C15)</f>
        <v>7</v>
      </c>
      <c r="B15" s="39" t="str">
        <f>IF(A15="-","-",VLOOKUP(A15,Roster!$C$2:$D$27,2,FALSE))</f>
        <v>樂天郭永維</v>
      </c>
      <c r="C15" s="1" t="str">
        <f>IF(COUNTIF('HomeAttackPlay-by-Play'!$M:$AR,HomeHitterData!B15)&gt;=1,"1","0")</f>
        <v>1</v>
      </c>
      <c r="D15" s="1">
        <f>COUNTIFS('HomeAttackPlay-by-Play'!$M:$M,HomeHitterData!B15,'HomeAttackPlay-by-Play'!$AM:$AM,"1")</f>
        <v>2</v>
      </c>
      <c r="E15" s="1">
        <f t="shared" si="0"/>
        <v>2</v>
      </c>
      <c r="F15" s="23">
        <f t="shared" si="3"/>
        <v>0</v>
      </c>
      <c r="G15" s="23">
        <f t="shared" si="4"/>
        <v>0</v>
      </c>
      <c r="H15" s="23">
        <f t="shared" si="5"/>
        <v>0</v>
      </c>
      <c r="I15" s="1">
        <f>SUMIF('HomeAttackPlay-by-Play'!$M:$M,B15,'HomeAttackPlay-by-Play'!$AN:$AN)</f>
        <v>0</v>
      </c>
      <c r="J15" s="1">
        <f>COUNTIFS('HomeAttackPlay-by-Play'!$AE:$AE,"*"&amp;B15&amp;"*")</f>
        <v>0</v>
      </c>
      <c r="K15" s="1">
        <f t="shared" si="6"/>
        <v>0</v>
      </c>
      <c r="L15" s="1">
        <f>COUNTIFS('HomeAttackPlay-by-Play'!$M:$M,HomeHitterData!B15,'HomeAttackPlay-by-Play'!$R:$R,"一壘安")</f>
        <v>0</v>
      </c>
      <c r="M15" s="1">
        <f>COUNTIFS('HomeAttackPlay-by-Play'!$M:$M,HomeHitterData!B15,'HomeAttackPlay-by-Play'!$R:$R,"二壘安")</f>
        <v>0</v>
      </c>
      <c r="N15" s="1">
        <f>COUNTIFS('HomeAttackPlay-by-Play'!$M:$M,HomeHitterData!B15,'HomeAttackPlay-by-Play'!$R:$R,"三壘安")</f>
        <v>0</v>
      </c>
      <c r="O15" s="1">
        <f>COUNTIFS('HomeAttackPlay-by-Play'!$M:$M,HomeHitterData!B15,'HomeAttackPlay-by-Play'!$R:$R,"全壘打")</f>
        <v>0</v>
      </c>
      <c r="P15" s="1">
        <f t="shared" si="7"/>
        <v>0</v>
      </c>
      <c r="Q15" s="1">
        <f>COUNTIFS('HomeAttackPlay-by-Play'!$M:$M,HomeHitterData!B15,'HomeAttackPlay-by-Play'!$R:$R,"雙殺打")</f>
        <v>0</v>
      </c>
      <c r="R15" s="1">
        <f>COUNTIFS('HomeAttackPlay-by-Play'!$M:$M,HomeHitterData!B15,'HomeAttackPlay-by-Play'!$R:$R,"犧牲觸擊")</f>
        <v>0</v>
      </c>
      <c r="S15" s="1">
        <f>COUNTIFS('HomeAttackPlay-by-Play'!$M:$M,HomeHitterData!B15,'HomeAttackPlay-by-Play'!$R:$R,"高飛犧牲")</f>
        <v>0</v>
      </c>
      <c r="T15" s="1">
        <f>COUNTIFS('HomeAttackPlay-by-Play'!$M:$M,HomeHitterData!B15,'HomeAttackPlay-by-Play'!$R:$R,"四壞")</f>
        <v>0</v>
      </c>
      <c r="U15" s="1">
        <f>COUNTIFS('HomeAttackPlay-by-Play'!$M:$M,HomeHitterData!B15,'HomeAttackPlay-by-Play'!$R:$R,"敬遠")</f>
        <v>0</v>
      </c>
      <c r="V15" s="1">
        <f>COUNTIFS('HomeAttackPlay-by-Play'!$M:$M,HomeHitterData!B15,'HomeAttackPlay-by-Play'!$R:$R,"觸身球")</f>
        <v>0</v>
      </c>
      <c r="W15" s="1">
        <f>COUNTIFS('HomeAttackPlay-by-Play'!$M:$M,HomeHitterData!B15,'HomeAttackPlay-by-Play'!$R:$R,"三振")</f>
        <v>0</v>
      </c>
      <c r="X15" s="1">
        <f t="shared" si="8"/>
        <v>0</v>
      </c>
      <c r="Y15" s="1">
        <f>COUNTIFS('HomeAttackPlay-by-Play'!$AC:$AC,HomeHitterData!B15,'HomeAttackPlay-by-Play'!$AA:$AA,"盜二成功")</f>
        <v>0</v>
      </c>
      <c r="Z15" s="1">
        <f>COUNTIFS('HomeAttackPlay-by-Play'!$AD:$AD,HomeHitterData!B15,'HomeAttackPlay-by-Play'!$AA:$AA,"盜三成功")</f>
        <v>0</v>
      </c>
      <c r="AA15" s="1">
        <f>COUNTIFS('HomeAttackPlay-by-Play'!$AE:$AE,"."&amp;HomeHitterData!B15,'HomeAttackPlay-by-Play'!$AA:$AA,"盜本成功")</f>
        <v>0</v>
      </c>
      <c r="AB15" s="1">
        <f>COUNTIFS('HomeAttackPlay-by-Play'!$AR:$AR,"*"&amp;B15&amp;"*",'HomeAttackPlay-by-Play'!$AA:$AA,"盜*出局")</f>
        <v>0</v>
      </c>
      <c r="AC15" s="23">
        <f t="shared" si="1"/>
        <v>0</v>
      </c>
      <c r="AD15" s="23">
        <f t="shared" si="2"/>
        <v>0</v>
      </c>
      <c r="AE15" s="1">
        <f>COUNTIFS('HomeAttackPlay-by-Play'!$M:$M,HomeHitterData!B15,'HomeAttackPlay-by-Play'!$R:$R,"妨礙打擊")</f>
        <v>0</v>
      </c>
    </row>
    <row r="16" spans="1:59" x14ac:dyDescent="0.3">
      <c r="A16" s="39">
        <f>IF(Roster!C16="","-",Roster!C16)</f>
        <v>11</v>
      </c>
      <c r="B16" s="39" t="str">
        <f>IF(A16="-","-",VLOOKUP(A16,Roster!$C$2:$D$27,2,FALSE))</f>
        <v>樂天林泓育</v>
      </c>
      <c r="C16" s="1" t="str">
        <f>IF(COUNTIF('HomeAttackPlay-by-Play'!$M:$AR,HomeHitterData!B16)&gt;=1,"1","0")</f>
        <v>0</v>
      </c>
      <c r="D16" s="1">
        <f>COUNTIFS('HomeAttackPlay-by-Play'!$M:$M,HomeHitterData!B16,'HomeAttackPlay-by-Play'!$AM:$AM,"1")</f>
        <v>0</v>
      </c>
      <c r="E16" s="1">
        <f t="shared" si="0"/>
        <v>0</v>
      </c>
      <c r="F16" s="23">
        <f t="shared" si="3"/>
        <v>0</v>
      </c>
      <c r="G16" s="23">
        <f t="shared" si="4"/>
        <v>0</v>
      </c>
      <c r="H16" s="23">
        <f t="shared" si="5"/>
        <v>0</v>
      </c>
      <c r="I16" s="1">
        <f>SUMIF('HomeAttackPlay-by-Play'!$M:$M,B16,'HomeAttackPlay-by-Play'!$AN:$AN)</f>
        <v>0</v>
      </c>
      <c r="J16" s="1">
        <f>COUNTIFS('HomeAttackPlay-by-Play'!$AE:$AE,"*"&amp;B16&amp;"*")</f>
        <v>0</v>
      </c>
      <c r="K16" s="1">
        <f t="shared" si="6"/>
        <v>0</v>
      </c>
      <c r="L16" s="1">
        <f>COUNTIFS('HomeAttackPlay-by-Play'!$M:$M,HomeHitterData!B16,'HomeAttackPlay-by-Play'!$R:$R,"一壘安")</f>
        <v>0</v>
      </c>
      <c r="M16" s="1">
        <f>COUNTIFS('HomeAttackPlay-by-Play'!$M:$M,HomeHitterData!B16,'HomeAttackPlay-by-Play'!$R:$R,"二壘安")</f>
        <v>0</v>
      </c>
      <c r="N16" s="1">
        <f>COUNTIFS('HomeAttackPlay-by-Play'!$M:$M,HomeHitterData!B16,'HomeAttackPlay-by-Play'!$R:$R,"三壘安")</f>
        <v>0</v>
      </c>
      <c r="O16" s="1">
        <f>COUNTIFS('HomeAttackPlay-by-Play'!$M:$M,HomeHitterData!B16,'HomeAttackPlay-by-Play'!$R:$R,"全壘打")</f>
        <v>0</v>
      </c>
      <c r="P16" s="1">
        <f t="shared" si="7"/>
        <v>0</v>
      </c>
      <c r="Q16" s="1">
        <f>COUNTIFS('HomeAttackPlay-by-Play'!$M:$M,HomeHitterData!B16,'HomeAttackPlay-by-Play'!$R:$R,"雙殺打")</f>
        <v>0</v>
      </c>
      <c r="R16" s="1">
        <f>COUNTIFS('HomeAttackPlay-by-Play'!$M:$M,HomeHitterData!B16,'HomeAttackPlay-by-Play'!$R:$R,"犧牲觸擊")</f>
        <v>0</v>
      </c>
      <c r="S16" s="1">
        <f>COUNTIFS('HomeAttackPlay-by-Play'!$M:$M,HomeHitterData!B16,'HomeAttackPlay-by-Play'!$R:$R,"高飛犧牲")</f>
        <v>0</v>
      </c>
      <c r="T16" s="1">
        <f>COUNTIFS('HomeAttackPlay-by-Play'!$M:$M,HomeHitterData!B16,'HomeAttackPlay-by-Play'!$R:$R,"四壞")</f>
        <v>0</v>
      </c>
      <c r="U16" s="1">
        <f>COUNTIFS('HomeAttackPlay-by-Play'!$M:$M,HomeHitterData!B16,'HomeAttackPlay-by-Play'!$R:$R,"敬遠")</f>
        <v>0</v>
      </c>
      <c r="V16" s="1">
        <f>COUNTIFS('HomeAttackPlay-by-Play'!$M:$M,HomeHitterData!B16,'HomeAttackPlay-by-Play'!$R:$R,"觸身球")</f>
        <v>0</v>
      </c>
      <c r="W16" s="1">
        <f>COUNTIFS('HomeAttackPlay-by-Play'!$M:$M,HomeHitterData!B16,'HomeAttackPlay-by-Play'!$R:$R,"三振")</f>
        <v>0</v>
      </c>
      <c r="X16" s="1">
        <f t="shared" si="8"/>
        <v>0</v>
      </c>
      <c r="Y16" s="1">
        <f>COUNTIFS('HomeAttackPlay-by-Play'!$AC:$AC,HomeHitterData!B16,'HomeAttackPlay-by-Play'!$AA:$AA,"盜二成功")</f>
        <v>0</v>
      </c>
      <c r="Z16" s="1">
        <f>COUNTIFS('HomeAttackPlay-by-Play'!$AD:$AD,HomeHitterData!B16,'HomeAttackPlay-by-Play'!$AA:$AA,"盜三成功")</f>
        <v>0</v>
      </c>
      <c r="AA16" s="1">
        <f>COUNTIFS('HomeAttackPlay-by-Play'!$AE:$AE,"."&amp;HomeHitterData!B16,'HomeAttackPlay-by-Play'!$AA:$AA,"盜本成功")</f>
        <v>0</v>
      </c>
      <c r="AB16" s="1">
        <f>COUNTIFS('HomeAttackPlay-by-Play'!$AR:$AR,"*"&amp;B16&amp;"*",'HomeAttackPlay-by-Play'!$AA:$AA,"盜*出局")</f>
        <v>0</v>
      </c>
      <c r="AC16" s="23">
        <f t="shared" si="1"/>
        <v>0</v>
      </c>
      <c r="AD16" s="23">
        <f t="shared" si="2"/>
        <v>0</v>
      </c>
      <c r="AE16" s="1">
        <f>COUNTIFS('HomeAttackPlay-by-Play'!$M:$M,HomeHitterData!B16,'HomeAttackPlay-by-Play'!$R:$R,"妨礙打擊")</f>
        <v>0</v>
      </c>
    </row>
    <row r="17" spans="1:31" x14ac:dyDescent="0.3">
      <c r="A17" s="39">
        <f>IF(Roster!C17="","-",Roster!C17)</f>
        <v>29</v>
      </c>
      <c r="B17" s="39" t="str">
        <f>IF(A17="-","-",VLOOKUP(A17,Roster!$C$2:$D$27,2,FALSE))</f>
        <v>樂天陳俊秀</v>
      </c>
      <c r="C17" s="1" t="str">
        <f>IF(COUNTIF('HomeAttackPlay-by-Play'!$M:$AR,HomeHitterData!B17)&gt;=1,"1","0")</f>
        <v>1</v>
      </c>
      <c r="D17" s="1">
        <f>COUNTIFS('HomeAttackPlay-by-Play'!$M:$M,HomeHitterData!B17,'HomeAttackPlay-by-Play'!$AM:$AM,"1")</f>
        <v>3</v>
      </c>
      <c r="E17" s="1">
        <f t="shared" si="0"/>
        <v>3</v>
      </c>
      <c r="F17" s="23">
        <f t="shared" si="3"/>
        <v>1</v>
      </c>
      <c r="G17" s="23">
        <f t="shared" si="4"/>
        <v>1.6666666666666667</v>
      </c>
      <c r="H17" s="23">
        <f t="shared" si="5"/>
        <v>1</v>
      </c>
      <c r="I17" s="1">
        <f>SUMIF('HomeAttackPlay-by-Play'!$M:$M,B17,'HomeAttackPlay-by-Play'!$AN:$AN)</f>
        <v>0</v>
      </c>
      <c r="J17" s="1">
        <f>COUNTIFS('HomeAttackPlay-by-Play'!$AE:$AE,"*"&amp;B17&amp;"*")</f>
        <v>2</v>
      </c>
      <c r="K17" s="1">
        <f t="shared" si="6"/>
        <v>3</v>
      </c>
      <c r="L17" s="1">
        <f>COUNTIFS('HomeAttackPlay-by-Play'!$M:$M,HomeHitterData!B17,'HomeAttackPlay-by-Play'!$R:$R,"一壘安")</f>
        <v>2</v>
      </c>
      <c r="M17" s="1">
        <f>COUNTIFS('HomeAttackPlay-by-Play'!$M:$M,HomeHitterData!B17,'HomeAttackPlay-by-Play'!$R:$R,"二壘安")</f>
        <v>0</v>
      </c>
      <c r="N17" s="1">
        <f>COUNTIFS('HomeAttackPlay-by-Play'!$M:$M,HomeHitterData!B17,'HomeAttackPlay-by-Play'!$R:$R,"三壘安")</f>
        <v>1</v>
      </c>
      <c r="O17" s="1">
        <f>COUNTIFS('HomeAttackPlay-by-Play'!$M:$M,HomeHitterData!B17,'HomeAttackPlay-by-Play'!$R:$R,"全壘打")</f>
        <v>0</v>
      </c>
      <c r="P17" s="1">
        <f t="shared" si="7"/>
        <v>5</v>
      </c>
      <c r="Q17" s="1">
        <f>COUNTIFS('HomeAttackPlay-by-Play'!$M:$M,HomeHitterData!B17,'HomeAttackPlay-by-Play'!$R:$R,"雙殺打")</f>
        <v>0</v>
      </c>
      <c r="R17" s="1">
        <f>COUNTIFS('HomeAttackPlay-by-Play'!$M:$M,HomeHitterData!B17,'HomeAttackPlay-by-Play'!$R:$R,"犧牲觸擊")</f>
        <v>0</v>
      </c>
      <c r="S17" s="1">
        <f>COUNTIFS('HomeAttackPlay-by-Play'!$M:$M,HomeHitterData!B17,'HomeAttackPlay-by-Play'!$R:$R,"高飛犧牲")</f>
        <v>0</v>
      </c>
      <c r="T17" s="1">
        <f>COUNTIFS('HomeAttackPlay-by-Play'!$M:$M,HomeHitterData!B17,'HomeAttackPlay-by-Play'!$R:$R,"四壞")</f>
        <v>0</v>
      </c>
      <c r="U17" s="1">
        <f>COUNTIFS('HomeAttackPlay-by-Play'!$M:$M,HomeHitterData!B17,'HomeAttackPlay-by-Play'!$R:$R,"敬遠")</f>
        <v>0</v>
      </c>
      <c r="V17" s="1">
        <f>COUNTIFS('HomeAttackPlay-by-Play'!$M:$M,HomeHitterData!B17,'HomeAttackPlay-by-Play'!$R:$R,"觸身球")</f>
        <v>0</v>
      </c>
      <c r="W17" s="1">
        <f>COUNTIFS('HomeAttackPlay-by-Play'!$M:$M,HomeHitterData!B17,'HomeAttackPlay-by-Play'!$R:$R,"三振")</f>
        <v>0</v>
      </c>
      <c r="X17" s="1">
        <f t="shared" si="8"/>
        <v>0</v>
      </c>
      <c r="Y17" s="1">
        <f>COUNTIFS('HomeAttackPlay-by-Play'!$AC:$AC,HomeHitterData!B17,'HomeAttackPlay-by-Play'!$AA:$AA,"盜二成功")</f>
        <v>0</v>
      </c>
      <c r="Z17" s="1">
        <f>COUNTIFS('HomeAttackPlay-by-Play'!$AD:$AD,HomeHitterData!B17,'HomeAttackPlay-by-Play'!$AA:$AA,"盜三成功")</f>
        <v>0</v>
      </c>
      <c r="AA17" s="1">
        <f>COUNTIFS('HomeAttackPlay-by-Play'!$AE:$AE,"."&amp;HomeHitterData!B17,'HomeAttackPlay-by-Play'!$AA:$AA,"盜本成功")</f>
        <v>0</v>
      </c>
      <c r="AB17" s="1">
        <f>COUNTIFS('HomeAttackPlay-by-Play'!$AR:$AR,"*"&amp;B17&amp;"*",'HomeAttackPlay-by-Play'!$AA:$AA,"盜*出局")</f>
        <v>0</v>
      </c>
      <c r="AC17" s="23">
        <f t="shared" si="1"/>
        <v>0</v>
      </c>
      <c r="AD17" s="23">
        <f t="shared" si="2"/>
        <v>2.666666666666667</v>
      </c>
      <c r="AE17" s="1">
        <f>COUNTIFS('HomeAttackPlay-by-Play'!$M:$M,HomeHitterData!B17,'HomeAttackPlay-by-Play'!$R:$R,"妨礙打擊")</f>
        <v>0</v>
      </c>
    </row>
    <row r="18" spans="1:31" x14ac:dyDescent="0.3">
      <c r="A18" s="39">
        <f>IF(Roster!C18="","-",Roster!C18)</f>
        <v>35</v>
      </c>
      <c r="B18" s="39" t="str">
        <f>IF(A18="-","-",VLOOKUP(A18,Roster!$C$2:$D$27,2,FALSE))</f>
        <v>樂天成晉</v>
      </c>
      <c r="C18" s="1" t="str">
        <f>IF(COUNTIF('HomeAttackPlay-by-Play'!$M:$AR,HomeHitterData!B18)&gt;=1,"1","0")</f>
        <v>1</v>
      </c>
      <c r="D18" s="1">
        <f>COUNTIFS('HomeAttackPlay-by-Play'!$M:$M,HomeHitterData!B18,'HomeAttackPlay-by-Play'!$AM:$AM,"1")</f>
        <v>4</v>
      </c>
      <c r="E18" s="1">
        <f t="shared" si="0"/>
        <v>4</v>
      </c>
      <c r="F18" s="23">
        <f t="shared" si="3"/>
        <v>0.25</v>
      </c>
      <c r="G18" s="23">
        <f t="shared" si="4"/>
        <v>0.25</v>
      </c>
      <c r="H18" s="23">
        <f t="shared" si="5"/>
        <v>0.25</v>
      </c>
      <c r="I18" s="1">
        <f>SUMIF('HomeAttackPlay-by-Play'!$M:$M,B18,'HomeAttackPlay-by-Play'!$AN:$AN)</f>
        <v>0</v>
      </c>
      <c r="J18" s="1">
        <f>COUNTIFS('HomeAttackPlay-by-Play'!$AE:$AE,"*"&amp;B18&amp;"*")</f>
        <v>0</v>
      </c>
      <c r="K18" s="1">
        <f t="shared" si="6"/>
        <v>1</v>
      </c>
      <c r="L18" s="1">
        <f>COUNTIFS('HomeAttackPlay-by-Play'!$M:$M,HomeHitterData!B18,'HomeAttackPlay-by-Play'!$R:$R,"一壘安")</f>
        <v>1</v>
      </c>
      <c r="M18" s="1">
        <f>COUNTIFS('HomeAttackPlay-by-Play'!$M:$M,HomeHitterData!B18,'HomeAttackPlay-by-Play'!$R:$R,"二壘安")</f>
        <v>0</v>
      </c>
      <c r="N18" s="1">
        <f>COUNTIFS('HomeAttackPlay-by-Play'!$M:$M,HomeHitterData!B18,'HomeAttackPlay-by-Play'!$R:$R,"三壘安")</f>
        <v>0</v>
      </c>
      <c r="O18" s="1">
        <f>COUNTIFS('HomeAttackPlay-by-Play'!$M:$M,HomeHitterData!B18,'HomeAttackPlay-by-Play'!$R:$R,"全壘打")</f>
        <v>0</v>
      </c>
      <c r="P18" s="1">
        <f t="shared" si="7"/>
        <v>1</v>
      </c>
      <c r="Q18" s="1">
        <f>COUNTIFS('HomeAttackPlay-by-Play'!$M:$M,HomeHitterData!B18,'HomeAttackPlay-by-Play'!$R:$R,"雙殺打")</f>
        <v>0</v>
      </c>
      <c r="R18" s="1">
        <f>COUNTIFS('HomeAttackPlay-by-Play'!$M:$M,HomeHitterData!B18,'HomeAttackPlay-by-Play'!$R:$R,"犧牲觸擊")</f>
        <v>0</v>
      </c>
      <c r="S18" s="1">
        <f>COUNTIFS('HomeAttackPlay-by-Play'!$M:$M,HomeHitterData!B18,'HomeAttackPlay-by-Play'!$R:$R,"高飛犧牲")</f>
        <v>0</v>
      </c>
      <c r="T18" s="1">
        <f>COUNTIFS('HomeAttackPlay-by-Play'!$M:$M,HomeHitterData!B18,'HomeAttackPlay-by-Play'!$R:$R,"四壞")</f>
        <v>0</v>
      </c>
      <c r="U18" s="1">
        <f>COUNTIFS('HomeAttackPlay-by-Play'!$M:$M,HomeHitterData!B18,'HomeAttackPlay-by-Play'!$R:$R,"敬遠")</f>
        <v>0</v>
      </c>
      <c r="V18" s="1">
        <f>COUNTIFS('HomeAttackPlay-by-Play'!$M:$M,HomeHitterData!B18,'HomeAttackPlay-by-Play'!$R:$R,"觸身球")</f>
        <v>0</v>
      </c>
      <c r="W18" s="1">
        <f>COUNTIFS('HomeAttackPlay-by-Play'!$M:$M,HomeHitterData!B18,'HomeAttackPlay-by-Play'!$R:$R,"三振")</f>
        <v>0</v>
      </c>
      <c r="X18" s="1">
        <f t="shared" si="8"/>
        <v>0</v>
      </c>
      <c r="Y18" s="1">
        <f>COUNTIFS('HomeAttackPlay-by-Play'!$AC:$AC,HomeHitterData!B18,'HomeAttackPlay-by-Play'!$AA:$AA,"盜二成功")</f>
        <v>0</v>
      </c>
      <c r="Z18" s="1">
        <f>COUNTIFS('HomeAttackPlay-by-Play'!$AD:$AD,HomeHitterData!B18,'HomeAttackPlay-by-Play'!$AA:$AA,"盜三成功")</f>
        <v>0</v>
      </c>
      <c r="AA18" s="1">
        <f>COUNTIFS('HomeAttackPlay-by-Play'!$AE:$AE,"."&amp;HomeHitterData!B18,'HomeAttackPlay-by-Play'!$AA:$AA,"盜本成功")</f>
        <v>0</v>
      </c>
      <c r="AB18" s="1">
        <f>COUNTIFS('HomeAttackPlay-by-Play'!$AR:$AR,"*"&amp;B18&amp;"*",'HomeAttackPlay-by-Play'!$AA:$AA,"盜*出局")</f>
        <v>0</v>
      </c>
      <c r="AC18" s="23">
        <f t="shared" si="1"/>
        <v>0</v>
      </c>
      <c r="AD18" s="23">
        <f t="shared" si="2"/>
        <v>0.5</v>
      </c>
      <c r="AE18" s="1">
        <f>COUNTIFS('HomeAttackPlay-by-Play'!$M:$M,HomeHitterData!B18,'HomeAttackPlay-by-Play'!$R:$R,"妨礙打擊")</f>
        <v>0</v>
      </c>
    </row>
    <row r="19" spans="1:31" x14ac:dyDescent="0.3">
      <c r="A19" s="39">
        <f>IF(Roster!C19="","-",Roster!C19)</f>
        <v>36</v>
      </c>
      <c r="B19" s="39" t="str">
        <f>IF(A19="-","-",VLOOKUP(A19,Roster!$C$2:$D$27,2,FALSE))</f>
        <v>樂天余德龍</v>
      </c>
      <c r="C19" s="1" t="str">
        <f>IF(COUNTIF('HomeAttackPlay-by-Play'!$M:$AR,HomeHitterData!B19)&gt;=1,"1","0")</f>
        <v>0</v>
      </c>
      <c r="D19" s="1">
        <f>COUNTIFS('HomeAttackPlay-by-Play'!$M:$M,HomeHitterData!B19,'HomeAttackPlay-by-Play'!$AM:$AM,"1")</f>
        <v>0</v>
      </c>
      <c r="E19" s="1">
        <f t="shared" si="0"/>
        <v>0</v>
      </c>
      <c r="F19" s="23">
        <f t="shared" si="3"/>
        <v>0</v>
      </c>
      <c r="G19" s="23">
        <f t="shared" si="4"/>
        <v>0</v>
      </c>
      <c r="H19" s="23">
        <f t="shared" si="5"/>
        <v>0</v>
      </c>
      <c r="I19" s="1">
        <f>SUMIF('HomeAttackPlay-by-Play'!$M:$M,B19,'HomeAttackPlay-by-Play'!$AN:$AN)</f>
        <v>0</v>
      </c>
      <c r="J19" s="1">
        <f>COUNTIFS('HomeAttackPlay-by-Play'!$AE:$AE,"*"&amp;B19&amp;"*")</f>
        <v>0</v>
      </c>
      <c r="K19" s="1">
        <f t="shared" si="6"/>
        <v>0</v>
      </c>
      <c r="L19" s="1">
        <f>COUNTIFS('HomeAttackPlay-by-Play'!$M:$M,HomeHitterData!B19,'HomeAttackPlay-by-Play'!$R:$R,"一壘安")</f>
        <v>0</v>
      </c>
      <c r="M19" s="1">
        <f>COUNTIFS('HomeAttackPlay-by-Play'!$M:$M,HomeHitterData!B19,'HomeAttackPlay-by-Play'!$R:$R,"二壘安")</f>
        <v>0</v>
      </c>
      <c r="N19" s="1">
        <f>COUNTIFS('HomeAttackPlay-by-Play'!$M:$M,HomeHitterData!B19,'HomeAttackPlay-by-Play'!$R:$R,"三壘安")</f>
        <v>0</v>
      </c>
      <c r="O19" s="1">
        <f>COUNTIFS('HomeAttackPlay-by-Play'!$M:$M,HomeHitterData!B19,'HomeAttackPlay-by-Play'!$R:$R,"全壘打")</f>
        <v>0</v>
      </c>
      <c r="P19" s="1">
        <f t="shared" si="7"/>
        <v>0</v>
      </c>
      <c r="Q19" s="1">
        <f>COUNTIFS('HomeAttackPlay-by-Play'!$M:$M,HomeHitterData!B19,'HomeAttackPlay-by-Play'!$R:$R,"雙殺打")</f>
        <v>0</v>
      </c>
      <c r="R19" s="1">
        <f>COUNTIFS('HomeAttackPlay-by-Play'!$M:$M,HomeHitterData!B19,'HomeAttackPlay-by-Play'!$R:$R,"犧牲觸擊")</f>
        <v>0</v>
      </c>
      <c r="S19" s="1">
        <f>COUNTIFS('HomeAttackPlay-by-Play'!$M:$M,HomeHitterData!B19,'HomeAttackPlay-by-Play'!$R:$R,"高飛犧牲")</f>
        <v>0</v>
      </c>
      <c r="T19" s="1">
        <f>COUNTIFS('HomeAttackPlay-by-Play'!$M:$M,HomeHitterData!B19,'HomeAttackPlay-by-Play'!$R:$R,"四壞")</f>
        <v>0</v>
      </c>
      <c r="U19" s="1">
        <f>COUNTIFS('HomeAttackPlay-by-Play'!$M:$M,HomeHitterData!B19,'HomeAttackPlay-by-Play'!$R:$R,"敬遠")</f>
        <v>0</v>
      </c>
      <c r="V19" s="1">
        <f>COUNTIFS('HomeAttackPlay-by-Play'!$M:$M,HomeHitterData!B19,'HomeAttackPlay-by-Play'!$R:$R,"觸身球")</f>
        <v>0</v>
      </c>
      <c r="W19" s="1">
        <f>COUNTIFS('HomeAttackPlay-by-Play'!$M:$M,HomeHitterData!B19,'HomeAttackPlay-by-Play'!$R:$R,"三振")</f>
        <v>0</v>
      </c>
      <c r="X19" s="1">
        <f t="shared" si="8"/>
        <v>0</v>
      </c>
      <c r="Y19" s="1">
        <f>COUNTIFS('HomeAttackPlay-by-Play'!$AC:$AC,HomeHitterData!B19,'HomeAttackPlay-by-Play'!$AA:$AA,"盜二成功")</f>
        <v>0</v>
      </c>
      <c r="Z19" s="1">
        <f>COUNTIFS('HomeAttackPlay-by-Play'!$AD:$AD,HomeHitterData!B19,'HomeAttackPlay-by-Play'!$AA:$AA,"盜三成功")</f>
        <v>0</v>
      </c>
      <c r="AA19" s="1">
        <f>COUNTIFS('HomeAttackPlay-by-Play'!$AE:$AE,"."&amp;HomeHitterData!B19,'HomeAttackPlay-by-Play'!$AA:$AA,"盜本成功")</f>
        <v>0</v>
      </c>
      <c r="AB19" s="1">
        <f>COUNTIFS('HomeAttackPlay-by-Play'!$AR:$AR,"*"&amp;B19&amp;"*",'HomeAttackPlay-by-Play'!$AA:$AA,"盜*出局")</f>
        <v>0</v>
      </c>
      <c r="AC19" s="23">
        <f t="shared" si="1"/>
        <v>0</v>
      </c>
      <c r="AD19" s="23">
        <f t="shared" si="2"/>
        <v>0</v>
      </c>
      <c r="AE19" s="1">
        <f>COUNTIFS('HomeAttackPlay-by-Play'!$M:$M,HomeHitterData!B19,'HomeAttackPlay-by-Play'!$R:$R,"妨礙打擊")</f>
        <v>0</v>
      </c>
    </row>
    <row r="20" spans="1:31" x14ac:dyDescent="0.3">
      <c r="A20" s="39">
        <f>IF(Roster!C20="","-",Roster!C20)</f>
        <v>39</v>
      </c>
      <c r="B20" s="39" t="str">
        <f>IF(A20="-","-",VLOOKUP(A20,Roster!$C$2:$D$27,2,FALSE))</f>
        <v>樂天林立</v>
      </c>
      <c r="C20" s="1" t="str">
        <f>IF(COUNTIF('HomeAttackPlay-by-Play'!$M:$AR,HomeHitterData!B20)&gt;=1,"1","0")</f>
        <v>1</v>
      </c>
      <c r="D20" s="1">
        <f>COUNTIFS('HomeAttackPlay-by-Play'!$M:$M,HomeHitterData!B20,'HomeAttackPlay-by-Play'!$AM:$AM,"1")</f>
        <v>5</v>
      </c>
      <c r="E20" s="1">
        <f t="shared" si="0"/>
        <v>5</v>
      </c>
      <c r="F20" s="23">
        <f t="shared" si="3"/>
        <v>0.2</v>
      </c>
      <c r="G20" s="23">
        <f t="shared" si="4"/>
        <v>0.2</v>
      </c>
      <c r="H20" s="23">
        <f t="shared" si="5"/>
        <v>0.2</v>
      </c>
      <c r="I20" s="1">
        <f>SUMIF('HomeAttackPlay-by-Play'!$M:$M,B20,'HomeAttackPlay-by-Play'!$AN:$AN)</f>
        <v>0</v>
      </c>
      <c r="J20" s="1">
        <f>COUNTIFS('HomeAttackPlay-by-Play'!$AE:$AE,"*"&amp;B20&amp;"*")</f>
        <v>0</v>
      </c>
      <c r="K20" s="1">
        <f t="shared" si="6"/>
        <v>1</v>
      </c>
      <c r="L20" s="1">
        <f>COUNTIFS('HomeAttackPlay-by-Play'!$M:$M,HomeHitterData!B20,'HomeAttackPlay-by-Play'!$R:$R,"一壘安")</f>
        <v>1</v>
      </c>
      <c r="M20" s="1">
        <f>COUNTIFS('HomeAttackPlay-by-Play'!$M:$M,HomeHitterData!B20,'HomeAttackPlay-by-Play'!$R:$R,"二壘安")</f>
        <v>0</v>
      </c>
      <c r="N20" s="1">
        <f>COUNTIFS('HomeAttackPlay-by-Play'!$M:$M,HomeHitterData!B20,'HomeAttackPlay-by-Play'!$R:$R,"三壘安")</f>
        <v>0</v>
      </c>
      <c r="O20" s="1">
        <f>COUNTIFS('HomeAttackPlay-by-Play'!$M:$M,HomeHitterData!B20,'HomeAttackPlay-by-Play'!$R:$R,"全壘打")</f>
        <v>0</v>
      </c>
      <c r="P20" s="1">
        <f t="shared" si="7"/>
        <v>1</v>
      </c>
      <c r="Q20" s="1">
        <f>COUNTIFS('HomeAttackPlay-by-Play'!$M:$M,HomeHitterData!B20,'HomeAttackPlay-by-Play'!$R:$R,"雙殺打")</f>
        <v>0</v>
      </c>
      <c r="R20" s="1">
        <f>COUNTIFS('HomeAttackPlay-by-Play'!$M:$M,HomeHitterData!B20,'HomeAttackPlay-by-Play'!$R:$R,"犧牲觸擊")</f>
        <v>0</v>
      </c>
      <c r="S20" s="1">
        <f>COUNTIFS('HomeAttackPlay-by-Play'!$M:$M,HomeHitterData!B20,'HomeAttackPlay-by-Play'!$R:$R,"高飛犧牲")</f>
        <v>0</v>
      </c>
      <c r="T20" s="1">
        <f>COUNTIFS('HomeAttackPlay-by-Play'!$M:$M,HomeHitterData!B20,'HomeAttackPlay-by-Play'!$R:$R,"四壞")</f>
        <v>0</v>
      </c>
      <c r="U20" s="1">
        <f>COUNTIFS('HomeAttackPlay-by-Play'!$M:$M,HomeHitterData!B20,'HomeAttackPlay-by-Play'!$R:$R,"敬遠")</f>
        <v>0</v>
      </c>
      <c r="V20" s="1">
        <f>COUNTIFS('HomeAttackPlay-by-Play'!$M:$M,HomeHitterData!B20,'HomeAttackPlay-by-Play'!$R:$R,"觸身球")</f>
        <v>0</v>
      </c>
      <c r="W20" s="1">
        <f>COUNTIFS('HomeAttackPlay-by-Play'!$M:$M,HomeHitterData!B20,'HomeAttackPlay-by-Play'!$R:$R,"三振")</f>
        <v>0</v>
      </c>
      <c r="X20" s="1">
        <f t="shared" si="8"/>
        <v>0</v>
      </c>
      <c r="Y20" s="1">
        <f>COUNTIFS('HomeAttackPlay-by-Play'!$AC:$AC,HomeHitterData!B20,'HomeAttackPlay-by-Play'!$AA:$AA,"盜二成功")</f>
        <v>0</v>
      </c>
      <c r="Z20" s="1">
        <f>COUNTIFS('HomeAttackPlay-by-Play'!$AD:$AD,HomeHitterData!B20,'HomeAttackPlay-by-Play'!$AA:$AA,"盜三成功")</f>
        <v>0</v>
      </c>
      <c r="AA20" s="1">
        <f>COUNTIFS('HomeAttackPlay-by-Play'!$AE:$AE,"."&amp;HomeHitterData!B20,'HomeAttackPlay-by-Play'!$AA:$AA,"盜本成功")</f>
        <v>0</v>
      </c>
      <c r="AB20" s="1">
        <f>COUNTIFS('HomeAttackPlay-by-Play'!$AR:$AR,"*"&amp;B20&amp;"*",'HomeAttackPlay-by-Play'!$AA:$AA,"盜*出局")</f>
        <v>0</v>
      </c>
      <c r="AC20" s="23">
        <f t="shared" si="1"/>
        <v>0</v>
      </c>
      <c r="AD20" s="23">
        <f t="shared" si="2"/>
        <v>0.4</v>
      </c>
      <c r="AE20" s="1">
        <f>COUNTIFS('HomeAttackPlay-by-Play'!$M:$M,HomeHitterData!B20,'HomeAttackPlay-by-Play'!$R:$R,"妨礙打擊")</f>
        <v>0</v>
      </c>
    </row>
    <row r="21" spans="1:31" x14ac:dyDescent="0.3">
      <c r="A21" s="39">
        <f>IF(Roster!C21="","-",Roster!C21)</f>
        <v>45</v>
      </c>
      <c r="B21" s="39" t="str">
        <f>IF(A21="-","-",VLOOKUP(A21,Roster!$C$2:$D$27,2,FALSE))</f>
        <v>樂天馮健庭</v>
      </c>
      <c r="C21" s="1" t="str">
        <f>IF(COUNTIF('HomeAttackPlay-by-Play'!$M:$AR,HomeHitterData!B21)&gt;=1,"1","0")</f>
        <v>0</v>
      </c>
      <c r="D21" s="1">
        <f>COUNTIFS('HomeAttackPlay-by-Play'!$M:$M,HomeHitterData!B21,'HomeAttackPlay-by-Play'!$AM:$AM,"1")</f>
        <v>0</v>
      </c>
      <c r="E21" s="1">
        <f t="shared" si="0"/>
        <v>0</v>
      </c>
      <c r="F21" s="23">
        <f t="shared" si="3"/>
        <v>0</v>
      </c>
      <c r="G21" s="23">
        <f t="shared" si="4"/>
        <v>0</v>
      </c>
      <c r="H21" s="23">
        <f t="shared" si="5"/>
        <v>0</v>
      </c>
      <c r="I21" s="1">
        <f>SUMIF('HomeAttackPlay-by-Play'!$M:$M,B21,'HomeAttackPlay-by-Play'!$AN:$AN)</f>
        <v>0</v>
      </c>
      <c r="J21" s="1">
        <f>COUNTIFS('HomeAttackPlay-by-Play'!$AE:$AE,"*"&amp;B21&amp;"*")</f>
        <v>0</v>
      </c>
      <c r="K21" s="1">
        <f t="shared" si="6"/>
        <v>0</v>
      </c>
      <c r="L21" s="1">
        <f>COUNTIFS('HomeAttackPlay-by-Play'!$M:$M,HomeHitterData!B21,'HomeAttackPlay-by-Play'!$R:$R,"一壘安")</f>
        <v>0</v>
      </c>
      <c r="M21" s="1">
        <f>COUNTIFS('HomeAttackPlay-by-Play'!$M:$M,HomeHitterData!B21,'HomeAttackPlay-by-Play'!$R:$R,"二壘安")</f>
        <v>0</v>
      </c>
      <c r="N21" s="1">
        <f>COUNTIFS('HomeAttackPlay-by-Play'!$M:$M,HomeHitterData!B21,'HomeAttackPlay-by-Play'!$R:$R,"三壘安")</f>
        <v>0</v>
      </c>
      <c r="O21" s="1">
        <f>COUNTIFS('HomeAttackPlay-by-Play'!$M:$M,HomeHitterData!B21,'HomeAttackPlay-by-Play'!$R:$R,"全壘打")</f>
        <v>0</v>
      </c>
      <c r="P21" s="1">
        <f t="shared" si="7"/>
        <v>0</v>
      </c>
      <c r="Q21" s="1">
        <f>COUNTIFS('HomeAttackPlay-by-Play'!$M:$M,HomeHitterData!B21,'HomeAttackPlay-by-Play'!$R:$R,"雙殺打")</f>
        <v>0</v>
      </c>
      <c r="R21" s="1">
        <f>COUNTIFS('HomeAttackPlay-by-Play'!$M:$M,HomeHitterData!B21,'HomeAttackPlay-by-Play'!$R:$R,"犧牲觸擊")</f>
        <v>0</v>
      </c>
      <c r="S21" s="1">
        <f>COUNTIFS('HomeAttackPlay-by-Play'!$M:$M,HomeHitterData!B21,'HomeAttackPlay-by-Play'!$R:$R,"高飛犧牲")</f>
        <v>0</v>
      </c>
      <c r="T21" s="1">
        <f>COUNTIFS('HomeAttackPlay-by-Play'!$M:$M,HomeHitterData!B21,'HomeAttackPlay-by-Play'!$R:$R,"四壞")</f>
        <v>0</v>
      </c>
      <c r="U21" s="1">
        <f>COUNTIFS('HomeAttackPlay-by-Play'!$M:$M,HomeHitterData!B21,'HomeAttackPlay-by-Play'!$R:$R,"敬遠")</f>
        <v>0</v>
      </c>
      <c r="V21" s="1">
        <f>COUNTIFS('HomeAttackPlay-by-Play'!$M:$M,HomeHitterData!B21,'HomeAttackPlay-by-Play'!$R:$R,"觸身球")</f>
        <v>0</v>
      </c>
      <c r="W21" s="1">
        <f>COUNTIFS('HomeAttackPlay-by-Play'!$M:$M,HomeHitterData!B21,'HomeAttackPlay-by-Play'!$R:$R,"三振")</f>
        <v>0</v>
      </c>
      <c r="X21" s="1">
        <f t="shared" si="8"/>
        <v>0</v>
      </c>
      <c r="Y21" s="1">
        <f>COUNTIFS('HomeAttackPlay-by-Play'!$AC:$AC,HomeHitterData!B21,'HomeAttackPlay-by-Play'!$AA:$AA,"盜二成功")</f>
        <v>0</v>
      </c>
      <c r="Z21" s="1">
        <f>COUNTIFS('HomeAttackPlay-by-Play'!$AD:$AD,HomeHitterData!B21,'HomeAttackPlay-by-Play'!$AA:$AA,"盜三成功")</f>
        <v>0</v>
      </c>
      <c r="AA21" s="1">
        <f>COUNTIFS('HomeAttackPlay-by-Play'!$AE:$AE,"."&amp;HomeHitterData!B21,'HomeAttackPlay-by-Play'!$AA:$AA,"盜本成功")</f>
        <v>0</v>
      </c>
      <c r="AB21" s="1">
        <f>COUNTIFS('HomeAttackPlay-by-Play'!$AR:$AR,"*"&amp;B21&amp;"*",'HomeAttackPlay-by-Play'!$AA:$AA,"盜*出局")</f>
        <v>0</v>
      </c>
      <c r="AC21" s="23">
        <f t="shared" si="1"/>
        <v>0</v>
      </c>
      <c r="AD21" s="23">
        <f t="shared" si="2"/>
        <v>0</v>
      </c>
      <c r="AE21" s="1">
        <f>COUNTIFS('HomeAttackPlay-by-Play'!$M:$M,HomeHitterData!B21,'HomeAttackPlay-by-Play'!$R:$R,"妨礙打擊")</f>
        <v>0</v>
      </c>
    </row>
    <row r="22" spans="1:31" x14ac:dyDescent="0.3">
      <c r="A22" s="39">
        <f>IF(Roster!C22="","-",Roster!C22)</f>
        <v>58</v>
      </c>
      <c r="B22" s="39" t="str">
        <f>IF(A22="-","-",VLOOKUP(A22,Roster!$C$2:$D$27,2,FALSE))</f>
        <v>樂天廖健富</v>
      </c>
      <c r="C22" s="1" t="str">
        <f>IF(COUNTIF('HomeAttackPlay-by-Play'!$M:$AR,HomeHitterData!B22)&gt;=1,"1","0")</f>
        <v>1</v>
      </c>
      <c r="D22" s="1">
        <f>COUNTIFS('HomeAttackPlay-by-Play'!$M:$M,HomeHitterData!B22,'HomeAttackPlay-by-Play'!$AM:$AM,"1")</f>
        <v>5</v>
      </c>
      <c r="E22" s="1">
        <f t="shared" si="0"/>
        <v>5</v>
      </c>
      <c r="F22" s="23">
        <f t="shared" si="3"/>
        <v>0.2</v>
      </c>
      <c r="G22" s="23">
        <f t="shared" si="4"/>
        <v>0.2</v>
      </c>
      <c r="H22" s="23">
        <f t="shared" si="5"/>
        <v>0.2</v>
      </c>
      <c r="I22" s="1">
        <f>SUMIF('HomeAttackPlay-by-Play'!$M:$M,B22,'HomeAttackPlay-by-Play'!$AN:$AN)</f>
        <v>0</v>
      </c>
      <c r="J22" s="1">
        <f>COUNTIFS('HomeAttackPlay-by-Play'!$AE:$AE,"*"&amp;B22&amp;"*")</f>
        <v>0</v>
      </c>
      <c r="K22" s="1">
        <f t="shared" si="6"/>
        <v>1</v>
      </c>
      <c r="L22" s="1">
        <f>COUNTIFS('HomeAttackPlay-by-Play'!$M:$M,HomeHitterData!B22,'HomeAttackPlay-by-Play'!$R:$R,"一壘安")</f>
        <v>1</v>
      </c>
      <c r="M22" s="1">
        <f>COUNTIFS('HomeAttackPlay-by-Play'!$M:$M,HomeHitterData!B22,'HomeAttackPlay-by-Play'!$R:$R,"二壘安")</f>
        <v>0</v>
      </c>
      <c r="N22" s="1">
        <f>COUNTIFS('HomeAttackPlay-by-Play'!$M:$M,HomeHitterData!B22,'HomeAttackPlay-by-Play'!$R:$R,"三壘安")</f>
        <v>0</v>
      </c>
      <c r="O22" s="1">
        <f>COUNTIFS('HomeAttackPlay-by-Play'!$M:$M,HomeHitterData!B22,'HomeAttackPlay-by-Play'!$R:$R,"全壘打")</f>
        <v>0</v>
      </c>
      <c r="P22" s="1">
        <f t="shared" si="7"/>
        <v>1</v>
      </c>
      <c r="Q22" s="1">
        <f>COUNTIFS('HomeAttackPlay-by-Play'!$M:$M,HomeHitterData!B22,'HomeAttackPlay-by-Play'!$R:$R,"雙殺打")</f>
        <v>0</v>
      </c>
      <c r="R22" s="1">
        <f>COUNTIFS('HomeAttackPlay-by-Play'!$M:$M,HomeHitterData!B22,'HomeAttackPlay-by-Play'!$R:$R,"犧牲觸擊")</f>
        <v>0</v>
      </c>
      <c r="S22" s="1">
        <f>COUNTIFS('HomeAttackPlay-by-Play'!$M:$M,HomeHitterData!B22,'HomeAttackPlay-by-Play'!$R:$R,"高飛犧牲")</f>
        <v>0</v>
      </c>
      <c r="T22" s="1">
        <f>COUNTIFS('HomeAttackPlay-by-Play'!$M:$M,HomeHitterData!B22,'HomeAttackPlay-by-Play'!$R:$R,"四壞")</f>
        <v>0</v>
      </c>
      <c r="U22" s="1">
        <f>COUNTIFS('HomeAttackPlay-by-Play'!$M:$M,HomeHitterData!B22,'HomeAttackPlay-by-Play'!$R:$R,"敬遠")</f>
        <v>0</v>
      </c>
      <c r="V22" s="1">
        <f>COUNTIFS('HomeAttackPlay-by-Play'!$M:$M,HomeHitterData!B22,'HomeAttackPlay-by-Play'!$R:$R,"觸身球")</f>
        <v>0</v>
      </c>
      <c r="W22" s="1">
        <f>COUNTIFS('HomeAttackPlay-by-Play'!$M:$M,HomeHitterData!B22,'HomeAttackPlay-by-Play'!$R:$R,"三振")</f>
        <v>0</v>
      </c>
      <c r="X22" s="1">
        <f t="shared" si="8"/>
        <v>0</v>
      </c>
      <c r="Y22" s="1">
        <f>COUNTIFS('HomeAttackPlay-by-Play'!$AC:$AC,HomeHitterData!B22,'HomeAttackPlay-by-Play'!$AA:$AA,"盜二成功")</f>
        <v>0</v>
      </c>
      <c r="Z22" s="1">
        <f>COUNTIFS('HomeAttackPlay-by-Play'!$AD:$AD,HomeHitterData!B22,'HomeAttackPlay-by-Play'!$AA:$AA,"盜三成功")</f>
        <v>0</v>
      </c>
      <c r="AA22" s="1">
        <f>COUNTIFS('HomeAttackPlay-by-Play'!$AE:$AE,"."&amp;HomeHitterData!B22,'HomeAttackPlay-by-Play'!$AA:$AA,"盜本成功")</f>
        <v>0</v>
      </c>
      <c r="AB22" s="1">
        <f>COUNTIFS('HomeAttackPlay-by-Play'!$AR:$AR,"*"&amp;B22&amp;"*",'HomeAttackPlay-by-Play'!$AA:$AA,"盜*出局")</f>
        <v>0</v>
      </c>
      <c r="AC22" s="23">
        <f t="shared" si="1"/>
        <v>0</v>
      </c>
      <c r="AD22" s="23">
        <f t="shared" si="2"/>
        <v>0.4</v>
      </c>
      <c r="AE22" s="1">
        <f>COUNTIFS('HomeAttackPlay-by-Play'!$M:$M,HomeHitterData!B22,'HomeAttackPlay-by-Play'!$R:$R,"妨礙打擊")</f>
        <v>0</v>
      </c>
    </row>
    <row r="23" spans="1:31" x14ac:dyDescent="0.3">
      <c r="A23" s="39">
        <f>IF(Roster!C23="","-",Roster!C23)</f>
        <v>62</v>
      </c>
      <c r="B23" s="39" t="str">
        <f>IF(A23="-","-",VLOOKUP(A23,Roster!$C$2:$D$27,2,FALSE))</f>
        <v>樂天嚴宏鈞</v>
      </c>
      <c r="C23" s="1" t="str">
        <f>IF(COUNTIF('HomeAttackPlay-by-Play'!$M:$AR,HomeHitterData!B23)&gt;=1,"1","0")</f>
        <v>0</v>
      </c>
      <c r="D23" s="1">
        <f>COUNTIFS('HomeAttackPlay-by-Play'!$M:$M,HomeHitterData!B23,'HomeAttackPlay-by-Play'!$AM:$AM,"1")</f>
        <v>0</v>
      </c>
      <c r="E23" s="1">
        <f t="shared" si="0"/>
        <v>0</v>
      </c>
      <c r="F23" s="23">
        <f t="shared" si="3"/>
        <v>0</v>
      </c>
      <c r="G23" s="23">
        <f t="shared" si="4"/>
        <v>0</v>
      </c>
      <c r="H23" s="23">
        <f t="shared" si="5"/>
        <v>0</v>
      </c>
      <c r="I23" s="1">
        <f>SUMIF('HomeAttackPlay-by-Play'!$M:$M,B23,'HomeAttackPlay-by-Play'!$AN:$AN)</f>
        <v>0</v>
      </c>
      <c r="J23" s="1">
        <f>COUNTIFS('HomeAttackPlay-by-Play'!$AE:$AE,"*"&amp;B23&amp;"*")</f>
        <v>0</v>
      </c>
      <c r="K23" s="1">
        <f t="shared" si="6"/>
        <v>0</v>
      </c>
      <c r="L23" s="1">
        <f>COUNTIFS('HomeAttackPlay-by-Play'!$M:$M,HomeHitterData!B23,'HomeAttackPlay-by-Play'!$R:$R,"一壘安")</f>
        <v>0</v>
      </c>
      <c r="M23" s="1">
        <f>COUNTIFS('HomeAttackPlay-by-Play'!$M:$M,HomeHitterData!B23,'HomeAttackPlay-by-Play'!$R:$R,"二壘安")</f>
        <v>0</v>
      </c>
      <c r="N23" s="1">
        <f>COUNTIFS('HomeAttackPlay-by-Play'!$M:$M,HomeHitterData!B23,'HomeAttackPlay-by-Play'!$R:$R,"三壘安")</f>
        <v>0</v>
      </c>
      <c r="O23" s="1">
        <f>COUNTIFS('HomeAttackPlay-by-Play'!$M:$M,HomeHitterData!B23,'HomeAttackPlay-by-Play'!$R:$R,"全壘打")</f>
        <v>0</v>
      </c>
      <c r="P23" s="1">
        <f t="shared" si="7"/>
        <v>0</v>
      </c>
      <c r="Q23" s="1">
        <f>COUNTIFS('HomeAttackPlay-by-Play'!$M:$M,HomeHitterData!B23,'HomeAttackPlay-by-Play'!$R:$R,"雙殺打")</f>
        <v>0</v>
      </c>
      <c r="R23" s="1">
        <f>COUNTIFS('HomeAttackPlay-by-Play'!$M:$M,HomeHitterData!B23,'HomeAttackPlay-by-Play'!$R:$R,"犧牲觸擊")</f>
        <v>0</v>
      </c>
      <c r="S23" s="1">
        <f>COUNTIFS('HomeAttackPlay-by-Play'!$M:$M,HomeHitterData!B23,'HomeAttackPlay-by-Play'!$R:$R,"高飛犧牲")</f>
        <v>0</v>
      </c>
      <c r="T23" s="1">
        <f>COUNTIFS('HomeAttackPlay-by-Play'!$M:$M,HomeHitterData!B23,'HomeAttackPlay-by-Play'!$R:$R,"四壞")</f>
        <v>0</v>
      </c>
      <c r="U23" s="1">
        <f>COUNTIFS('HomeAttackPlay-by-Play'!$M:$M,HomeHitterData!B23,'HomeAttackPlay-by-Play'!$R:$R,"敬遠")</f>
        <v>0</v>
      </c>
      <c r="V23" s="1">
        <f>COUNTIFS('HomeAttackPlay-by-Play'!$M:$M,HomeHitterData!B23,'HomeAttackPlay-by-Play'!$R:$R,"觸身球")</f>
        <v>0</v>
      </c>
      <c r="W23" s="1">
        <f>COUNTIFS('HomeAttackPlay-by-Play'!$M:$M,HomeHitterData!B23,'HomeAttackPlay-by-Play'!$R:$R,"三振")</f>
        <v>0</v>
      </c>
      <c r="X23" s="1">
        <f t="shared" si="8"/>
        <v>0</v>
      </c>
      <c r="Y23" s="1">
        <f>COUNTIFS('HomeAttackPlay-by-Play'!$AC:$AC,HomeHitterData!B23,'HomeAttackPlay-by-Play'!$AA:$AA,"盜二成功")</f>
        <v>0</v>
      </c>
      <c r="Z23" s="1">
        <f>COUNTIFS('HomeAttackPlay-by-Play'!$AD:$AD,HomeHitterData!B23,'HomeAttackPlay-by-Play'!$AA:$AA,"盜三成功")</f>
        <v>0</v>
      </c>
      <c r="AA23" s="1">
        <f>COUNTIFS('HomeAttackPlay-by-Play'!$AE:$AE,"."&amp;HomeHitterData!B23,'HomeAttackPlay-by-Play'!$AA:$AA,"盜本成功")</f>
        <v>0</v>
      </c>
      <c r="AB23" s="1">
        <f>COUNTIFS('HomeAttackPlay-by-Play'!$AR:$AR,"*"&amp;B23&amp;"*",'HomeAttackPlay-by-Play'!$AA:$AA,"盜*出局")</f>
        <v>0</v>
      </c>
      <c r="AC23" s="23">
        <f t="shared" si="1"/>
        <v>0</v>
      </c>
      <c r="AD23" s="23">
        <f t="shared" si="2"/>
        <v>0</v>
      </c>
      <c r="AE23" s="1">
        <f>COUNTIFS('HomeAttackPlay-by-Play'!$M:$M,HomeHitterData!B23,'HomeAttackPlay-by-Play'!$R:$R,"妨礙打擊")</f>
        <v>0</v>
      </c>
    </row>
    <row r="24" spans="1:31" x14ac:dyDescent="0.3">
      <c r="A24" s="39">
        <f>IF(Roster!C24="","-",Roster!C24)</f>
        <v>82</v>
      </c>
      <c r="B24" s="39" t="str">
        <f>IF(A24="-","-",VLOOKUP(A24,Roster!$C$2:$D$27,2,FALSE))</f>
        <v>樂天黃敬瑋</v>
      </c>
      <c r="C24" s="1" t="str">
        <f>IF(COUNTIF('HomeAttackPlay-by-Play'!$M:$AR,HomeHitterData!B24)&gt;=1,"1","0")</f>
        <v>1</v>
      </c>
      <c r="D24" s="1">
        <f>COUNTIFS('HomeAttackPlay-by-Play'!$M:$M,HomeHitterData!B24,'HomeAttackPlay-by-Play'!$AM:$AM,"1")</f>
        <v>4</v>
      </c>
      <c r="E24" s="1">
        <f t="shared" si="0"/>
        <v>3</v>
      </c>
      <c r="F24" s="23">
        <f t="shared" si="3"/>
        <v>0</v>
      </c>
      <c r="G24" s="23">
        <f t="shared" si="4"/>
        <v>0</v>
      </c>
      <c r="H24" s="23">
        <f t="shared" si="5"/>
        <v>0.25</v>
      </c>
      <c r="I24" s="1">
        <f>SUMIF('HomeAttackPlay-by-Play'!$M:$M,B24,'HomeAttackPlay-by-Play'!$AN:$AN)</f>
        <v>0</v>
      </c>
      <c r="J24" s="1">
        <f>COUNTIFS('HomeAttackPlay-by-Play'!$AE:$AE,"*"&amp;B24&amp;"*")</f>
        <v>0</v>
      </c>
      <c r="K24" s="1">
        <f t="shared" si="6"/>
        <v>0</v>
      </c>
      <c r="L24" s="1">
        <f>COUNTIFS('HomeAttackPlay-by-Play'!$M:$M,HomeHitterData!B24,'HomeAttackPlay-by-Play'!$R:$R,"一壘安")</f>
        <v>0</v>
      </c>
      <c r="M24" s="1">
        <f>COUNTIFS('HomeAttackPlay-by-Play'!$M:$M,HomeHitterData!B24,'HomeAttackPlay-by-Play'!$R:$R,"二壘安")</f>
        <v>0</v>
      </c>
      <c r="N24" s="1">
        <f>COUNTIFS('HomeAttackPlay-by-Play'!$M:$M,HomeHitterData!B24,'HomeAttackPlay-by-Play'!$R:$R,"三壘安")</f>
        <v>0</v>
      </c>
      <c r="O24" s="1">
        <f>COUNTIFS('HomeAttackPlay-by-Play'!$M:$M,HomeHitterData!B24,'HomeAttackPlay-by-Play'!$R:$R,"全壘打")</f>
        <v>0</v>
      </c>
      <c r="P24" s="1">
        <f t="shared" si="7"/>
        <v>0</v>
      </c>
      <c r="Q24" s="1">
        <f>COUNTIFS('HomeAttackPlay-by-Play'!$M:$M,HomeHitterData!B24,'HomeAttackPlay-by-Play'!$R:$R,"雙殺打")</f>
        <v>0</v>
      </c>
      <c r="R24" s="1">
        <f>COUNTIFS('HomeAttackPlay-by-Play'!$M:$M,HomeHitterData!B24,'HomeAttackPlay-by-Play'!$R:$R,"犧牲觸擊")</f>
        <v>0</v>
      </c>
      <c r="S24" s="1">
        <f>COUNTIFS('HomeAttackPlay-by-Play'!$M:$M,HomeHitterData!B24,'HomeAttackPlay-by-Play'!$R:$R,"高飛犧牲")</f>
        <v>0</v>
      </c>
      <c r="T24" s="1">
        <f>COUNTIFS('HomeAttackPlay-by-Play'!$M:$M,HomeHitterData!B24,'HomeAttackPlay-by-Play'!$R:$R,"四壞")</f>
        <v>1</v>
      </c>
      <c r="U24" s="1">
        <f>COUNTIFS('HomeAttackPlay-by-Play'!$M:$M,HomeHitterData!B24,'HomeAttackPlay-by-Play'!$R:$R,"敬遠")</f>
        <v>0</v>
      </c>
      <c r="V24" s="1">
        <f>COUNTIFS('HomeAttackPlay-by-Play'!$M:$M,HomeHitterData!B24,'HomeAttackPlay-by-Play'!$R:$R,"觸身球")</f>
        <v>0</v>
      </c>
      <c r="W24" s="1">
        <f>COUNTIFS('HomeAttackPlay-by-Play'!$M:$M,HomeHitterData!B24,'HomeAttackPlay-by-Play'!$R:$R,"三振")</f>
        <v>1</v>
      </c>
      <c r="X24" s="1">
        <f t="shared" si="8"/>
        <v>0</v>
      </c>
      <c r="Y24" s="1">
        <f>COUNTIFS('HomeAttackPlay-by-Play'!$AC:$AC,HomeHitterData!B24,'HomeAttackPlay-by-Play'!$AA:$AA,"盜二成功")</f>
        <v>0</v>
      </c>
      <c r="Z24" s="1">
        <f>COUNTIFS('HomeAttackPlay-by-Play'!$AD:$AD,HomeHitterData!B24,'HomeAttackPlay-by-Play'!$AA:$AA,"盜三成功")</f>
        <v>0</v>
      </c>
      <c r="AA24" s="1">
        <f>COUNTIFS('HomeAttackPlay-by-Play'!$AE:$AE,"."&amp;HomeHitterData!B24,'HomeAttackPlay-by-Play'!$AA:$AA,"盜本成功")</f>
        <v>0</v>
      </c>
      <c r="AB24" s="1">
        <f>COUNTIFS('HomeAttackPlay-by-Play'!$AR:$AR,"*"&amp;B24&amp;"*",'HomeAttackPlay-by-Play'!$AA:$AA,"盜*出局")</f>
        <v>0</v>
      </c>
      <c r="AC24" s="23">
        <f t="shared" si="1"/>
        <v>0</v>
      </c>
      <c r="AD24" s="23">
        <f t="shared" si="2"/>
        <v>0.25</v>
      </c>
      <c r="AE24" s="1">
        <f>COUNTIFS('HomeAttackPlay-by-Play'!$M:$M,HomeHitterData!B24,'HomeAttackPlay-by-Play'!$R:$R,"妨礙打擊")</f>
        <v>0</v>
      </c>
    </row>
    <row r="25" spans="1:31" x14ac:dyDescent="0.3">
      <c r="A25" s="39">
        <f>IF(Roster!C25="","-",Roster!C25)</f>
        <v>85</v>
      </c>
      <c r="B25" s="39" t="str">
        <f>IF(A25="-","-",VLOOKUP(A25,Roster!$C$2:$D$27,2,FALSE))</f>
        <v>樂天朱育賢</v>
      </c>
      <c r="C25" s="1" t="str">
        <f>IF(COUNTIF('HomeAttackPlay-by-Play'!$M:$AR,HomeHitterData!B25)&gt;=1,"1","0")</f>
        <v>1</v>
      </c>
      <c r="D25" s="1">
        <f>COUNTIFS('HomeAttackPlay-by-Play'!$M:$M,HomeHitterData!B25,'HomeAttackPlay-by-Play'!$AM:$AM,"1")</f>
        <v>4</v>
      </c>
      <c r="E25" s="1">
        <f t="shared" si="0"/>
        <v>4</v>
      </c>
      <c r="F25" s="23">
        <f t="shared" si="3"/>
        <v>0.25</v>
      </c>
      <c r="G25" s="23">
        <f t="shared" si="4"/>
        <v>0.25</v>
      </c>
      <c r="H25" s="23">
        <f t="shared" si="5"/>
        <v>0.25</v>
      </c>
      <c r="I25" s="1">
        <f>SUMIF('HomeAttackPlay-by-Play'!$M:$M,B25,'HomeAttackPlay-by-Play'!$AN:$AN)</f>
        <v>0</v>
      </c>
      <c r="J25" s="1">
        <f>COUNTIFS('HomeAttackPlay-by-Play'!$AE:$AE,"*"&amp;B25&amp;"*")</f>
        <v>0</v>
      </c>
      <c r="K25" s="1">
        <f t="shared" si="6"/>
        <v>1</v>
      </c>
      <c r="L25" s="1">
        <f>COUNTIFS('HomeAttackPlay-by-Play'!$M:$M,HomeHitterData!B25,'HomeAttackPlay-by-Play'!$R:$R,"一壘安")</f>
        <v>1</v>
      </c>
      <c r="M25" s="1">
        <f>COUNTIFS('HomeAttackPlay-by-Play'!$M:$M,HomeHitterData!B25,'HomeAttackPlay-by-Play'!$R:$R,"二壘安")</f>
        <v>0</v>
      </c>
      <c r="N25" s="1">
        <f>COUNTIFS('HomeAttackPlay-by-Play'!$M:$M,HomeHitterData!B25,'HomeAttackPlay-by-Play'!$R:$R,"三壘安")</f>
        <v>0</v>
      </c>
      <c r="O25" s="1">
        <f>COUNTIFS('HomeAttackPlay-by-Play'!$M:$M,HomeHitterData!B25,'HomeAttackPlay-by-Play'!$R:$R,"全壘打")</f>
        <v>0</v>
      </c>
      <c r="P25" s="1">
        <f t="shared" si="7"/>
        <v>1</v>
      </c>
      <c r="Q25" s="1">
        <f>COUNTIFS('HomeAttackPlay-by-Play'!$M:$M,HomeHitterData!B25,'HomeAttackPlay-by-Play'!$R:$R,"雙殺打")</f>
        <v>0</v>
      </c>
      <c r="R25" s="1">
        <f>COUNTIFS('HomeAttackPlay-by-Play'!$M:$M,HomeHitterData!B25,'HomeAttackPlay-by-Play'!$R:$R,"犧牲觸擊")</f>
        <v>0</v>
      </c>
      <c r="S25" s="1">
        <f>COUNTIFS('HomeAttackPlay-by-Play'!$M:$M,HomeHitterData!B25,'HomeAttackPlay-by-Play'!$R:$R,"高飛犧牲")</f>
        <v>0</v>
      </c>
      <c r="T25" s="1">
        <f>COUNTIFS('HomeAttackPlay-by-Play'!$M:$M,HomeHitterData!B25,'HomeAttackPlay-by-Play'!$R:$R,"四壞")</f>
        <v>0</v>
      </c>
      <c r="U25" s="1">
        <f>COUNTIFS('HomeAttackPlay-by-Play'!$M:$M,HomeHitterData!B25,'HomeAttackPlay-by-Play'!$R:$R,"敬遠")</f>
        <v>0</v>
      </c>
      <c r="V25" s="1">
        <f>COUNTIFS('HomeAttackPlay-by-Play'!$M:$M,HomeHitterData!B25,'HomeAttackPlay-by-Play'!$R:$R,"觸身球")</f>
        <v>0</v>
      </c>
      <c r="W25" s="1">
        <f>COUNTIFS('HomeAttackPlay-by-Play'!$M:$M,HomeHitterData!B25,'HomeAttackPlay-by-Play'!$R:$R,"三振")</f>
        <v>0</v>
      </c>
      <c r="X25" s="1">
        <f t="shared" si="8"/>
        <v>0</v>
      </c>
      <c r="Y25" s="1">
        <f>COUNTIFS('HomeAttackPlay-by-Play'!$AC:$AC,HomeHitterData!B25,'HomeAttackPlay-by-Play'!$AA:$AA,"盜二成功")</f>
        <v>0</v>
      </c>
      <c r="Z25" s="1">
        <f>COUNTIFS('HomeAttackPlay-by-Play'!$AD:$AD,HomeHitterData!B25,'HomeAttackPlay-by-Play'!$AA:$AA,"盜三成功")</f>
        <v>0</v>
      </c>
      <c r="AA25" s="1">
        <f>COUNTIFS('HomeAttackPlay-by-Play'!$AE:$AE,"."&amp;HomeHitterData!B25,'HomeAttackPlay-by-Play'!$AA:$AA,"盜本成功")</f>
        <v>0</v>
      </c>
      <c r="AB25" s="1">
        <f>COUNTIFS('HomeAttackPlay-by-Play'!$AR:$AR,"*"&amp;B25&amp;"*",'HomeAttackPlay-by-Play'!$AA:$AA,"盜*出局")</f>
        <v>0</v>
      </c>
      <c r="AC25" s="23">
        <f t="shared" si="1"/>
        <v>0</v>
      </c>
      <c r="AD25" s="23">
        <f t="shared" si="2"/>
        <v>0.5</v>
      </c>
      <c r="AE25" s="1">
        <f>COUNTIFS('HomeAttackPlay-by-Play'!$M:$M,HomeHitterData!B25,'HomeAttackPlay-by-Play'!$R:$R,"妨礙打擊")</f>
        <v>0</v>
      </c>
    </row>
    <row r="26" spans="1:31" x14ac:dyDescent="0.3">
      <c r="A26" s="39">
        <f>IF(Roster!C26="","-",Roster!C26)</f>
        <v>86</v>
      </c>
      <c r="B26" s="39" t="str">
        <f>IF(A26="-","-",VLOOKUP(A26,Roster!$C$2:$D$27,2,FALSE))</f>
        <v>樂天邱丹</v>
      </c>
      <c r="C26" s="39" t="str">
        <f>IF(COUNTIF('HomeAttackPlay-by-Play'!$M:$AR,HomeHitterData!B26)&gt;=1,"1","0")</f>
        <v>1</v>
      </c>
      <c r="D26" s="39">
        <f>COUNTIFS('HomeAttackPlay-by-Play'!$M:$M,HomeHitterData!B26,'HomeAttackPlay-by-Play'!$AM:$AM,"1")</f>
        <v>1</v>
      </c>
      <c r="E26" s="39">
        <f t="shared" si="0"/>
        <v>1</v>
      </c>
      <c r="F26" s="23">
        <f t="shared" si="3"/>
        <v>0</v>
      </c>
      <c r="G26" s="23">
        <f t="shared" si="4"/>
        <v>0</v>
      </c>
      <c r="H26" s="23">
        <f t="shared" si="5"/>
        <v>0</v>
      </c>
      <c r="I26" s="39">
        <f>SUMIF('HomeAttackPlay-by-Play'!$M:$M,B26,'HomeAttackPlay-by-Play'!$AN:$AN)</f>
        <v>0</v>
      </c>
      <c r="J26" s="39">
        <f>COUNTIFS('HomeAttackPlay-by-Play'!$AE:$AE,"*"&amp;B26&amp;"*")</f>
        <v>0</v>
      </c>
      <c r="K26" s="39">
        <f t="shared" si="6"/>
        <v>0</v>
      </c>
      <c r="L26" s="39">
        <f>COUNTIFS('HomeAttackPlay-by-Play'!$M:$M,HomeHitterData!B26,'HomeAttackPlay-by-Play'!$R:$R,"一壘安")</f>
        <v>0</v>
      </c>
      <c r="M26" s="39">
        <f>COUNTIFS('HomeAttackPlay-by-Play'!$M:$M,HomeHitterData!B26,'HomeAttackPlay-by-Play'!$R:$R,"二壘安")</f>
        <v>0</v>
      </c>
      <c r="N26" s="39">
        <f>COUNTIFS('HomeAttackPlay-by-Play'!$M:$M,HomeHitterData!B26,'HomeAttackPlay-by-Play'!$R:$R,"三壘安")</f>
        <v>0</v>
      </c>
      <c r="O26" s="39">
        <f>COUNTIFS('HomeAttackPlay-by-Play'!$M:$M,HomeHitterData!B26,'HomeAttackPlay-by-Play'!$R:$R,"全壘打")</f>
        <v>0</v>
      </c>
      <c r="P26" s="39">
        <f t="shared" si="7"/>
        <v>0</v>
      </c>
      <c r="Q26" s="39">
        <f>COUNTIFS('HomeAttackPlay-by-Play'!$M:$M,HomeHitterData!B26,'HomeAttackPlay-by-Play'!$R:$R,"雙殺打")</f>
        <v>0</v>
      </c>
      <c r="R26" s="39">
        <f>COUNTIFS('HomeAttackPlay-by-Play'!$M:$M,HomeHitterData!B26,'HomeAttackPlay-by-Play'!$R:$R,"犧牲觸擊")</f>
        <v>0</v>
      </c>
      <c r="S26" s="39">
        <f>COUNTIFS('HomeAttackPlay-by-Play'!$M:$M,HomeHitterData!B26,'HomeAttackPlay-by-Play'!$R:$R,"高飛犧牲")</f>
        <v>0</v>
      </c>
      <c r="T26" s="39">
        <f>COUNTIFS('HomeAttackPlay-by-Play'!$M:$M,HomeHitterData!B26,'HomeAttackPlay-by-Play'!$R:$R,"四壞")</f>
        <v>0</v>
      </c>
      <c r="U26" s="39">
        <f>COUNTIFS('HomeAttackPlay-by-Play'!$M:$M,HomeHitterData!B26,'HomeAttackPlay-by-Play'!$R:$R,"敬遠")</f>
        <v>0</v>
      </c>
      <c r="V26" s="39">
        <f>COUNTIFS('HomeAttackPlay-by-Play'!$M:$M,HomeHitterData!B26,'HomeAttackPlay-by-Play'!$R:$R,"觸身球")</f>
        <v>0</v>
      </c>
      <c r="W26" s="39">
        <f>COUNTIFS('HomeAttackPlay-by-Play'!$M:$M,HomeHitterData!B26,'HomeAttackPlay-by-Play'!$R:$R,"三振")</f>
        <v>0</v>
      </c>
      <c r="X26" s="39">
        <f t="shared" si="8"/>
        <v>0</v>
      </c>
      <c r="Y26" s="39">
        <f>COUNTIFS('HomeAttackPlay-by-Play'!$AC:$AC,HomeHitterData!B26,'HomeAttackPlay-by-Play'!$AA:$AA,"盜二成功")</f>
        <v>0</v>
      </c>
      <c r="Z26" s="39">
        <f>COUNTIFS('HomeAttackPlay-by-Play'!$AD:$AD,HomeHitterData!B26,'HomeAttackPlay-by-Play'!$AA:$AA,"盜三成功")</f>
        <v>0</v>
      </c>
      <c r="AA26" s="39">
        <f>COUNTIFS('HomeAttackPlay-by-Play'!$AE:$AE,"."&amp;HomeHitterData!B26,'HomeAttackPlay-by-Play'!$AA:$AA,"盜本成功")</f>
        <v>0</v>
      </c>
      <c r="AB26" s="39">
        <f>COUNTIFS('HomeAttackPlay-by-Play'!$AR:$AR,"*"&amp;B26&amp;"*",'HomeAttackPlay-by-Play'!$AA:$AA,"盜*出局")</f>
        <v>1</v>
      </c>
      <c r="AC26" s="23">
        <f t="shared" si="1"/>
        <v>0</v>
      </c>
      <c r="AD26" s="23">
        <f t="shared" si="2"/>
        <v>0</v>
      </c>
      <c r="AE26" s="39">
        <f>COUNTIFS('HomeAttackPlay-by-Play'!$M:$M,HomeHitterData!B26,'HomeAttackPlay-by-Play'!$R:$R,"妨礙打擊")</f>
        <v>0</v>
      </c>
    </row>
    <row r="27" spans="1:31" x14ac:dyDescent="0.3">
      <c r="A27" s="39">
        <f>IF(Roster!C27="","-",Roster!C27)</f>
        <v>94</v>
      </c>
      <c r="B27" s="39" t="str">
        <f>IF(A27="-","-",VLOOKUP(A27,Roster!$C$2:$D$27,2,FALSE))</f>
        <v>樂天馬傑森</v>
      </c>
      <c r="C27" s="39" t="str">
        <f>IF(COUNTIF('HomeAttackPlay-by-Play'!$M:$AR,HomeHitterData!B27)&gt;=1,"1","0")</f>
        <v>1</v>
      </c>
      <c r="D27" s="39">
        <f>COUNTIFS('HomeAttackPlay-by-Play'!$M:$M,HomeHitterData!B27,'HomeAttackPlay-by-Play'!$AM:$AM,"1")</f>
        <v>4</v>
      </c>
      <c r="E27" s="39">
        <f t="shared" si="0"/>
        <v>4</v>
      </c>
      <c r="F27" s="23">
        <f t="shared" si="3"/>
        <v>0.25</v>
      </c>
      <c r="G27" s="23">
        <f t="shared" si="4"/>
        <v>0.25</v>
      </c>
      <c r="H27" s="23">
        <f t="shared" si="5"/>
        <v>0.25</v>
      </c>
      <c r="I27" s="39">
        <f>SUMIF('HomeAttackPlay-by-Play'!$M:$M,B27,'HomeAttackPlay-by-Play'!$AN:$AN)</f>
        <v>0</v>
      </c>
      <c r="J27" s="39">
        <f>COUNTIFS('HomeAttackPlay-by-Play'!$AE:$AE,"*"&amp;B27&amp;"*")</f>
        <v>1</v>
      </c>
      <c r="K27" s="39">
        <f t="shared" si="6"/>
        <v>1</v>
      </c>
      <c r="L27" s="39">
        <f>COUNTIFS('HomeAttackPlay-by-Play'!$M:$M,HomeHitterData!B27,'HomeAttackPlay-by-Play'!$R:$R,"一壘安")</f>
        <v>1</v>
      </c>
      <c r="M27" s="39">
        <f>COUNTIFS('HomeAttackPlay-by-Play'!$M:$M,HomeHitterData!B27,'HomeAttackPlay-by-Play'!$R:$R,"二壘安")</f>
        <v>0</v>
      </c>
      <c r="N27" s="39">
        <f>COUNTIFS('HomeAttackPlay-by-Play'!$M:$M,HomeHitterData!B27,'HomeAttackPlay-by-Play'!$R:$R,"三壘安")</f>
        <v>0</v>
      </c>
      <c r="O27" s="39">
        <f>COUNTIFS('HomeAttackPlay-by-Play'!$M:$M,HomeHitterData!B27,'HomeAttackPlay-by-Play'!$R:$R,"全壘打")</f>
        <v>0</v>
      </c>
      <c r="P27" s="39">
        <f t="shared" si="7"/>
        <v>1</v>
      </c>
      <c r="Q27" s="39">
        <f>COUNTIFS('HomeAttackPlay-by-Play'!$M:$M,HomeHitterData!B27,'HomeAttackPlay-by-Play'!$R:$R,"雙殺打")</f>
        <v>0</v>
      </c>
      <c r="R27" s="39">
        <f>COUNTIFS('HomeAttackPlay-by-Play'!$M:$M,HomeHitterData!B27,'HomeAttackPlay-by-Play'!$R:$R,"犧牲觸擊")</f>
        <v>0</v>
      </c>
      <c r="S27" s="39">
        <f>COUNTIFS('HomeAttackPlay-by-Play'!$M:$M,HomeHitterData!B27,'HomeAttackPlay-by-Play'!$R:$R,"高飛犧牲")</f>
        <v>0</v>
      </c>
      <c r="T27" s="39">
        <f>COUNTIFS('HomeAttackPlay-by-Play'!$M:$M,HomeHitterData!B27,'HomeAttackPlay-by-Play'!$R:$R,"四壞")</f>
        <v>0</v>
      </c>
      <c r="U27" s="39">
        <f>COUNTIFS('HomeAttackPlay-by-Play'!$M:$M,HomeHitterData!B27,'HomeAttackPlay-by-Play'!$R:$R,"敬遠")</f>
        <v>0</v>
      </c>
      <c r="V27" s="39">
        <f>COUNTIFS('HomeAttackPlay-by-Play'!$M:$M,HomeHitterData!B27,'HomeAttackPlay-by-Play'!$R:$R,"觸身球")</f>
        <v>0</v>
      </c>
      <c r="W27" s="39">
        <f>COUNTIFS('HomeAttackPlay-by-Play'!$M:$M,HomeHitterData!B27,'HomeAttackPlay-by-Play'!$R:$R,"三振")</f>
        <v>1</v>
      </c>
      <c r="X27" s="39">
        <f t="shared" si="8"/>
        <v>0</v>
      </c>
      <c r="Y27" s="39">
        <f>COUNTIFS('HomeAttackPlay-by-Play'!$AC:$AC,HomeHitterData!B27,'HomeAttackPlay-by-Play'!$AA:$AA,"盜二成功")</f>
        <v>0</v>
      </c>
      <c r="Z27" s="39">
        <f>COUNTIFS('HomeAttackPlay-by-Play'!$AD:$AD,HomeHitterData!B27,'HomeAttackPlay-by-Play'!$AA:$AA,"盜三成功")</f>
        <v>0</v>
      </c>
      <c r="AA27" s="39">
        <f>COUNTIFS('HomeAttackPlay-by-Play'!$AE:$AE,"."&amp;HomeHitterData!B27,'HomeAttackPlay-by-Play'!$AA:$AA,"盜本成功")</f>
        <v>0</v>
      </c>
      <c r="AB27" s="39">
        <f>COUNTIFS('HomeAttackPlay-by-Play'!$AR:$AR,"*"&amp;B27&amp;"*",'HomeAttackPlay-by-Play'!$AA:$AA,"盜*出局")</f>
        <v>0</v>
      </c>
      <c r="AC27" s="23">
        <f t="shared" si="1"/>
        <v>0</v>
      </c>
      <c r="AD27" s="23">
        <f t="shared" si="2"/>
        <v>0.5</v>
      </c>
      <c r="AE27" s="39">
        <f>COUNTIFS('HomeAttackPlay-by-Play'!$M:$M,HomeHitterData!B27,'HomeAttackPlay-by-Play'!$R:$R,"妨礙打擊")</f>
        <v>0</v>
      </c>
    </row>
    <row r="28" spans="1:31" s="17" customFormat="1" x14ac:dyDescent="0.3"/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BG11"/>
  <sheetViews>
    <sheetView workbookViewId="0">
      <selection activeCell="A2" sqref="A2"/>
    </sheetView>
  </sheetViews>
  <sheetFormatPr defaultRowHeight="16.2" x14ac:dyDescent="0.3"/>
  <sheetData>
    <row r="1" spans="1:59" x14ac:dyDescent="0.3">
      <c r="A1" t="s">
        <v>7</v>
      </c>
      <c r="B1" t="s">
        <v>21</v>
      </c>
      <c r="C1" t="s">
        <v>22</v>
      </c>
    </row>
    <row r="2" spans="1:59" x14ac:dyDescent="0.3">
      <c r="A2" t="s">
        <v>12</v>
      </c>
      <c r="B2" t="s">
        <v>12</v>
      </c>
      <c r="C2">
        <v>1</v>
      </c>
      <c r="BG2" s="14">
        <v>0.95281249999999995</v>
      </c>
    </row>
    <row r="3" spans="1:59" x14ac:dyDescent="0.3">
      <c r="A3" t="s">
        <v>13</v>
      </c>
      <c r="B3" t="s">
        <v>8</v>
      </c>
      <c r="C3">
        <v>2</v>
      </c>
    </row>
    <row r="4" spans="1:59" x14ac:dyDescent="0.3">
      <c r="A4" t="s">
        <v>4</v>
      </c>
      <c r="B4" t="s">
        <v>9</v>
      </c>
      <c r="C4">
        <v>3</v>
      </c>
    </row>
    <row r="5" spans="1:59" x14ac:dyDescent="0.3">
      <c r="A5" t="s">
        <v>14</v>
      </c>
      <c r="B5" t="s">
        <v>10</v>
      </c>
      <c r="C5">
        <v>4</v>
      </c>
    </row>
    <row r="6" spans="1:59" x14ac:dyDescent="0.3">
      <c r="A6" t="s">
        <v>15</v>
      </c>
      <c r="B6" t="s">
        <v>11</v>
      </c>
      <c r="C6">
        <v>5</v>
      </c>
    </row>
    <row r="7" spans="1:59" x14ac:dyDescent="0.3">
      <c r="A7" t="s">
        <v>16</v>
      </c>
      <c r="C7">
        <v>6</v>
      </c>
    </row>
    <row r="8" spans="1:59" x14ac:dyDescent="0.3">
      <c r="A8" t="s">
        <v>17</v>
      </c>
      <c r="C8">
        <v>7</v>
      </c>
    </row>
    <row r="9" spans="1:59" x14ac:dyDescent="0.3">
      <c r="A9" t="s">
        <v>18</v>
      </c>
      <c r="C9">
        <v>8</v>
      </c>
    </row>
    <row r="10" spans="1:59" x14ac:dyDescent="0.3">
      <c r="A10" t="s">
        <v>19</v>
      </c>
      <c r="C10">
        <v>9</v>
      </c>
    </row>
    <row r="11" spans="1:59" x14ac:dyDescent="0.3">
      <c r="A11" t="s">
        <v>20</v>
      </c>
      <c r="C11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0"/>
  <dimension ref="A1:BG171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9.44140625" defaultRowHeight="16.2" x14ac:dyDescent="0.3"/>
  <cols>
    <col min="1" max="2" width="9.44140625" style="1"/>
    <col min="3" max="3" width="6.88671875" style="1" customWidth="1"/>
    <col min="4" max="4" width="6.88671875" style="25" customWidth="1"/>
    <col min="5" max="6" width="7.44140625" style="25" customWidth="1"/>
    <col min="7" max="7" width="7.109375" style="25" customWidth="1"/>
    <col min="8" max="14" width="9.44140625" style="1"/>
    <col min="15" max="15" width="12.44140625" style="1" customWidth="1"/>
    <col min="16" max="16384" width="9.44140625" style="1"/>
  </cols>
  <sheetData>
    <row r="1" spans="1:59" s="26" customFormat="1" ht="15.6" x14ac:dyDescent="0.3">
      <c r="A1" s="26" t="s">
        <v>111</v>
      </c>
      <c r="B1" s="26" t="s">
        <v>52</v>
      </c>
      <c r="C1" s="26" t="s">
        <v>125</v>
      </c>
      <c r="D1" s="26" t="s">
        <v>123</v>
      </c>
      <c r="E1" s="26" t="s">
        <v>124</v>
      </c>
      <c r="F1" s="26" t="s">
        <v>53</v>
      </c>
      <c r="G1" s="26" t="s">
        <v>54</v>
      </c>
      <c r="H1" s="26" t="s">
        <v>134</v>
      </c>
      <c r="I1" s="26" t="s">
        <v>135</v>
      </c>
      <c r="J1" s="26" t="s">
        <v>136</v>
      </c>
      <c r="K1" s="26" t="s">
        <v>137</v>
      </c>
      <c r="L1" s="26" t="s">
        <v>138</v>
      </c>
      <c r="M1" s="26" t="s">
        <v>55</v>
      </c>
      <c r="N1" s="26" t="s">
        <v>132</v>
      </c>
      <c r="O1" s="26" t="s">
        <v>133</v>
      </c>
      <c r="P1" s="26" t="s">
        <v>140</v>
      </c>
      <c r="Q1" s="26" t="s">
        <v>37</v>
      </c>
      <c r="R1" s="26" t="s">
        <v>38</v>
      </c>
      <c r="S1" s="26" t="s">
        <v>57</v>
      </c>
      <c r="T1" s="26" t="s">
        <v>56</v>
      </c>
      <c r="U1" s="26" t="s">
        <v>58</v>
      </c>
      <c r="V1" s="26" t="s">
        <v>59</v>
      </c>
      <c r="W1" s="26" t="s">
        <v>65</v>
      </c>
      <c r="X1" s="26" t="s">
        <v>66</v>
      </c>
      <c r="Y1" s="26" t="s">
        <v>60</v>
      </c>
      <c r="Z1" s="26" t="s">
        <v>61</v>
      </c>
      <c r="AA1" s="26" t="s">
        <v>62</v>
      </c>
      <c r="AB1" s="26" t="s">
        <v>63</v>
      </c>
      <c r="AD1" s="26" t="s">
        <v>141</v>
      </c>
      <c r="AE1" s="26" t="s">
        <v>139</v>
      </c>
    </row>
    <row r="2" spans="1:59" s="22" customFormat="1" x14ac:dyDescent="0.3">
      <c r="A2" s="22">
        <f>IF(Roster!K2="","-",Roster!K2)</f>
        <v>18</v>
      </c>
      <c r="B2" s="22" t="str">
        <f>IF(A2="-","-",VLOOKUP(A2,Roster!$K$2:$L$27,2,FALSE))</f>
        <v>兄弟官大元</v>
      </c>
      <c r="C2" s="22" t="str">
        <f>IF(COUNTIF('HomeAttackPlay-by-Play'!$E:$E,GuestPitcherData!B2)&gt;=1,"1","0")</f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>
        <v>0</v>
      </c>
      <c r="J2" s="27">
        <v>0</v>
      </c>
      <c r="K2" s="27">
        <v>0</v>
      </c>
      <c r="L2" s="27">
        <v>0</v>
      </c>
      <c r="M2" s="24">
        <f t="shared" ref="M2:M10" si="0">INT(AD2/3)+MOD(AD2,3)/10</f>
        <v>0.2</v>
      </c>
      <c r="N2" s="22">
        <f xml:space="preserve"> IF(M2=0,"∞",AB2* 9 /(INT(M2)+ MOD(M2 * 10,10)/ 3))</f>
        <v>0</v>
      </c>
      <c r="O2" s="29">
        <f t="shared" ref="O2:O27" si="1">IF(M2=0,"∞",((Q2+S2+T2)/(INT(M2)+ MOD(M2 * 10,10)/ 3)))</f>
        <v>1.5</v>
      </c>
      <c r="P2" s="22">
        <f>COUNTIFS('HomeAttackPlay-by-Play'!$E:$E,B2,'HomeAttackPlay-by-Play'!$AM:$AM,"1")</f>
        <v>4</v>
      </c>
      <c r="Q2" s="22">
        <f>COUNTIFS('HomeAttackPlay-by-Play'!$E:$E,B2,'HomeAttackPlay-by-Play'!$R:$R,"*壘安")+R2</f>
        <v>1</v>
      </c>
      <c r="R2" s="22">
        <f>COUNTIFS('HomeAttackPlay-by-Play'!$E:$E,B2,'HomeAttackPlay-by-Play'!$R:$R,"全壘打")</f>
        <v>0</v>
      </c>
      <c r="S2" s="22">
        <f>COUNTIFS('HomeAttackPlay-by-Play'!$E:$E,B2,'HomeAttackPlay-by-Play'!$R:$R,"四壞")</f>
        <v>0</v>
      </c>
      <c r="T2" s="22">
        <f>COUNTIFS('HomeAttackPlay-by-Play'!$E:$E,B2,'HomeAttackPlay-by-Play'!$R:$R,"敬遠")</f>
        <v>0</v>
      </c>
      <c r="U2" s="22">
        <f>COUNTIFS('HomeAttackPlay-by-Play'!$E:$E,B2,'HomeAttackPlay-by-Play'!$R:$R,"觸身球")</f>
        <v>0</v>
      </c>
      <c r="V2" s="22">
        <f>COUNTIFS('HomeAttackPlay-by-Play'!$E:$E,B2,'HomeAttackPlay-by-Play'!$R:$R,"*三振")</f>
        <v>1</v>
      </c>
      <c r="W2" s="22">
        <f>COUNTIFS('HomeAttackPlay-by-Play'!$E:$E,B2,'HomeAttackPlay-by-Play'!$R:$R,"犧牲觸擊")</f>
        <v>0</v>
      </c>
      <c r="X2" s="22">
        <f>COUNTIFS('HomeAttackPlay-by-Play'!$E:$E,B2,'HomeAttackPlay-by-Play'!$R:$R,"高飛犧牲")</f>
        <v>0</v>
      </c>
      <c r="Y2" s="22">
        <f>COUNTIFS('HomeAttackPlay-by-Play'!$E:$E,B2,'HomeAttackPlay-by-Play'!$R:$R,"暴投")</f>
        <v>0</v>
      </c>
      <c r="Z2" s="22">
        <f>COUNTIFS('HomeAttackPlay-by-Play'!$E:$E,B2,'HomeAttackPlay-by-Play'!$R:$R,"投手犯規")</f>
        <v>0</v>
      </c>
      <c r="AA2" s="22">
        <f>SUMIF('HomeAttackPlay-by-Play'!$E:$E,B2,'HomeAttackPlay-by-Play'!$AF:$AF)+SUMIF('HomeAttackPlay-by-Play'!$E:$E,B2,'HomeAttackPlay-by-Play'!$AG:$AG)</f>
        <v>0</v>
      </c>
      <c r="AB2" s="22">
        <f>SUMIF('HomeAttackPlay-by-Play'!$E:$E,B2,'HomeAttackPlay-by-Play'!$AG:$AG)</f>
        <v>0</v>
      </c>
      <c r="AD2" s="22">
        <f>COUNTIFS('HomeAttackPlay-by-Play'!$E:$E,B2,'HomeAttackPlay-by-Play'!$AK:$AK,"1")</f>
        <v>2</v>
      </c>
      <c r="BG2" s="28">
        <v>0.35925925925925922</v>
      </c>
    </row>
    <row r="3" spans="1:59" s="22" customFormat="1" x14ac:dyDescent="0.3">
      <c r="A3" s="38">
        <f>IF(Roster!K3="","-",Roster!K3)</f>
        <v>19</v>
      </c>
      <c r="B3" s="38" t="str">
        <f>IF(A3="-","-",VLOOKUP(A3,Roster!$K$2:$L$27,2,FALSE))</f>
        <v>兄弟鄭凱文</v>
      </c>
      <c r="C3" s="22" t="str">
        <f>IF(COUNTIF('HomeAttackPlay-by-Play'!$E:$E,GuestPitcherData!B3)&gt;=1,"1","0")</f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4">
        <f t="shared" si="0"/>
        <v>0</v>
      </c>
      <c r="N3" s="24" t="str">
        <f t="shared" ref="N3:N27" si="2" xml:space="preserve"> IF(M3=0,"∞",AB3* 9 /(INT(M3)+ MOD(M3 * 10,10)/ 3))</f>
        <v>∞</v>
      </c>
      <c r="O3" s="29" t="str">
        <f t="shared" si="1"/>
        <v>∞</v>
      </c>
      <c r="P3" s="22">
        <f>COUNTIFS('HomeAttackPlay-by-Play'!$E:$E,B3,'HomeAttackPlay-by-Play'!$AM:$AM,"1")</f>
        <v>0</v>
      </c>
      <c r="Q3" s="22">
        <f>COUNTIFS('HomeAttackPlay-by-Play'!$E:$E,B3,'HomeAttackPlay-by-Play'!$R:$R,"*壘安")+R3</f>
        <v>0</v>
      </c>
      <c r="R3" s="22">
        <f>COUNTIFS('HomeAttackPlay-by-Play'!$E:$E,B3,'HomeAttackPlay-by-Play'!$R:$R,"全壘打")</f>
        <v>0</v>
      </c>
      <c r="S3" s="22">
        <f>COUNTIFS('HomeAttackPlay-by-Play'!$E:$E,B3,'HomeAttackPlay-by-Play'!$R:$R,"四壞")</f>
        <v>0</v>
      </c>
      <c r="T3" s="22">
        <f>COUNTIFS('HomeAttackPlay-by-Play'!$E:$E,B3,'HomeAttackPlay-by-Play'!$R:$R,"敬遠")</f>
        <v>0</v>
      </c>
      <c r="U3" s="22">
        <f>COUNTIFS('HomeAttackPlay-by-Play'!$E:$E,B3,'HomeAttackPlay-by-Play'!$R:$R,"觸身球")</f>
        <v>0</v>
      </c>
      <c r="V3" s="22">
        <f>COUNTIFS('HomeAttackPlay-by-Play'!$E:$E,B3,'HomeAttackPlay-by-Play'!$R:$R,"*三振")</f>
        <v>0</v>
      </c>
      <c r="W3" s="22">
        <f>COUNTIFS('HomeAttackPlay-by-Play'!$E:$E,B3,'HomeAttackPlay-by-Play'!$R:$R,"犧牲觸擊")</f>
        <v>0</v>
      </c>
      <c r="X3" s="22">
        <f>COUNTIFS('HomeAttackPlay-by-Play'!$E:$E,B3,'HomeAttackPlay-by-Play'!$R:$R,"高飛犧牲")</f>
        <v>0</v>
      </c>
      <c r="Y3" s="22">
        <f>COUNTIFS('HomeAttackPlay-by-Play'!$E:$E,B3,'HomeAttackPlay-by-Play'!$R:$R,"暴投")</f>
        <v>0</v>
      </c>
      <c r="Z3" s="22">
        <f>COUNTIFS('HomeAttackPlay-by-Play'!$E:$E,B3,'HomeAttackPlay-by-Play'!$R:$R,"投手犯規")</f>
        <v>0</v>
      </c>
      <c r="AA3" s="22">
        <f>SUMIF('HomeAttackPlay-by-Play'!$E:$E,B3,'HomeAttackPlay-by-Play'!$AF:$AF)+SUMIF('HomeAttackPlay-by-Play'!$E:$E,B3,'HomeAttackPlay-by-Play'!$AG:$AG)</f>
        <v>0</v>
      </c>
      <c r="AB3" s="22">
        <f>SUMIF('HomeAttackPlay-by-Play'!$E:$E,B3,'HomeAttackPlay-by-Play'!$AG:$AG)</f>
        <v>0</v>
      </c>
      <c r="AD3" s="32">
        <f>COUNTIFS('HomeAttackPlay-by-Play'!$E:$E,B3,'HomeAttackPlay-by-Play'!$AK:$AK,"1")</f>
        <v>0</v>
      </c>
    </row>
    <row r="4" spans="1:59" s="29" customFormat="1" x14ac:dyDescent="0.3">
      <c r="A4" s="38">
        <f>IF(Roster!K4="","-",Roster!K4)</f>
        <v>34</v>
      </c>
      <c r="B4" s="38" t="str">
        <f>IF(A4="-","-",VLOOKUP(A4,Roster!$K$2:$L$27,2,FALSE))</f>
        <v>兄弟李振昌</v>
      </c>
      <c r="C4" s="29" t="str">
        <f>IF(COUNTIF('HomeAttackPlay-by-Play'!$E:$E,GuestPitcherData!B4)&gt;=1,"1","0")</f>
        <v>0</v>
      </c>
      <c r="D4" s="30">
        <v>0</v>
      </c>
      <c r="E4" s="30">
        <v>0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24">
        <f t="shared" si="0"/>
        <v>0</v>
      </c>
      <c r="N4" s="24" t="str">
        <f t="shared" si="2"/>
        <v>∞</v>
      </c>
      <c r="O4" s="29" t="str">
        <f t="shared" si="1"/>
        <v>∞</v>
      </c>
      <c r="P4" s="22">
        <f>COUNTIFS('HomeAttackPlay-by-Play'!$E:$E,B4,'HomeAttackPlay-by-Play'!$AM:$AM,"1")</f>
        <v>0</v>
      </c>
      <c r="Q4" s="29">
        <f>COUNTIFS('HomeAttackPlay-by-Play'!$E:$E,B4,'HomeAttackPlay-by-Play'!$R:$R,"*壘安")+R4</f>
        <v>0</v>
      </c>
      <c r="R4" s="29">
        <f>COUNTIFS('HomeAttackPlay-by-Play'!$E:$E,B4,'HomeAttackPlay-by-Play'!$R:$R,"全壘打")</f>
        <v>0</v>
      </c>
      <c r="S4" s="29">
        <f>COUNTIFS('HomeAttackPlay-by-Play'!$E:$E,B4,'HomeAttackPlay-by-Play'!$R:$R,"四壞")</f>
        <v>0</v>
      </c>
      <c r="T4" s="29">
        <f>COUNTIFS('HomeAttackPlay-by-Play'!$E:$E,B4,'HomeAttackPlay-by-Play'!$R:$R,"敬遠")</f>
        <v>0</v>
      </c>
      <c r="U4" s="29">
        <f>COUNTIFS('HomeAttackPlay-by-Play'!$E:$E,B4,'HomeAttackPlay-by-Play'!$R:$R,"觸身球")</f>
        <v>0</v>
      </c>
      <c r="V4" s="29">
        <f>COUNTIFS('HomeAttackPlay-by-Play'!$E:$E,B4,'HomeAttackPlay-by-Play'!$R:$R,"*三振")</f>
        <v>0</v>
      </c>
      <c r="W4" s="29">
        <f>COUNTIFS('HomeAttackPlay-by-Play'!$E:$E,B4,'HomeAttackPlay-by-Play'!$R:$R,"犧牲觸擊")</f>
        <v>0</v>
      </c>
      <c r="X4" s="29">
        <f>COUNTIFS('HomeAttackPlay-by-Play'!$E:$E,B4,'HomeAttackPlay-by-Play'!$R:$R,"高飛犧牲")</f>
        <v>0</v>
      </c>
      <c r="Y4" s="29">
        <f>COUNTIFS('HomeAttackPlay-by-Play'!$E:$E,B4,'HomeAttackPlay-by-Play'!$R:$R,"暴投")</f>
        <v>0</v>
      </c>
      <c r="Z4" s="29">
        <f>COUNTIFS('HomeAttackPlay-by-Play'!$E:$E,B4,'HomeAttackPlay-by-Play'!$R:$R,"投手犯規")</f>
        <v>0</v>
      </c>
      <c r="AA4" s="22">
        <f>SUMIF('HomeAttackPlay-by-Play'!$E:$E,B4,'HomeAttackPlay-by-Play'!$AF:$AF)+SUMIF('HomeAttackPlay-by-Play'!$E:$E,B4,'HomeAttackPlay-by-Play'!$AG:$AG)</f>
        <v>0</v>
      </c>
      <c r="AB4" s="22">
        <f>SUMIF('HomeAttackPlay-by-Play'!$E:$E,B4,'HomeAttackPlay-by-Play'!$AG:$AG)</f>
        <v>0</v>
      </c>
      <c r="AD4" s="32">
        <f>COUNTIFS('HomeAttackPlay-by-Play'!$E:$E,B4,'HomeAttackPlay-by-Play'!$AK:$AK,"1")</f>
        <v>0</v>
      </c>
    </row>
    <row r="5" spans="1:59" s="22" customFormat="1" x14ac:dyDescent="0.3">
      <c r="A5" s="38">
        <f>IF(Roster!K5="","-",Roster!K5)</f>
        <v>50</v>
      </c>
      <c r="B5" s="38" t="str">
        <f>IF(A5="-","-",VLOOKUP(A5,Roster!$K$2:$L$27,2,FALSE))</f>
        <v>兄弟蔡齊哲</v>
      </c>
      <c r="C5" s="22" t="str">
        <f>IF(COUNTIF('HomeAttackPlay-by-Play'!$E:$E,GuestPitcherData!B5)&gt;=1,"1","0")</f>
        <v>1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4">
        <f t="shared" si="0"/>
        <v>1</v>
      </c>
      <c r="N5" s="24">
        <f t="shared" si="2"/>
        <v>0</v>
      </c>
      <c r="O5" s="29">
        <f t="shared" si="1"/>
        <v>3</v>
      </c>
      <c r="P5" s="22">
        <f>COUNTIFS('HomeAttackPlay-by-Play'!$E:$E,B5,'HomeAttackPlay-by-Play'!$AM:$AM,"1")</f>
        <v>5</v>
      </c>
      <c r="Q5" s="22">
        <f>COUNTIFS('HomeAttackPlay-by-Play'!$E:$E,B5,'HomeAttackPlay-by-Play'!$R:$R,"*壘安")+R5</f>
        <v>1</v>
      </c>
      <c r="R5" s="22">
        <f>COUNTIFS('HomeAttackPlay-by-Play'!$E:$E,B5,'HomeAttackPlay-by-Play'!$R:$R,"全壘打")</f>
        <v>0</v>
      </c>
      <c r="S5" s="22">
        <f>COUNTIFS('HomeAttackPlay-by-Play'!$E:$E,B5,'HomeAttackPlay-by-Play'!$R:$R,"四壞")</f>
        <v>2</v>
      </c>
      <c r="T5" s="22">
        <f>COUNTIFS('HomeAttackPlay-by-Play'!$E:$E,B5,'HomeAttackPlay-by-Play'!$R:$R,"敬遠")</f>
        <v>0</v>
      </c>
      <c r="U5" s="22">
        <f>COUNTIFS('HomeAttackPlay-by-Play'!$E:$E,B5,'HomeAttackPlay-by-Play'!$R:$R,"觸身球")</f>
        <v>0</v>
      </c>
      <c r="V5" s="22">
        <f>COUNTIFS('HomeAttackPlay-by-Play'!$E:$E,B5,'HomeAttackPlay-by-Play'!$R:$R,"*三振")</f>
        <v>0</v>
      </c>
      <c r="W5" s="22">
        <f>COUNTIFS('HomeAttackPlay-by-Play'!$E:$E,B5,'HomeAttackPlay-by-Play'!$R:$R,"犧牲觸擊")</f>
        <v>0</v>
      </c>
      <c r="X5" s="22">
        <f>COUNTIFS('HomeAttackPlay-by-Play'!$E:$E,B5,'HomeAttackPlay-by-Play'!$R:$R,"高飛犧牲")</f>
        <v>0</v>
      </c>
      <c r="Y5" s="22">
        <f>COUNTIFS('HomeAttackPlay-by-Play'!$E:$E,B5,'HomeAttackPlay-by-Play'!$R:$R,"暴投")</f>
        <v>0</v>
      </c>
      <c r="Z5" s="22">
        <f>COUNTIFS('HomeAttackPlay-by-Play'!$E:$E,B5,'HomeAttackPlay-by-Play'!$R:$R,"投手犯規")</f>
        <v>0</v>
      </c>
      <c r="AA5" s="22">
        <f>SUMIF('HomeAttackPlay-by-Play'!$E:$E,B5,'HomeAttackPlay-by-Play'!$AF:$AF)+SUMIF('HomeAttackPlay-by-Play'!$E:$E,B5,'HomeAttackPlay-by-Play'!$AG:$AG)</f>
        <v>0</v>
      </c>
      <c r="AB5" s="22">
        <f>SUMIF('HomeAttackPlay-by-Play'!$E:$E,B5,'HomeAttackPlay-by-Play'!$AG:$AG)</f>
        <v>0</v>
      </c>
      <c r="AD5" s="32">
        <f>COUNTIFS('HomeAttackPlay-by-Play'!$E:$E,B5,'HomeAttackPlay-by-Play'!$AK:$AK,"1")</f>
        <v>3</v>
      </c>
    </row>
    <row r="6" spans="1:59" s="29" customFormat="1" x14ac:dyDescent="0.3">
      <c r="A6" s="38">
        <f>IF(Roster!K6="","-",Roster!K6)</f>
        <v>54</v>
      </c>
      <c r="B6" s="38" t="str">
        <f>IF(A6="-","-",VLOOKUP(A6,Roster!$K$2:$L$27,2,FALSE))</f>
        <v>兄弟王奕凱</v>
      </c>
      <c r="C6" s="29" t="str">
        <f>IF(COUNTIF('HomeAttackPlay-by-Play'!$E:$E,GuestPitcherData!B6)&gt;=1,"1","0")</f>
        <v>0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24">
        <f t="shared" si="0"/>
        <v>0</v>
      </c>
      <c r="N6" s="24" t="str">
        <f t="shared" si="2"/>
        <v>∞</v>
      </c>
      <c r="O6" s="29" t="str">
        <f t="shared" si="1"/>
        <v>∞</v>
      </c>
      <c r="P6" s="22">
        <f>COUNTIFS('HomeAttackPlay-by-Play'!$E:$E,B6,'HomeAttackPlay-by-Play'!$AM:$AM,"1")</f>
        <v>0</v>
      </c>
      <c r="Q6" s="29">
        <f>COUNTIFS('HomeAttackPlay-by-Play'!$E:$E,B6,'HomeAttackPlay-by-Play'!$R:$R,"*壘安")+R6</f>
        <v>0</v>
      </c>
      <c r="R6" s="29">
        <f>COUNTIFS('HomeAttackPlay-by-Play'!$E:$E,B6,'HomeAttackPlay-by-Play'!$R:$R,"全壘打")</f>
        <v>0</v>
      </c>
      <c r="S6" s="29">
        <f>COUNTIFS('HomeAttackPlay-by-Play'!$E:$E,B6,'HomeAttackPlay-by-Play'!$R:$R,"四壞")</f>
        <v>0</v>
      </c>
      <c r="T6" s="29">
        <f>COUNTIFS('HomeAttackPlay-by-Play'!$E:$E,B6,'HomeAttackPlay-by-Play'!$R:$R,"敬遠")</f>
        <v>0</v>
      </c>
      <c r="U6" s="29">
        <f>COUNTIFS('HomeAttackPlay-by-Play'!$E:$E,B6,'HomeAttackPlay-by-Play'!$R:$R,"觸身球")</f>
        <v>0</v>
      </c>
      <c r="V6" s="29">
        <f>COUNTIFS('HomeAttackPlay-by-Play'!$E:$E,B6,'HomeAttackPlay-by-Play'!$R:$R,"*三振")</f>
        <v>0</v>
      </c>
      <c r="W6" s="29">
        <f>COUNTIFS('HomeAttackPlay-by-Play'!$E:$E,B6,'HomeAttackPlay-by-Play'!$R:$R,"犧牲觸擊")</f>
        <v>0</v>
      </c>
      <c r="X6" s="29">
        <f>COUNTIFS('HomeAttackPlay-by-Play'!$E:$E,B6,'HomeAttackPlay-by-Play'!$R:$R,"高飛犧牲")</f>
        <v>0</v>
      </c>
      <c r="Y6" s="29">
        <f>COUNTIFS('HomeAttackPlay-by-Play'!$E:$E,B6,'HomeAttackPlay-by-Play'!$R:$R,"暴投")</f>
        <v>0</v>
      </c>
      <c r="Z6" s="29">
        <f>COUNTIFS('HomeAttackPlay-by-Play'!$E:$E,B6,'HomeAttackPlay-by-Play'!$R:$R,"投手犯規")</f>
        <v>0</v>
      </c>
      <c r="AA6" s="22">
        <f>SUMIF('HomeAttackPlay-by-Play'!$E:$E,B6,'HomeAttackPlay-by-Play'!$AF:$AF)+SUMIF('HomeAttackPlay-by-Play'!$E:$E,B6,'HomeAttackPlay-by-Play'!$AG:$AG)</f>
        <v>0</v>
      </c>
      <c r="AB6" s="22">
        <f>SUMIF('HomeAttackPlay-by-Play'!$E:$E,B6,'HomeAttackPlay-by-Play'!$AG:$AG)</f>
        <v>0</v>
      </c>
      <c r="AD6" s="32">
        <f>COUNTIFS('HomeAttackPlay-by-Play'!$E:$E,B6,'HomeAttackPlay-by-Play'!$AK:$AK,"1")</f>
        <v>0</v>
      </c>
    </row>
    <row r="7" spans="1:59" s="22" customFormat="1" x14ac:dyDescent="0.3">
      <c r="A7" s="38">
        <f>IF(Roster!K7="","-",Roster!K7)</f>
        <v>64</v>
      </c>
      <c r="B7" s="38" t="str">
        <f>IF(A7="-","-",VLOOKUP(A7,Roster!$K$2:$L$27,2,FALSE))</f>
        <v>兄弟黃恩賜</v>
      </c>
      <c r="C7" s="22" t="str">
        <f>IF(COUNTIF('HomeAttackPlay-by-Play'!$E:$E,GuestPitcherData!B7)&gt;=1,"1","0")</f>
        <v>0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4">
        <f t="shared" si="0"/>
        <v>0</v>
      </c>
      <c r="N7" s="24" t="str">
        <f t="shared" si="2"/>
        <v>∞</v>
      </c>
      <c r="O7" s="29" t="str">
        <f t="shared" si="1"/>
        <v>∞</v>
      </c>
      <c r="P7" s="22">
        <f>COUNTIFS('HomeAttackPlay-by-Play'!$E:$E,B7,'HomeAttackPlay-by-Play'!$AM:$AM,"1")</f>
        <v>0</v>
      </c>
      <c r="Q7" s="22">
        <f>COUNTIFS('HomeAttackPlay-by-Play'!$E:$E,B7,'HomeAttackPlay-by-Play'!$R:$R,"*壘安")+R7</f>
        <v>0</v>
      </c>
      <c r="R7" s="22">
        <f>COUNTIFS('HomeAttackPlay-by-Play'!$E:$E,B7,'HomeAttackPlay-by-Play'!$R:$R,"全壘打")</f>
        <v>0</v>
      </c>
      <c r="S7" s="22">
        <f>COUNTIFS('HomeAttackPlay-by-Play'!$E:$E,B7,'HomeAttackPlay-by-Play'!$R:$R,"四壞")</f>
        <v>0</v>
      </c>
      <c r="T7" s="22">
        <f>COUNTIFS('HomeAttackPlay-by-Play'!$E:$E,B7,'HomeAttackPlay-by-Play'!$R:$R,"敬遠")</f>
        <v>0</v>
      </c>
      <c r="U7" s="22">
        <f>COUNTIFS('HomeAttackPlay-by-Play'!$E:$E,B7,'HomeAttackPlay-by-Play'!$R:$R,"觸身球")</f>
        <v>0</v>
      </c>
      <c r="V7" s="22">
        <f>COUNTIFS('HomeAttackPlay-by-Play'!$E:$E,B7,'HomeAttackPlay-by-Play'!$R:$R,"*三振")</f>
        <v>0</v>
      </c>
      <c r="W7" s="22">
        <f>COUNTIFS('HomeAttackPlay-by-Play'!$E:$E,B7,'HomeAttackPlay-by-Play'!$R:$R,"犧牲觸擊")</f>
        <v>0</v>
      </c>
      <c r="X7" s="22">
        <f>COUNTIFS('HomeAttackPlay-by-Play'!$E:$E,B7,'HomeAttackPlay-by-Play'!$R:$R,"高飛犧牲")</f>
        <v>0</v>
      </c>
      <c r="Y7" s="22">
        <f>COUNTIFS('HomeAttackPlay-by-Play'!$E:$E,B7,'HomeAttackPlay-by-Play'!$R:$R,"暴投")</f>
        <v>0</v>
      </c>
      <c r="Z7" s="22">
        <f>COUNTIFS('HomeAttackPlay-by-Play'!$E:$E,B7,'HomeAttackPlay-by-Play'!$R:$R,"投手犯規")</f>
        <v>0</v>
      </c>
      <c r="AA7" s="22">
        <f>SUMIF('HomeAttackPlay-by-Play'!$E:$E,B7,'HomeAttackPlay-by-Play'!$AF:$AF)+SUMIF('HomeAttackPlay-by-Play'!$E:$E,B7,'HomeAttackPlay-by-Play'!$AG:$AG)</f>
        <v>0</v>
      </c>
      <c r="AB7" s="22">
        <f>SUMIF('HomeAttackPlay-by-Play'!$E:$E,B7,'HomeAttackPlay-by-Play'!$AG:$AG)</f>
        <v>0</v>
      </c>
      <c r="AD7" s="32">
        <f>COUNTIFS('HomeAttackPlay-by-Play'!$E:$E,B7,'HomeAttackPlay-by-Play'!$AK:$AK,"1")</f>
        <v>0</v>
      </c>
    </row>
    <row r="8" spans="1:59" s="29" customFormat="1" x14ac:dyDescent="0.3">
      <c r="A8" s="38">
        <f>IF(Roster!K8="","-",Roster!K8)</f>
        <v>79</v>
      </c>
      <c r="B8" s="38" t="str">
        <f>IF(A8="-","-",VLOOKUP(A8,Roster!$K$2:$L$27,2,FALSE))</f>
        <v>兄弟謝榮豪</v>
      </c>
      <c r="C8" s="29" t="str">
        <f>IF(COUNTIF('HomeAttackPlay-by-Play'!$E:$E,GuestPitcherData!B8)&gt;=1,"1","0")</f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24">
        <f t="shared" si="0"/>
        <v>0</v>
      </c>
      <c r="N8" s="24" t="str">
        <f t="shared" si="2"/>
        <v>∞</v>
      </c>
      <c r="O8" s="29" t="str">
        <f>IF(M8=0,"∞",((Q8+S8+T8)/(INT(M8)+ MOD(M8 * 10,10)/ 3)))</f>
        <v>∞</v>
      </c>
      <c r="P8" s="22">
        <f>COUNTIFS('HomeAttackPlay-by-Play'!$E:$E,B8,'HomeAttackPlay-by-Play'!$AM:$AM,"1")</f>
        <v>0</v>
      </c>
      <c r="Q8" s="29">
        <f>COUNTIFS('HomeAttackPlay-by-Play'!$E:$E,B8,'HomeAttackPlay-by-Play'!$R:$R,"*壘安")+R8</f>
        <v>0</v>
      </c>
      <c r="R8" s="29">
        <f>COUNTIFS('HomeAttackPlay-by-Play'!$E:$E,B8,'HomeAttackPlay-by-Play'!$R:$R,"全壘打")</f>
        <v>0</v>
      </c>
      <c r="S8" s="29">
        <f>COUNTIFS('HomeAttackPlay-by-Play'!$E:$E,B8,'HomeAttackPlay-by-Play'!$R:$R,"四壞")</f>
        <v>0</v>
      </c>
      <c r="T8" s="29">
        <f>COUNTIFS('HomeAttackPlay-by-Play'!$E:$E,B8,'HomeAttackPlay-by-Play'!$R:$R,"敬遠")</f>
        <v>0</v>
      </c>
      <c r="U8" s="29">
        <f>COUNTIFS('HomeAttackPlay-by-Play'!$E:$E,B8,'HomeAttackPlay-by-Play'!$R:$R,"觸身球")</f>
        <v>0</v>
      </c>
      <c r="V8" s="29">
        <f>COUNTIFS('HomeAttackPlay-by-Play'!$E:$E,B8,'HomeAttackPlay-by-Play'!$R:$R,"*三振")</f>
        <v>0</v>
      </c>
      <c r="W8" s="29">
        <f>COUNTIFS('HomeAttackPlay-by-Play'!$E:$E,B8,'HomeAttackPlay-by-Play'!$R:$R,"犧牲觸擊")</f>
        <v>0</v>
      </c>
      <c r="X8" s="29">
        <f>COUNTIFS('HomeAttackPlay-by-Play'!$E:$E,B8,'HomeAttackPlay-by-Play'!$R:$R,"高飛犧牲")</f>
        <v>0</v>
      </c>
      <c r="Y8" s="29">
        <f>COUNTIFS('HomeAttackPlay-by-Play'!$E:$E,B8,'HomeAttackPlay-by-Play'!$R:$R,"暴投")</f>
        <v>0</v>
      </c>
      <c r="Z8" s="29">
        <f>COUNTIFS('HomeAttackPlay-by-Play'!$E:$E,B8,'HomeAttackPlay-by-Play'!$R:$R,"投手犯規")</f>
        <v>0</v>
      </c>
      <c r="AA8" s="22">
        <f>SUMIF('HomeAttackPlay-by-Play'!$E:$E,B8,'HomeAttackPlay-by-Play'!$AF:$AF)+SUMIF('HomeAttackPlay-by-Play'!$E:$E,B8,'HomeAttackPlay-by-Play'!$AG:$AG)</f>
        <v>0</v>
      </c>
      <c r="AB8" s="22">
        <f>SUMIF('HomeAttackPlay-by-Play'!$E:$E,B8,'HomeAttackPlay-by-Play'!$AG:$AG)</f>
        <v>0</v>
      </c>
      <c r="AD8" s="32">
        <f>COUNTIFS('HomeAttackPlay-by-Play'!$E:$E,B8,'HomeAttackPlay-by-Play'!$AK:$AK,"1")</f>
        <v>0</v>
      </c>
    </row>
    <row r="9" spans="1:59" s="22" customFormat="1" x14ac:dyDescent="0.3">
      <c r="A9" s="38">
        <f>IF(Roster!K9="","-",Roster!K9)</f>
        <v>94</v>
      </c>
      <c r="B9" s="38" t="str">
        <f>IF(A9="-","-",VLOOKUP(A9,Roster!$K$2:$L$27,2,FALSE))</f>
        <v>兄弟吳俊偉</v>
      </c>
      <c r="C9" s="22" t="str">
        <f>IF(COUNTIF('HomeAttackPlay-by-Play'!$E:$E,GuestPitcherData!B9)&gt;=1,"1","0")</f>
        <v>0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4">
        <f t="shared" si="0"/>
        <v>0</v>
      </c>
      <c r="N9" s="24" t="str">
        <f t="shared" si="2"/>
        <v>∞</v>
      </c>
      <c r="O9" s="29" t="str">
        <f t="shared" si="1"/>
        <v>∞</v>
      </c>
      <c r="P9" s="22">
        <f>COUNTIFS('HomeAttackPlay-by-Play'!$E:$E,B9,'HomeAttackPlay-by-Play'!$AM:$AM,"1")</f>
        <v>0</v>
      </c>
      <c r="Q9" s="22">
        <f>COUNTIFS('HomeAttackPlay-by-Play'!$E:$E,B9,'HomeAttackPlay-by-Play'!$R:$R,"*壘安")+R9</f>
        <v>0</v>
      </c>
      <c r="R9" s="22">
        <f>COUNTIFS('HomeAttackPlay-by-Play'!$E:$E,B9,'HomeAttackPlay-by-Play'!$R:$R,"全壘打")</f>
        <v>0</v>
      </c>
      <c r="S9" s="22">
        <f>COUNTIFS('HomeAttackPlay-by-Play'!$E:$E,B9,'HomeAttackPlay-by-Play'!$R:$R,"四壞")</f>
        <v>0</v>
      </c>
      <c r="T9" s="22">
        <f>COUNTIFS('HomeAttackPlay-by-Play'!$E:$E,B9,'HomeAttackPlay-by-Play'!$R:$R,"敬遠")</f>
        <v>0</v>
      </c>
      <c r="U9" s="22">
        <f>COUNTIFS('HomeAttackPlay-by-Play'!$E:$E,B9,'HomeAttackPlay-by-Play'!$R:$R,"觸身球")</f>
        <v>0</v>
      </c>
      <c r="V9" s="22">
        <f>COUNTIFS('HomeAttackPlay-by-Play'!$E:$E,B9,'HomeAttackPlay-by-Play'!$R:$R,"*三振")</f>
        <v>0</v>
      </c>
      <c r="W9" s="22">
        <f>COUNTIFS('HomeAttackPlay-by-Play'!$E:$E,B9,'HomeAttackPlay-by-Play'!$R:$R,"犧牲觸擊")</f>
        <v>0</v>
      </c>
      <c r="X9" s="22">
        <f>COUNTIFS('HomeAttackPlay-by-Play'!$E:$E,B9,'HomeAttackPlay-by-Play'!$R:$R,"高飛犧牲")</f>
        <v>0</v>
      </c>
      <c r="Y9" s="22">
        <f>COUNTIFS('HomeAttackPlay-by-Play'!$E:$E,B9,'HomeAttackPlay-by-Play'!$R:$R,"暴投")</f>
        <v>0</v>
      </c>
      <c r="Z9" s="22">
        <f>COUNTIFS('HomeAttackPlay-by-Play'!$E:$E,B9,'HomeAttackPlay-by-Play'!$R:$R,"投手犯規")</f>
        <v>0</v>
      </c>
      <c r="AA9" s="22">
        <f>SUMIF('HomeAttackPlay-by-Play'!$E:$E,B9,'HomeAttackPlay-by-Play'!$AF:$AF)+SUMIF('HomeAttackPlay-by-Play'!$E:$E,B9,'HomeAttackPlay-by-Play'!$AG:$AG)</f>
        <v>0</v>
      </c>
      <c r="AB9" s="22">
        <f>SUMIF('HomeAttackPlay-by-Play'!$E:$E,B9,'HomeAttackPlay-by-Play'!$AG:$AG)</f>
        <v>0</v>
      </c>
      <c r="AD9" s="32">
        <f>COUNTIFS('HomeAttackPlay-by-Play'!$E:$E,B9,'HomeAttackPlay-by-Play'!$AK:$AK,"1")</f>
        <v>0</v>
      </c>
    </row>
    <row r="10" spans="1:59" s="29" customFormat="1" x14ac:dyDescent="0.3">
      <c r="A10" s="38">
        <f>IF(Roster!K10="","-",Roster!K10)</f>
        <v>55</v>
      </c>
      <c r="B10" s="38" t="str">
        <f>IF(A10="-","-",VLOOKUP(A10,Roster!$K$2:$L$27,2,FALSE))</f>
        <v>兄弟加百利</v>
      </c>
      <c r="C10" s="29" t="str">
        <f>IF(COUNTIF('HomeAttackPlay-by-Play'!$E:$E,GuestPitcherData!B10)&gt;=1,"1","0")</f>
        <v>1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24">
        <f t="shared" si="0"/>
        <v>3.1</v>
      </c>
      <c r="N10" s="24">
        <f t="shared" si="2"/>
        <v>0</v>
      </c>
      <c r="O10" s="29">
        <f t="shared" si="1"/>
        <v>2.6999999999999997</v>
      </c>
      <c r="P10" s="22">
        <f>COUNTIFS('HomeAttackPlay-by-Play'!$E:$E,B10,'HomeAttackPlay-by-Play'!$AM:$AM,"1")</f>
        <v>19</v>
      </c>
      <c r="Q10" s="29">
        <f>COUNTIFS('HomeAttackPlay-by-Play'!$E:$E,B10,'HomeAttackPlay-by-Play'!$R:$R,"*壘安")+R10</f>
        <v>9</v>
      </c>
      <c r="R10" s="29">
        <f>COUNTIFS('HomeAttackPlay-by-Play'!$E:$E,B10,'HomeAttackPlay-by-Play'!$R:$R,"全壘打")</f>
        <v>0</v>
      </c>
      <c r="S10" s="29">
        <f>COUNTIFS('HomeAttackPlay-by-Play'!$E:$E,B10,'HomeAttackPlay-by-Play'!$R:$R,"四壞")</f>
        <v>0</v>
      </c>
      <c r="T10" s="29">
        <f>COUNTIFS('HomeAttackPlay-by-Play'!$E:$E,B10,'HomeAttackPlay-by-Play'!$R:$R,"敬遠")</f>
        <v>0</v>
      </c>
      <c r="U10" s="29">
        <f>COUNTIFS('HomeAttackPlay-by-Play'!$E:$E,B10,'HomeAttackPlay-by-Play'!$R:$R,"觸身球")</f>
        <v>0</v>
      </c>
      <c r="V10" s="29">
        <f>COUNTIFS('HomeAttackPlay-by-Play'!$E:$E,B10,'HomeAttackPlay-by-Play'!$R:$R,"*三振")</f>
        <v>3</v>
      </c>
      <c r="W10" s="29">
        <f>COUNTIFS('HomeAttackPlay-by-Play'!$E:$E,B10,'HomeAttackPlay-by-Play'!$R:$R,"犧牲觸擊")</f>
        <v>0</v>
      </c>
      <c r="X10" s="29">
        <f>COUNTIFS('HomeAttackPlay-by-Play'!$E:$E,B10,'HomeAttackPlay-by-Play'!$R:$R,"高飛犧牲")</f>
        <v>1</v>
      </c>
      <c r="Y10" s="29">
        <f>COUNTIFS('HomeAttackPlay-by-Play'!$E:$E,B10,'HomeAttackPlay-by-Play'!$R:$R,"暴投")</f>
        <v>1</v>
      </c>
      <c r="Z10" s="29">
        <f>COUNTIFS('HomeAttackPlay-by-Play'!$E:$E,B10,'HomeAttackPlay-by-Play'!$R:$R,"投手犯規")</f>
        <v>0</v>
      </c>
      <c r="AA10" s="22">
        <f>SUMIF('HomeAttackPlay-by-Play'!$E:$E,B10,'HomeAttackPlay-by-Play'!$AF:$AF)+SUMIF('HomeAttackPlay-by-Play'!$E:$E,B10,'HomeAttackPlay-by-Play'!$AG:$AG)</f>
        <v>0</v>
      </c>
      <c r="AB10" s="22">
        <f>SUMIF('HomeAttackPlay-by-Play'!$E:$E,B10,'HomeAttackPlay-by-Play'!$AG:$AG)</f>
        <v>0</v>
      </c>
      <c r="AD10" s="32">
        <f>COUNTIFS('HomeAttackPlay-by-Play'!$E:$E,B10,'HomeAttackPlay-by-Play'!$AK:$AK,"1")</f>
        <v>10</v>
      </c>
    </row>
    <row r="11" spans="1:59" s="22" customFormat="1" x14ac:dyDescent="0.3">
      <c r="A11" s="38">
        <f>IF(Roster!K11="","-",Roster!K11)</f>
        <v>35</v>
      </c>
      <c r="B11" s="38" t="str">
        <f>IF(A11="-","-",VLOOKUP(A11,Roster!$K$2:$L$27,2,FALSE))</f>
        <v>兄弟羅傑斯</v>
      </c>
      <c r="C11" s="22" t="str">
        <f>IF(COUNTIF('HomeAttackPlay-by-Play'!$E:$E,GuestPitcherData!B11)&gt;=1,"1","0")</f>
        <v>0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27">
        <v>0</v>
      </c>
      <c r="M11" s="22">
        <f>INT(AD11/3)+MOD(AD11,3)/10</f>
        <v>0</v>
      </c>
      <c r="N11" s="24" t="str">
        <f t="shared" si="2"/>
        <v>∞</v>
      </c>
      <c r="O11" s="29" t="str">
        <f t="shared" si="1"/>
        <v>∞</v>
      </c>
      <c r="P11" s="22">
        <f>COUNTIFS('HomeAttackPlay-by-Play'!$E:$E,B11,'HomeAttackPlay-by-Play'!$AM:$AM,"1")</f>
        <v>0</v>
      </c>
      <c r="Q11" s="22">
        <f>COUNTIFS('HomeAttackPlay-by-Play'!$E:$E,B11,'HomeAttackPlay-by-Play'!$R:$R,"*壘安")+R11</f>
        <v>0</v>
      </c>
      <c r="R11" s="22">
        <f>COUNTIFS('HomeAttackPlay-by-Play'!$E:$E,B11,'HomeAttackPlay-by-Play'!$R:$R,"全壘打")</f>
        <v>0</v>
      </c>
      <c r="S11" s="22">
        <f>COUNTIFS('HomeAttackPlay-by-Play'!$E:$E,B11,'HomeAttackPlay-by-Play'!$R:$R,"四壞")</f>
        <v>0</v>
      </c>
      <c r="T11" s="22">
        <f>COUNTIFS('HomeAttackPlay-by-Play'!$E:$E,B11,'HomeAttackPlay-by-Play'!$R:$R,"敬遠")</f>
        <v>0</v>
      </c>
      <c r="U11" s="22">
        <f>COUNTIFS('HomeAttackPlay-by-Play'!$E:$E,B11,'HomeAttackPlay-by-Play'!$R:$R,"觸身球")</f>
        <v>0</v>
      </c>
      <c r="V11" s="22">
        <f>COUNTIFS('HomeAttackPlay-by-Play'!$E:$E,B11,'HomeAttackPlay-by-Play'!$R:$R,"*三振")</f>
        <v>0</v>
      </c>
      <c r="W11" s="22">
        <f>COUNTIFS('HomeAttackPlay-by-Play'!$E:$E,B11,'HomeAttackPlay-by-Play'!$R:$R,"犧牲觸擊")</f>
        <v>0</v>
      </c>
      <c r="X11" s="22">
        <f>COUNTIFS('HomeAttackPlay-by-Play'!$E:$E,B11,'HomeAttackPlay-by-Play'!$R:$R,"高飛犧牲")</f>
        <v>0</v>
      </c>
      <c r="Y11" s="22">
        <f>COUNTIFS('HomeAttackPlay-by-Play'!$E:$E,B11,'HomeAttackPlay-by-Play'!$R:$R,"暴投")</f>
        <v>0</v>
      </c>
      <c r="Z11" s="22">
        <f>COUNTIFS('HomeAttackPlay-by-Play'!$E:$E,B11,'HomeAttackPlay-by-Play'!$R:$R,"投手犯規")</f>
        <v>0</v>
      </c>
      <c r="AA11" s="22">
        <f>SUMIF('HomeAttackPlay-by-Play'!$E:$E,B11,'HomeAttackPlay-by-Play'!$AF:$AF)+SUMIF('HomeAttackPlay-by-Play'!$E:$E,B11,'HomeAttackPlay-by-Play'!$AG:$AG)</f>
        <v>0</v>
      </c>
      <c r="AB11" s="22">
        <f>SUMIF('HomeAttackPlay-by-Play'!$E:$E,B11,'HomeAttackPlay-by-Play'!$AG:$AG)</f>
        <v>0</v>
      </c>
      <c r="AD11" s="32">
        <f>COUNTIFS('HomeAttackPlay-by-Play'!$E:$E,B11,'HomeAttackPlay-by-Play'!$AK:$AK,"1")</f>
        <v>0</v>
      </c>
    </row>
    <row r="12" spans="1:59" s="29" customFormat="1" x14ac:dyDescent="0.3">
      <c r="A12" s="38">
        <f>IF(Roster!K12="","-",Roster!K12)</f>
        <v>1</v>
      </c>
      <c r="B12" s="38" t="str">
        <f>IF(A12="-","-",VLOOKUP(A12,Roster!$K$2:$L$27,2,FALSE))</f>
        <v>兄弟陳子豪</v>
      </c>
      <c r="C12" s="29" t="str">
        <f>IF(COUNTIF('HomeAttackPlay-by-Play'!$E:$E,GuestPitcherData!B12)&gt;=1,"1","0")</f>
        <v>0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24">
        <f t="shared" ref="M12:M27" si="3">INT(AD12/3)+MOD(AD12,3)/10</f>
        <v>0</v>
      </c>
      <c r="N12" s="24" t="str">
        <f t="shared" si="2"/>
        <v>∞</v>
      </c>
      <c r="O12" s="29" t="str">
        <f t="shared" si="1"/>
        <v>∞</v>
      </c>
      <c r="P12" s="22">
        <f>COUNTIFS('HomeAttackPlay-by-Play'!$E:$E,B12,'HomeAttackPlay-by-Play'!$AM:$AM,"1")</f>
        <v>0</v>
      </c>
      <c r="Q12" s="29">
        <f>COUNTIFS('HomeAttackPlay-by-Play'!$E:$E,B12,'HomeAttackPlay-by-Play'!$R:$R,"*壘安")+R12</f>
        <v>0</v>
      </c>
      <c r="R12" s="29">
        <f>COUNTIFS('HomeAttackPlay-by-Play'!$E:$E,B12,'HomeAttackPlay-by-Play'!$R:$R,"全壘打")</f>
        <v>0</v>
      </c>
      <c r="S12" s="29">
        <f>COUNTIFS('HomeAttackPlay-by-Play'!$E:$E,B12,'HomeAttackPlay-by-Play'!$R:$R,"四壞")</f>
        <v>0</v>
      </c>
      <c r="T12" s="29">
        <f>COUNTIFS('HomeAttackPlay-by-Play'!$E:$E,B12,'HomeAttackPlay-by-Play'!$R:$R,"敬遠")</f>
        <v>0</v>
      </c>
      <c r="U12" s="29">
        <f>COUNTIFS('HomeAttackPlay-by-Play'!$E:$E,B12,'HomeAttackPlay-by-Play'!$R:$R,"觸身球")</f>
        <v>0</v>
      </c>
      <c r="V12" s="29">
        <f>COUNTIFS('HomeAttackPlay-by-Play'!$E:$E,B12,'HomeAttackPlay-by-Play'!$R:$R,"*三振")</f>
        <v>0</v>
      </c>
      <c r="W12" s="29">
        <f>COUNTIFS('HomeAttackPlay-by-Play'!$E:$E,B12,'HomeAttackPlay-by-Play'!$R:$R,"犧牲觸擊")</f>
        <v>0</v>
      </c>
      <c r="X12" s="29">
        <f>COUNTIFS('HomeAttackPlay-by-Play'!$E:$E,B12,'HomeAttackPlay-by-Play'!$R:$R,"高飛犧牲")</f>
        <v>0</v>
      </c>
      <c r="Y12" s="29">
        <f>COUNTIFS('HomeAttackPlay-by-Play'!$E:$E,B12,'HomeAttackPlay-by-Play'!$R:$R,"暴投")</f>
        <v>0</v>
      </c>
      <c r="Z12" s="29">
        <f>COUNTIFS('HomeAttackPlay-by-Play'!$E:$E,B12,'HomeAttackPlay-by-Play'!$R:$R,"投手犯規")</f>
        <v>0</v>
      </c>
      <c r="AA12" s="22">
        <f>SUMIF('HomeAttackPlay-by-Play'!$E:$E,B12,'HomeAttackPlay-by-Play'!$AF:$AF)+SUMIF('HomeAttackPlay-by-Play'!$E:$E,B12,'HomeAttackPlay-by-Play'!$AG:$AG)</f>
        <v>0</v>
      </c>
      <c r="AB12" s="22">
        <f>SUMIF('HomeAttackPlay-by-Play'!$E:$E,B12,'HomeAttackPlay-by-Play'!$AG:$AG)</f>
        <v>0</v>
      </c>
      <c r="AD12" s="32">
        <f>COUNTIFS('HomeAttackPlay-by-Play'!$E:$E,B12,'HomeAttackPlay-by-Play'!$AK:$AK,"1")</f>
        <v>0</v>
      </c>
    </row>
    <row r="13" spans="1:59" s="22" customFormat="1" x14ac:dyDescent="0.3">
      <c r="A13" s="38">
        <f>IF(Roster!K13="","-",Roster!K13)</f>
        <v>4</v>
      </c>
      <c r="B13" s="38" t="str">
        <f>IF(A13="-","-",VLOOKUP(A13,Roster!$K$2:$L$27,2,FALSE))</f>
        <v>兄弟陳文杰</v>
      </c>
      <c r="C13" s="22" t="str">
        <f>IF(COUNTIF('HomeAttackPlay-by-Play'!$E:$E,GuestPitcherData!B13)&gt;=1,"1","0")</f>
        <v>0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4">
        <f t="shared" si="3"/>
        <v>0</v>
      </c>
      <c r="N13" s="24" t="str">
        <f t="shared" si="2"/>
        <v>∞</v>
      </c>
      <c r="O13" s="29" t="str">
        <f t="shared" si="1"/>
        <v>∞</v>
      </c>
      <c r="P13" s="22">
        <f>COUNTIFS('HomeAttackPlay-by-Play'!$E:$E,B13,'HomeAttackPlay-by-Play'!$AM:$AM,"1")</f>
        <v>0</v>
      </c>
      <c r="Q13" s="22">
        <f>COUNTIFS('HomeAttackPlay-by-Play'!$E:$E,B13,'HomeAttackPlay-by-Play'!$R:$R,"*壘安")+R13</f>
        <v>0</v>
      </c>
      <c r="R13" s="22">
        <f>COUNTIFS('HomeAttackPlay-by-Play'!$E:$E,B13,'HomeAttackPlay-by-Play'!$R:$R,"全壘打")</f>
        <v>0</v>
      </c>
      <c r="S13" s="22">
        <f>COUNTIFS('HomeAttackPlay-by-Play'!$E:$E,B13,'HomeAttackPlay-by-Play'!$R:$R,"四壞")</f>
        <v>0</v>
      </c>
      <c r="T13" s="22">
        <f>COUNTIFS('HomeAttackPlay-by-Play'!$E:$E,B13,'HomeAttackPlay-by-Play'!$R:$R,"敬遠")</f>
        <v>0</v>
      </c>
      <c r="U13" s="22">
        <f>COUNTIFS('HomeAttackPlay-by-Play'!$E:$E,B13,'HomeAttackPlay-by-Play'!$R:$R,"觸身球")</f>
        <v>0</v>
      </c>
      <c r="V13" s="22">
        <f>COUNTIFS('HomeAttackPlay-by-Play'!$E:$E,B13,'HomeAttackPlay-by-Play'!$R:$R,"*三振")</f>
        <v>0</v>
      </c>
      <c r="W13" s="22">
        <f>COUNTIFS('HomeAttackPlay-by-Play'!$E:$E,B13,'HomeAttackPlay-by-Play'!$R:$R,"犧牲觸擊")</f>
        <v>0</v>
      </c>
      <c r="X13" s="22">
        <f>COUNTIFS('HomeAttackPlay-by-Play'!$E:$E,B13,'HomeAttackPlay-by-Play'!$R:$R,"高飛犧牲")</f>
        <v>0</v>
      </c>
      <c r="Y13" s="22">
        <f>COUNTIFS('HomeAttackPlay-by-Play'!$E:$E,B13,'HomeAttackPlay-by-Play'!$R:$R,"暴投")</f>
        <v>0</v>
      </c>
      <c r="Z13" s="22">
        <f>COUNTIFS('HomeAttackPlay-by-Play'!$E:$E,B13,'HomeAttackPlay-by-Play'!$R:$R,"投手犯規")</f>
        <v>0</v>
      </c>
      <c r="AA13" s="22">
        <f>SUMIF('HomeAttackPlay-by-Play'!$E:$E,B13,'HomeAttackPlay-by-Play'!$AF:$AF)+SUMIF('HomeAttackPlay-by-Play'!$E:$E,B13,'HomeAttackPlay-by-Play'!$AG:$AG)</f>
        <v>0</v>
      </c>
      <c r="AB13" s="22">
        <f>SUMIF('HomeAttackPlay-by-Play'!$E:$E,B13,'HomeAttackPlay-by-Play'!$AG:$AG)</f>
        <v>0</v>
      </c>
      <c r="AD13" s="32">
        <f>COUNTIFS('HomeAttackPlay-by-Play'!$E:$E,B13,'HomeAttackPlay-by-Play'!$AK:$AK,"1")</f>
        <v>0</v>
      </c>
    </row>
    <row r="14" spans="1:59" s="29" customFormat="1" x14ac:dyDescent="0.3">
      <c r="A14" s="38">
        <f>IF(Roster!K14="","-",Roster!K14)</f>
        <v>9</v>
      </c>
      <c r="B14" s="38" t="str">
        <f>IF(A14="-","-",VLOOKUP(A14,Roster!$K$2:$L$27,2,FALSE))</f>
        <v>兄弟王威晨</v>
      </c>
      <c r="C14" s="29" t="str">
        <f>IF(COUNTIF('HomeAttackPlay-by-Play'!$E:$E,GuestPitcherData!B14)&gt;=1,"1","0")</f>
        <v>0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24">
        <f t="shared" si="3"/>
        <v>0</v>
      </c>
      <c r="N14" s="24" t="str">
        <f t="shared" si="2"/>
        <v>∞</v>
      </c>
      <c r="O14" s="29" t="str">
        <f t="shared" si="1"/>
        <v>∞</v>
      </c>
      <c r="P14" s="22">
        <f>COUNTIFS('HomeAttackPlay-by-Play'!$E:$E,B14,'HomeAttackPlay-by-Play'!$AM:$AM,"1")</f>
        <v>0</v>
      </c>
      <c r="Q14" s="29">
        <f>COUNTIFS('HomeAttackPlay-by-Play'!$E:$E,B14,'HomeAttackPlay-by-Play'!$R:$R,"*壘安")+R14</f>
        <v>0</v>
      </c>
      <c r="R14" s="29">
        <f>COUNTIFS('HomeAttackPlay-by-Play'!$E:$E,B14,'HomeAttackPlay-by-Play'!$R:$R,"全壘打")</f>
        <v>0</v>
      </c>
      <c r="S14" s="29">
        <f>COUNTIFS('HomeAttackPlay-by-Play'!$E:$E,B14,'HomeAttackPlay-by-Play'!$R:$R,"四壞")</f>
        <v>0</v>
      </c>
      <c r="T14" s="29">
        <f>COUNTIFS('HomeAttackPlay-by-Play'!$E:$E,B14,'HomeAttackPlay-by-Play'!$R:$R,"敬遠")</f>
        <v>0</v>
      </c>
      <c r="U14" s="29">
        <f>COUNTIFS('HomeAttackPlay-by-Play'!$E:$E,B14,'HomeAttackPlay-by-Play'!$R:$R,"觸身球")</f>
        <v>0</v>
      </c>
      <c r="V14" s="29">
        <f>COUNTIFS('HomeAttackPlay-by-Play'!$E:$E,B14,'HomeAttackPlay-by-Play'!$R:$R,"*三振")</f>
        <v>0</v>
      </c>
      <c r="W14" s="29">
        <f>COUNTIFS('HomeAttackPlay-by-Play'!$E:$E,B14,'HomeAttackPlay-by-Play'!$R:$R,"犧牲觸擊")</f>
        <v>0</v>
      </c>
      <c r="X14" s="29">
        <f>COUNTIFS('HomeAttackPlay-by-Play'!$E:$E,B14,'HomeAttackPlay-by-Play'!$R:$R,"高飛犧牲")</f>
        <v>0</v>
      </c>
      <c r="Y14" s="29">
        <f>COUNTIFS('HomeAttackPlay-by-Play'!$E:$E,B14,'HomeAttackPlay-by-Play'!$R:$R,"暴投")</f>
        <v>0</v>
      </c>
      <c r="Z14" s="29">
        <f>COUNTIFS('HomeAttackPlay-by-Play'!$E:$E,B14,'HomeAttackPlay-by-Play'!$R:$R,"投手犯規")</f>
        <v>0</v>
      </c>
      <c r="AA14" s="22">
        <f>SUMIF('HomeAttackPlay-by-Play'!$E:$E,B14,'HomeAttackPlay-by-Play'!$AF:$AF)+SUMIF('HomeAttackPlay-by-Play'!$E:$E,B14,'HomeAttackPlay-by-Play'!$AG:$AG)</f>
        <v>0</v>
      </c>
      <c r="AB14" s="22">
        <f>SUMIF('HomeAttackPlay-by-Play'!$E:$E,B14,'HomeAttackPlay-by-Play'!$AG:$AG)</f>
        <v>0</v>
      </c>
      <c r="AD14" s="32">
        <f>COUNTIFS('HomeAttackPlay-by-Play'!$E:$E,B14,'HomeAttackPlay-by-Play'!$AK:$AK,"1")</f>
        <v>0</v>
      </c>
    </row>
    <row r="15" spans="1:59" s="22" customFormat="1" x14ac:dyDescent="0.3">
      <c r="A15" s="38">
        <f>IF(Roster!K15="","-",Roster!K15)</f>
        <v>12</v>
      </c>
      <c r="B15" s="38" t="str">
        <f>IF(A15="-","-",VLOOKUP(A15,Roster!$K$2:$L$27,2,FALSE))</f>
        <v>兄弟林明杰</v>
      </c>
      <c r="C15" s="22" t="str">
        <f>IF(COUNTIF('HomeAttackPlay-by-Play'!$E:$E,GuestPitcherData!B15)&gt;=1,"1","0")</f>
        <v>0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4">
        <f t="shared" si="3"/>
        <v>0</v>
      </c>
      <c r="N15" s="24" t="str">
        <f t="shared" si="2"/>
        <v>∞</v>
      </c>
      <c r="O15" s="29" t="str">
        <f t="shared" si="1"/>
        <v>∞</v>
      </c>
      <c r="P15" s="22">
        <f>COUNTIFS('HomeAttackPlay-by-Play'!$E:$E,B15,'HomeAttackPlay-by-Play'!$AM:$AM,"1")</f>
        <v>0</v>
      </c>
      <c r="Q15" s="22">
        <f>COUNTIFS('HomeAttackPlay-by-Play'!$E:$E,B15,'HomeAttackPlay-by-Play'!$R:$R,"*壘安")+R15</f>
        <v>0</v>
      </c>
      <c r="R15" s="22">
        <f>COUNTIFS('HomeAttackPlay-by-Play'!$E:$E,B15,'HomeAttackPlay-by-Play'!$R:$R,"全壘打")</f>
        <v>0</v>
      </c>
      <c r="S15" s="22">
        <f>COUNTIFS('HomeAttackPlay-by-Play'!$E:$E,B15,'HomeAttackPlay-by-Play'!$R:$R,"四壞")</f>
        <v>0</v>
      </c>
      <c r="T15" s="22">
        <f>COUNTIFS('HomeAttackPlay-by-Play'!$E:$E,B15,'HomeAttackPlay-by-Play'!$R:$R,"敬遠")</f>
        <v>0</v>
      </c>
      <c r="U15" s="22">
        <f>COUNTIFS('HomeAttackPlay-by-Play'!$E:$E,B15,'HomeAttackPlay-by-Play'!$R:$R,"觸身球")</f>
        <v>0</v>
      </c>
      <c r="V15" s="22">
        <f>COUNTIFS('HomeAttackPlay-by-Play'!$E:$E,B15,'HomeAttackPlay-by-Play'!$R:$R,"*三振")</f>
        <v>0</v>
      </c>
      <c r="W15" s="22">
        <f>COUNTIFS('HomeAttackPlay-by-Play'!$E:$E,B15,'HomeAttackPlay-by-Play'!$R:$R,"犧牲觸擊")</f>
        <v>0</v>
      </c>
      <c r="X15" s="22">
        <f>COUNTIFS('HomeAttackPlay-by-Play'!$E:$E,B15,'HomeAttackPlay-by-Play'!$R:$R,"高飛犧牲")</f>
        <v>0</v>
      </c>
      <c r="Y15" s="22">
        <f>COUNTIFS('HomeAttackPlay-by-Play'!$E:$E,B15,'HomeAttackPlay-by-Play'!$R:$R,"暴投")</f>
        <v>0</v>
      </c>
      <c r="Z15" s="22">
        <f>COUNTIFS('HomeAttackPlay-by-Play'!$E:$E,B15,'HomeAttackPlay-by-Play'!$R:$R,"投手犯規")</f>
        <v>0</v>
      </c>
      <c r="AA15" s="22">
        <f>SUMIF('HomeAttackPlay-by-Play'!$E:$E,B15,'HomeAttackPlay-by-Play'!$AF:$AF)+SUMIF('HomeAttackPlay-by-Play'!$E:$E,B15,'HomeAttackPlay-by-Play'!$AG:$AG)</f>
        <v>0</v>
      </c>
      <c r="AB15" s="22">
        <f>SUMIF('HomeAttackPlay-by-Play'!$E:$E,B15,'HomeAttackPlay-by-Play'!$AG:$AG)</f>
        <v>0</v>
      </c>
      <c r="AD15" s="32">
        <f>COUNTIFS('HomeAttackPlay-by-Play'!$E:$E,B15,'HomeAttackPlay-by-Play'!$AK:$AK,"1")</f>
        <v>0</v>
      </c>
    </row>
    <row r="16" spans="1:59" s="29" customFormat="1" x14ac:dyDescent="0.3">
      <c r="A16" s="38">
        <f>IF(Roster!K16="","-",Roster!K16)</f>
        <v>16</v>
      </c>
      <c r="B16" s="38" t="str">
        <f>IF(A16="-","-",VLOOKUP(A16,Roster!$K$2:$L$27,2,FALSE))</f>
        <v>兄弟周思齊</v>
      </c>
      <c r="C16" s="29" t="str">
        <f>IF(COUNTIF('HomeAttackPlay-by-Play'!$E:$E,GuestPitcherData!B16)&gt;=1,"1","0")</f>
        <v>0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24">
        <f t="shared" si="3"/>
        <v>0</v>
      </c>
      <c r="N16" s="24" t="str">
        <f t="shared" si="2"/>
        <v>∞</v>
      </c>
      <c r="O16" s="29" t="str">
        <f t="shared" si="1"/>
        <v>∞</v>
      </c>
      <c r="P16" s="22">
        <f>COUNTIFS('HomeAttackPlay-by-Play'!$E:$E,B16,'HomeAttackPlay-by-Play'!$AM:$AM,"1")</f>
        <v>0</v>
      </c>
      <c r="Q16" s="29">
        <f>COUNTIFS('HomeAttackPlay-by-Play'!$E:$E,B16,'HomeAttackPlay-by-Play'!$R:$R,"*壘安")+R16</f>
        <v>0</v>
      </c>
      <c r="R16" s="29">
        <f>COUNTIFS('HomeAttackPlay-by-Play'!$E:$E,B16,'HomeAttackPlay-by-Play'!$R:$R,"全壘打")</f>
        <v>0</v>
      </c>
      <c r="S16" s="29">
        <f>COUNTIFS('HomeAttackPlay-by-Play'!$E:$E,B16,'HomeAttackPlay-by-Play'!$R:$R,"四壞")</f>
        <v>0</v>
      </c>
      <c r="T16" s="29">
        <f>COUNTIFS('HomeAttackPlay-by-Play'!$E:$E,B16,'HomeAttackPlay-by-Play'!$R:$R,"敬遠")</f>
        <v>0</v>
      </c>
      <c r="U16" s="29">
        <f>COUNTIFS('HomeAttackPlay-by-Play'!$E:$E,B16,'HomeAttackPlay-by-Play'!$R:$R,"觸身球")</f>
        <v>0</v>
      </c>
      <c r="V16" s="29">
        <f>COUNTIFS('HomeAttackPlay-by-Play'!$E:$E,B16,'HomeAttackPlay-by-Play'!$R:$R,"*三振")</f>
        <v>0</v>
      </c>
      <c r="W16" s="29">
        <f>COUNTIFS('HomeAttackPlay-by-Play'!$E:$E,B16,'HomeAttackPlay-by-Play'!$R:$R,"犧牲觸擊")</f>
        <v>0</v>
      </c>
      <c r="X16" s="29">
        <f>COUNTIFS('HomeAttackPlay-by-Play'!$E:$E,B16,'HomeAttackPlay-by-Play'!$R:$R,"高飛犧牲")</f>
        <v>0</v>
      </c>
      <c r="Y16" s="29">
        <f>COUNTIFS('HomeAttackPlay-by-Play'!$E:$E,B16,'HomeAttackPlay-by-Play'!$R:$R,"暴投")</f>
        <v>0</v>
      </c>
      <c r="Z16" s="29">
        <f>COUNTIFS('HomeAttackPlay-by-Play'!$E:$E,B16,'HomeAttackPlay-by-Play'!$R:$R,"投手犯規")</f>
        <v>0</v>
      </c>
      <c r="AA16" s="22">
        <f>SUMIF('HomeAttackPlay-by-Play'!$E:$E,B16,'HomeAttackPlay-by-Play'!$AF:$AF)+SUMIF('HomeAttackPlay-by-Play'!$E:$E,B16,'HomeAttackPlay-by-Play'!$AG:$AG)</f>
        <v>0</v>
      </c>
      <c r="AB16" s="22">
        <f>SUMIF('HomeAttackPlay-by-Play'!$E:$E,B16,'HomeAttackPlay-by-Play'!$AG:$AG)</f>
        <v>0</v>
      </c>
      <c r="AD16" s="32">
        <f>COUNTIFS('HomeAttackPlay-by-Play'!$E:$E,B16,'HomeAttackPlay-by-Play'!$AK:$AK,"1")</f>
        <v>0</v>
      </c>
    </row>
    <row r="17" spans="1:30" s="22" customFormat="1" x14ac:dyDescent="0.3">
      <c r="A17" s="38">
        <f>IF(Roster!K17="","-",Roster!K17)</f>
        <v>25</v>
      </c>
      <c r="B17" s="38" t="str">
        <f>IF(A17="-","-",VLOOKUP(A17,Roster!$K$2:$L$27,2,FALSE))</f>
        <v>兄弟林智勝</v>
      </c>
      <c r="C17" s="22" t="str">
        <f>IF(COUNTIF('HomeAttackPlay-by-Play'!$E:$E,GuestPitcherData!B17)&gt;=1,"1","0")</f>
        <v>0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4">
        <f t="shared" si="3"/>
        <v>0</v>
      </c>
      <c r="N17" s="24" t="str">
        <f t="shared" si="2"/>
        <v>∞</v>
      </c>
      <c r="O17" s="29" t="str">
        <f t="shared" si="1"/>
        <v>∞</v>
      </c>
      <c r="P17" s="22">
        <f>COUNTIFS('HomeAttackPlay-by-Play'!$E:$E,B17,'HomeAttackPlay-by-Play'!$AM:$AM,"1")</f>
        <v>0</v>
      </c>
      <c r="Q17" s="22">
        <f>COUNTIFS('HomeAttackPlay-by-Play'!$E:$E,B17,'HomeAttackPlay-by-Play'!$R:$R,"*壘安")+R17</f>
        <v>0</v>
      </c>
      <c r="R17" s="22">
        <f>COUNTIFS('HomeAttackPlay-by-Play'!$E:$E,B17,'HomeAttackPlay-by-Play'!$R:$R,"全壘打")</f>
        <v>0</v>
      </c>
      <c r="S17" s="22">
        <f>COUNTIFS('HomeAttackPlay-by-Play'!$E:$E,B17,'HomeAttackPlay-by-Play'!$R:$R,"四壞")</f>
        <v>0</v>
      </c>
      <c r="T17" s="22">
        <f>COUNTIFS('HomeAttackPlay-by-Play'!$E:$E,B17,'HomeAttackPlay-by-Play'!$R:$R,"敬遠")</f>
        <v>0</v>
      </c>
      <c r="U17" s="22">
        <f>COUNTIFS('HomeAttackPlay-by-Play'!$E:$E,B17,'HomeAttackPlay-by-Play'!$R:$R,"觸身球")</f>
        <v>0</v>
      </c>
      <c r="V17" s="22">
        <f>COUNTIFS('HomeAttackPlay-by-Play'!$E:$E,B17,'HomeAttackPlay-by-Play'!$R:$R,"*三振")</f>
        <v>0</v>
      </c>
      <c r="W17" s="22">
        <f>COUNTIFS('HomeAttackPlay-by-Play'!$E:$E,B17,'HomeAttackPlay-by-Play'!$R:$R,"犧牲觸擊")</f>
        <v>0</v>
      </c>
      <c r="X17" s="22">
        <f>COUNTIFS('HomeAttackPlay-by-Play'!$E:$E,B17,'HomeAttackPlay-by-Play'!$R:$R,"高飛犧牲")</f>
        <v>0</v>
      </c>
      <c r="Y17" s="22">
        <f>COUNTIFS('HomeAttackPlay-by-Play'!$E:$E,B17,'HomeAttackPlay-by-Play'!$R:$R,"暴投")</f>
        <v>0</v>
      </c>
      <c r="Z17" s="22">
        <f>COUNTIFS('HomeAttackPlay-by-Play'!$E:$E,B17,'HomeAttackPlay-by-Play'!$R:$R,"投手犯規")</f>
        <v>0</v>
      </c>
      <c r="AA17" s="22">
        <f>SUMIF('HomeAttackPlay-by-Play'!$E:$E,B17,'HomeAttackPlay-by-Play'!$AF:$AF)+SUMIF('HomeAttackPlay-by-Play'!$E:$E,B17,'HomeAttackPlay-by-Play'!$AG:$AG)</f>
        <v>0</v>
      </c>
      <c r="AB17" s="22">
        <f>SUMIF('HomeAttackPlay-by-Play'!$E:$E,B17,'HomeAttackPlay-by-Play'!$AG:$AG)</f>
        <v>0</v>
      </c>
      <c r="AD17" s="32">
        <f>COUNTIFS('HomeAttackPlay-by-Play'!$E:$E,B17,'HomeAttackPlay-by-Play'!$AK:$AK,"1")</f>
        <v>0</v>
      </c>
    </row>
    <row r="18" spans="1:30" s="29" customFormat="1" x14ac:dyDescent="0.3">
      <c r="A18" s="38">
        <f>IF(Roster!K18="","-",Roster!K18)</f>
        <v>32</v>
      </c>
      <c r="B18" s="38" t="str">
        <f>IF(A18="-","-",VLOOKUP(A18,Roster!$K$2:$L$27,2,FALSE))</f>
        <v>兄弟曾頌恩</v>
      </c>
      <c r="C18" s="29" t="str">
        <f>IF(COUNTIF('HomeAttackPlay-by-Play'!$E:$E,GuestPitcherData!B18)&gt;=1,"1","0")</f>
        <v>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24">
        <f t="shared" si="3"/>
        <v>0</v>
      </c>
      <c r="N18" s="24" t="str">
        <f t="shared" si="2"/>
        <v>∞</v>
      </c>
      <c r="O18" s="29" t="str">
        <f t="shared" si="1"/>
        <v>∞</v>
      </c>
      <c r="P18" s="22">
        <f>COUNTIFS('HomeAttackPlay-by-Play'!$E:$E,B18,'HomeAttackPlay-by-Play'!$AM:$AM,"1")</f>
        <v>0</v>
      </c>
      <c r="Q18" s="29">
        <f>COUNTIFS('HomeAttackPlay-by-Play'!$E:$E,B18,'HomeAttackPlay-by-Play'!$R:$R,"*壘安")+R18</f>
        <v>0</v>
      </c>
      <c r="R18" s="29">
        <f>COUNTIFS('HomeAttackPlay-by-Play'!$E:$E,B18,'HomeAttackPlay-by-Play'!$R:$R,"全壘打")</f>
        <v>0</v>
      </c>
      <c r="S18" s="29">
        <f>COUNTIFS('HomeAttackPlay-by-Play'!$E:$E,B18,'HomeAttackPlay-by-Play'!$R:$R,"四壞")</f>
        <v>0</v>
      </c>
      <c r="T18" s="29">
        <f>COUNTIFS('HomeAttackPlay-by-Play'!$E:$E,B18,'HomeAttackPlay-by-Play'!$R:$R,"敬遠")</f>
        <v>0</v>
      </c>
      <c r="U18" s="29">
        <f>COUNTIFS('HomeAttackPlay-by-Play'!$E:$E,B18,'HomeAttackPlay-by-Play'!$R:$R,"觸身球")</f>
        <v>0</v>
      </c>
      <c r="V18" s="29">
        <f>COUNTIFS('HomeAttackPlay-by-Play'!$E:$E,B18,'HomeAttackPlay-by-Play'!$R:$R,"*三振")</f>
        <v>0</v>
      </c>
      <c r="W18" s="29">
        <f>COUNTIFS('HomeAttackPlay-by-Play'!$E:$E,B18,'HomeAttackPlay-by-Play'!$R:$R,"犧牲觸擊")</f>
        <v>0</v>
      </c>
      <c r="X18" s="29">
        <f>COUNTIFS('HomeAttackPlay-by-Play'!$E:$E,B18,'HomeAttackPlay-by-Play'!$R:$R,"高飛犧牲")</f>
        <v>0</v>
      </c>
      <c r="Y18" s="29">
        <f>COUNTIFS('HomeAttackPlay-by-Play'!$E:$E,B18,'HomeAttackPlay-by-Play'!$R:$R,"暴投")</f>
        <v>0</v>
      </c>
      <c r="Z18" s="29">
        <f>COUNTIFS('HomeAttackPlay-by-Play'!$E:$E,B18,'HomeAttackPlay-by-Play'!$R:$R,"投手犯規")</f>
        <v>0</v>
      </c>
      <c r="AA18" s="22">
        <f>SUMIF('HomeAttackPlay-by-Play'!$E:$E,B18,'HomeAttackPlay-by-Play'!$AF:$AF)+SUMIF('HomeAttackPlay-by-Play'!$E:$E,B18,'HomeAttackPlay-by-Play'!$AG:$AG)</f>
        <v>0</v>
      </c>
      <c r="AB18" s="22">
        <f>SUMIF('HomeAttackPlay-by-Play'!$E:$E,B18,'HomeAttackPlay-by-Play'!$AG:$AG)</f>
        <v>0</v>
      </c>
      <c r="AD18" s="32">
        <f>COUNTIFS('HomeAttackPlay-by-Play'!$E:$E,B18,'HomeAttackPlay-by-Play'!$AK:$AK,"1")</f>
        <v>0</v>
      </c>
    </row>
    <row r="19" spans="1:30" s="22" customFormat="1" x14ac:dyDescent="0.3">
      <c r="A19" s="38">
        <f>IF(Roster!K19="","-",Roster!K19)</f>
        <v>39</v>
      </c>
      <c r="B19" s="38" t="str">
        <f>IF(A19="-","-",VLOOKUP(A19,Roster!$K$2:$L$27,2,FALSE))</f>
        <v>兄弟詹子賢</v>
      </c>
      <c r="C19" s="22" t="str">
        <f>IF(COUNTIF('HomeAttackPlay-by-Play'!$E:$E,GuestPitcherData!B19)&gt;=1,"1","0")</f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4">
        <f t="shared" si="3"/>
        <v>0</v>
      </c>
      <c r="N19" s="24" t="str">
        <f t="shared" si="2"/>
        <v>∞</v>
      </c>
      <c r="O19" s="29" t="str">
        <f t="shared" si="1"/>
        <v>∞</v>
      </c>
      <c r="P19" s="22">
        <f>COUNTIFS('HomeAttackPlay-by-Play'!$E:$E,B19,'HomeAttackPlay-by-Play'!$AM:$AM,"1")</f>
        <v>0</v>
      </c>
      <c r="Q19" s="22">
        <f>COUNTIFS('HomeAttackPlay-by-Play'!$E:$E,B19,'HomeAttackPlay-by-Play'!$R:$R,"*壘安")+R19</f>
        <v>0</v>
      </c>
      <c r="R19" s="22">
        <f>COUNTIFS('HomeAttackPlay-by-Play'!$E:$E,B19,'HomeAttackPlay-by-Play'!$R:$R,"全壘打")</f>
        <v>0</v>
      </c>
      <c r="S19" s="22">
        <f>COUNTIFS('HomeAttackPlay-by-Play'!$E:$E,B19,'HomeAttackPlay-by-Play'!$R:$R,"四壞")</f>
        <v>0</v>
      </c>
      <c r="T19" s="22">
        <f>COUNTIFS('HomeAttackPlay-by-Play'!$E:$E,B19,'HomeAttackPlay-by-Play'!$R:$R,"敬遠")</f>
        <v>0</v>
      </c>
      <c r="U19" s="22">
        <f>COUNTIFS('HomeAttackPlay-by-Play'!$E:$E,B19,'HomeAttackPlay-by-Play'!$R:$R,"觸身球")</f>
        <v>0</v>
      </c>
      <c r="V19" s="22">
        <f>COUNTIFS('HomeAttackPlay-by-Play'!$E:$E,B19,'HomeAttackPlay-by-Play'!$R:$R,"*三振")</f>
        <v>0</v>
      </c>
      <c r="W19" s="22">
        <f>COUNTIFS('HomeAttackPlay-by-Play'!$E:$E,B19,'HomeAttackPlay-by-Play'!$R:$R,"犧牲觸擊")</f>
        <v>0</v>
      </c>
      <c r="X19" s="22">
        <f>COUNTIFS('HomeAttackPlay-by-Play'!$E:$E,B19,'HomeAttackPlay-by-Play'!$R:$R,"高飛犧牲")</f>
        <v>0</v>
      </c>
      <c r="Y19" s="22">
        <f>COUNTIFS('HomeAttackPlay-by-Play'!$E:$E,B19,'HomeAttackPlay-by-Play'!$R:$R,"暴投")</f>
        <v>0</v>
      </c>
      <c r="Z19" s="22">
        <f>COUNTIFS('HomeAttackPlay-by-Play'!$E:$E,B19,'HomeAttackPlay-by-Play'!$R:$R,"投手犯規")</f>
        <v>0</v>
      </c>
      <c r="AA19" s="22">
        <f>SUMIF('HomeAttackPlay-by-Play'!$E:$E,B19,'HomeAttackPlay-by-Play'!$AF:$AF)+SUMIF('HomeAttackPlay-by-Play'!$E:$E,B19,'HomeAttackPlay-by-Play'!$AG:$AG)</f>
        <v>0</v>
      </c>
      <c r="AB19" s="22">
        <f>SUMIF('HomeAttackPlay-by-Play'!$E:$E,B19,'HomeAttackPlay-by-Play'!$AG:$AG)</f>
        <v>0</v>
      </c>
      <c r="AD19" s="32">
        <f>COUNTIFS('HomeAttackPlay-by-Play'!$E:$E,B19,'HomeAttackPlay-by-Play'!$AK:$AK,"1")</f>
        <v>0</v>
      </c>
    </row>
    <row r="20" spans="1:30" s="29" customFormat="1" x14ac:dyDescent="0.3">
      <c r="A20" s="38">
        <f>IF(Roster!K20="","-",Roster!K20)</f>
        <v>42</v>
      </c>
      <c r="B20" s="38" t="str">
        <f>IF(A20="-","-",VLOOKUP(A20,Roster!$K$2:$L$27,2,FALSE))</f>
        <v>兄弟陳家駒</v>
      </c>
      <c r="C20" s="29" t="str">
        <f>IF(COUNTIF('HomeAttackPlay-by-Play'!$E:$E,GuestPitcherData!B20)&gt;=1,"1","0")</f>
        <v>0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24">
        <f t="shared" si="3"/>
        <v>0</v>
      </c>
      <c r="N20" s="24" t="str">
        <f t="shared" si="2"/>
        <v>∞</v>
      </c>
      <c r="O20" s="29" t="str">
        <f t="shared" si="1"/>
        <v>∞</v>
      </c>
      <c r="P20" s="22">
        <f>COUNTIFS('HomeAttackPlay-by-Play'!$E:$E,B20,'HomeAttackPlay-by-Play'!$AM:$AM,"1")</f>
        <v>0</v>
      </c>
      <c r="Q20" s="29">
        <f>COUNTIFS('HomeAttackPlay-by-Play'!$E:$E,B20,'HomeAttackPlay-by-Play'!$R:$R,"*壘安")+R20</f>
        <v>0</v>
      </c>
      <c r="R20" s="29">
        <f>COUNTIFS('HomeAttackPlay-by-Play'!$E:$E,B20,'HomeAttackPlay-by-Play'!$R:$R,"全壘打")</f>
        <v>0</v>
      </c>
      <c r="S20" s="29">
        <f>COUNTIFS('HomeAttackPlay-by-Play'!$E:$E,B20,'HomeAttackPlay-by-Play'!$R:$R,"四壞")</f>
        <v>0</v>
      </c>
      <c r="T20" s="29">
        <f>COUNTIFS('HomeAttackPlay-by-Play'!$E:$E,B20,'HomeAttackPlay-by-Play'!$R:$R,"敬遠")</f>
        <v>0</v>
      </c>
      <c r="U20" s="29">
        <f>COUNTIFS('HomeAttackPlay-by-Play'!$E:$E,B20,'HomeAttackPlay-by-Play'!$R:$R,"觸身球")</f>
        <v>0</v>
      </c>
      <c r="V20" s="29">
        <f>COUNTIFS('HomeAttackPlay-by-Play'!$E:$E,B20,'HomeAttackPlay-by-Play'!$R:$R,"*三振")</f>
        <v>0</v>
      </c>
      <c r="W20" s="29">
        <f>COUNTIFS('HomeAttackPlay-by-Play'!$E:$E,B20,'HomeAttackPlay-by-Play'!$R:$R,"犧牲觸擊")</f>
        <v>0</v>
      </c>
      <c r="X20" s="29">
        <f>COUNTIFS('HomeAttackPlay-by-Play'!$E:$E,B20,'HomeAttackPlay-by-Play'!$R:$R,"高飛犧牲")</f>
        <v>0</v>
      </c>
      <c r="Y20" s="29">
        <f>COUNTIFS('HomeAttackPlay-by-Play'!$E:$E,B20,'HomeAttackPlay-by-Play'!$R:$R,"暴投")</f>
        <v>0</v>
      </c>
      <c r="Z20" s="29">
        <f>COUNTIFS('HomeAttackPlay-by-Play'!$E:$E,B20,'HomeAttackPlay-by-Play'!$R:$R,"投手犯規")</f>
        <v>0</v>
      </c>
      <c r="AA20" s="22">
        <f>SUMIF('HomeAttackPlay-by-Play'!$E:$E,B20,'HomeAttackPlay-by-Play'!$AF:$AF)+SUMIF('HomeAttackPlay-by-Play'!$E:$E,B20,'HomeAttackPlay-by-Play'!$AG:$AG)</f>
        <v>0</v>
      </c>
      <c r="AB20" s="22">
        <f>SUMIF('HomeAttackPlay-by-Play'!$E:$E,B20,'HomeAttackPlay-by-Play'!$AG:$AG)</f>
        <v>0</v>
      </c>
      <c r="AD20" s="32">
        <f>COUNTIFS('HomeAttackPlay-by-Play'!$E:$E,B20,'HomeAttackPlay-by-Play'!$AK:$AK,"1")</f>
        <v>0</v>
      </c>
    </row>
    <row r="21" spans="1:30" s="22" customFormat="1" x14ac:dyDescent="0.3">
      <c r="A21" s="38">
        <f>IF(Roster!K21="","-",Roster!K21)</f>
        <v>63</v>
      </c>
      <c r="B21" s="38" t="str">
        <f>IF(A21="-","-",VLOOKUP(A21,Roster!$K$2:$L$27,2,FALSE))</f>
        <v>兄弟潘志芳</v>
      </c>
      <c r="C21" s="22" t="str">
        <f>IF(COUNTIF('HomeAttackPlay-by-Play'!$E:$E,GuestPitcherData!B21)&gt;=1,"1","0")</f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4">
        <f t="shared" si="3"/>
        <v>0</v>
      </c>
      <c r="N21" s="24" t="str">
        <f t="shared" si="2"/>
        <v>∞</v>
      </c>
      <c r="O21" s="29" t="str">
        <f t="shared" si="1"/>
        <v>∞</v>
      </c>
      <c r="P21" s="22">
        <f>COUNTIFS('HomeAttackPlay-by-Play'!$E:$E,B21,'HomeAttackPlay-by-Play'!$AM:$AM,"1")</f>
        <v>0</v>
      </c>
      <c r="Q21" s="22">
        <f>COUNTIFS('HomeAttackPlay-by-Play'!$E:$E,B21,'HomeAttackPlay-by-Play'!$R:$R,"*壘安")+R21</f>
        <v>0</v>
      </c>
      <c r="R21" s="22">
        <f>COUNTIFS('HomeAttackPlay-by-Play'!$E:$E,B21,'HomeAttackPlay-by-Play'!$R:$R,"全壘打")</f>
        <v>0</v>
      </c>
      <c r="S21" s="22">
        <f>COUNTIFS('HomeAttackPlay-by-Play'!$E:$E,B21,'HomeAttackPlay-by-Play'!$R:$R,"四壞")</f>
        <v>0</v>
      </c>
      <c r="T21" s="22">
        <f>COUNTIFS('HomeAttackPlay-by-Play'!$E:$E,B21,'HomeAttackPlay-by-Play'!$R:$R,"敬遠")</f>
        <v>0</v>
      </c>
      <c r="U21" s="22">
        <f>COUNTIFS('HomeAttackPlay-by-Play'!$E:$E,B21,'HomeAttackPlay-by-Play'!$R:$R,"觸身球")</f>
        <v>0</v>
      </c>
      <c r="V21" s="22">
        <f>COUNTIFS('HomeAttackPlay-by-Play'!$E:$E,B21,'HomeAttackPlay-by-Play'!$R:$R,"*三振")</f>
        <v>0</v>
      </c>
      <c r="W21" s="22">
        <f>COUNTIFS('HomeAttackPlay-by-Play'!$E:$E,B21,'HomeAttackPlay-by-Play'!$R:$R,"犧牲觸擊")</f>
        <v>0</v>
      </c>
      <c r="X21" s="22">
        <f>COUNTIFS('HomeAttackPlay-by-Play'!$E:$E,B21,'HomeAttackPlay-by-Play'!$R:$R,"高飛犧牲")</f>
        <v>0</v>
      </c>
      <c r="Y21" s="22">
        <f>COUNTIFS('HomeAttackPlay-by-Play'!$E:$E,B21,'HomeAttackPlay-by-Play'!$R:$R,"暴投")</f>
        <v>0</v>
      </c>
      <c r="Z21" s="22">
        <f>COUNTIFS('HomeAttackPlay-by-Play'!$E:$E,B21,'HomeAttackPlay-by-Play'!$R:$R,"投手犯規")</f>
        <v>0</v>
      </c>
      <c r="AA21" s="22">
        <f>SUMIF('HomeAttackPlay-by-Play'!$E:$E,B21,'HomeAttackPlay-by-Play'!$AF:$AF)+SUMIF('HomeAttackPlay-by-Play'!$E:$E,B21,'HomeAttackPlay-by-Play'!$AG:$AG)</f>
        <v>0</v>
      </c>
      <c r="AB21" s="22">
        <f>SUMIF('HomeAttackPlay-by-Play'!$E:$E,B21,'HomeAttackPlay-by-Play'!$AG:$AG)</f>
        <v>0</v>
      </c>
      <c r="AD21" s="32">
        <f>COUNTIFS('HomeAttackPlay-by-Play'!$E:$E,B21,'HomeAttackPlay-by-Play'!$AK:$AK,"1")</f>
        <v>0</v>
      </c>
    </row>
    <row r="22" spans="1:30" s="29" customFormat="1" x14ac:dyDescent="0.3">
      <c r="A22" s="38">
        <f>IF(Roster!K22="","-",Roster!K22)</f>
        <v>65</v>
      </c>
      <c r="B22" s="38" t="str">
        <f>IF(A22="-","-",VLOOKUP(A22,Roster!$K$2:$L$27,2,FALSE))</f>
        <v>兄弟高宇杰</v>
      </c>
      <c r="C22" s="29" t="str">
        <f>IF(COUNTIF('HomeAttackPlay-by-Play'!$E:$E,GuestPitcherData!B22)&gt;=1,"1","0")</f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24">
        <f t="shared" si="3"/>
        <v>0</v>
      </c>
      <c r="N22" s="24" t="str">
        <f t="shared" si="2"/>
        <v>∞</v>
      </c>
      <c r="O22" s="29" t="str">
        <f t="shared" si="1"/>
        <v>∞</v>
      </c>
      <c r="P22" s="22">
        <f>COUNTIFS('HomeAttackPlay-by-Play'!$E:$E,B22,'HomeAttackPlay-by-Play'!$AM:$AM,"1")</f>
        <v>0</v>
      </c>
      <c r="Q22" s="29">
        <f>COUNTIFS('HomeAttackPlay-by-Play'!$E:$E,B22,'HomeAttackPlay-by-Play'!$R:$R,"*壘安")+R22</f>
        <v>0</v>
      </c>
      <c r="R22" s="29">
        <f>COUNTIFS('HomeAttackPlay-by-Play'!$E:$E,B22,'HomeAttackPlay-by-Play'!$R:$R,"全壘打")</f>
        <v>0</v>
      </c>
      <c r="S22" s="29">
        <f>COUNTIFS('HomeAttackPlay-by-Play'!$E:$E,B22,'HomeAttackPlay-by-Play'!$R:$R,"四壞")</f>
        <v>0</v>
      </c>
      <c r="T22" s="29">
        <f>COUNTIFS('HomeAttackPlay-by-Play'!$E:$E,B22,'HomeAttackPlay-by-Play'!$R:$R,"敬遠")</f>
        <v>0</v>
      </c>
      <c r="U22" s="29">
        <f>COUNTIFS('HomeAttackPlay-by-Play'!$E:$E,B22,'HomeAttackPlay-by-Play'!$R:$R,"觸身球")</f>
        <v>0</v>
      </c>
      <c r="V22" s="29">
        <f>COUNTIFS('HomeAttackPlay-by-Play'!$E:$E,B22,'HomeAttackPlay-by-Play'!$R:$R,"*三振")</f>
        <v>0</v>
      </c>
      <c r="W22" s="29">
        <f>COUNTIFS('HomeAttackPlay-by-Play'!$E:$E,B22,'HomeAttackPlay-by-Play'!$R:$R,"犧牲觸擊")</f>
        <v>0</v>
      </c>
      <c r="X22" s="29">
        <f>COUNTIFS('HomeAttackPlay-by-Play'!$E:$E,B22,'HomeAttackPlay-by-Play'!$R:$R,"高飛犧牲")</f>
        <v>0</v>
      </c>
      <c r="Y22" s="29">
        <f>COUNTIFS('HomeAttackPlay-by-Play'!$E:$E,B22,'HomeAttackPlay-by-Play'!$R:$R,"暴投")</f>
        <v>0</v>
      </c>
      <c r="Z22" s="29">
        <f>COUNTIFS('HomeAttackPlay-by-Play'!$E:$E,B22,'HomeAttackPlay-by-Play'!$R:$R,"投手犯規")</f>
        <v>0</v>
      </c>
      <c r="AA22" s="22">
        <f>SUMIF('HomeAttackPlay-by-Play'!$E:$E,B22,'HomeAttackPlay-by-Play'!$AF:$AF)+SUMIF('HomeAttackPlay-by-Play'!$E:$E,B22,'HomeAttackPlay-by-Play'!$AG:$AG)</f>
        <v>0</v>
      </c>
      <c r="AB22" s="22">
        <f>SUMIF('HomeAttackPlay-by-Play'!$E:$E,B22,'HomeAttackPlay-by-Play'!$AG:$AG)</f>
        <v>0</v>
      </c>
      <c r="AD22" s="32">
        <f>COUNTIFS('HomeAttackPlay-by-Play'!$E:$E,B22,'HomeAttackPlay-by-Play'!$AK:$AK,"1")</f>
        <v>0</v>
      </c>
    </row>
    <row r="23" spans="1:30" s="22" customFormat="1" x14ac:dyDescent="0.3">
      <c r="A23" s="38">
        <f>IF(Roster!K23="","-",Roster!K23)</f>
        <v>69</v>
      </c>
      <c r="B23" s="38" t="str">
        <f>IF(A23="-","-",VLOOKUP(A23,Roster!$K$2:$L$27,2,FALSE))</f>
        <v>兄弟張志強</v>
      </c>
      <c r="C23" s="22" t="str">
        <f>IF(COUNTIF('HomeAttackPlay-by-Play'!$E:$E,GuestPitcherData!B23)&gt;=1,"1","0")</f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4">
        <f t="shared" si="3"/>
        <v>0</v>
      </c>
      <c r="N23" s="24" t="str">
        <f t="shared" si="2"/>
        <v>∞</v>
      </c>
      <c r="O23" s="29" t="str">
        <f t="shared" si="1"/>
        <v>∞</v>
      </c>
      <c r="P23" s="22">
        <f>COUNTIFS('HomeAttackPlay-by-Play'!$E:$E,B23,'HomeAttackPlay-by-Play'!$AM:$AM,"1")</f>
        <v>0</v>
      </c>
      <c r="Q23" s="22">
        <f>COUNTIFS('HomeAttackPlay-by-Play'!$E:$E,B23,'HomeAttackPlay-by-Play'!$R:$R,"*壘安")+R23</f>
        <v>0</v>
      </c>
      <c r="R23" s="22">
        <f>COUNTIFS('HomeAttackPlay-by-Play'!$E:$E,B23,'HomeAttackPlay-by-Play'!$R:$R,"全壘打")</f>
        <v>0</v>
      </c>
      <c r="S23" s="22">
        <f>COUNTIFS('HomeAttackPlay-by-Play'!$E:$E,B23,'HomeAttackPlay-by-Play'!$R:$R,"四壞")</f>
        <v>0</v>
      </c>
      <c r="T23" s="22">
        <f>COUNTIFS('HomeAttackPlay-by-Play'!$E:$E,B23,'HomeAttackPlay-by-Play'!$R:$R,"敬遠")</f>
        <v>0</v>
      </c>
      <c r="U23" s="22">
        <f>COUNTIFS('HomeAttackPlay-by-Play'!$E:$E,B23,'HomeAttackPlay-by-Play'!$R:$R,"觸身球")</f>
        <v>0</v>
      </c>
      <c r="V23" s="22">
        <f>COUNTIFS('HomeAttackPlay-by-Play'!$E:$E,B23,'HomeAttackPlay-by-Play'!$R:$R,"*三振")</f>
        <v>0</v>
      </c>
      <c r="W23" s="22">
        <f>COUNTIFS('HomeAttackPlay-by-Play'!$E:$E,B23,'HomeAttackPlay-by-Play'!$R:$R,"犧牲觸擊")</f>
        <v>0</v>
      </c>
      <c r="X23" s="22">
        <f>COUNTIFS('HomeAttackPlay-by-Play'!$E:$E,B23,'HomeAttackPlay-by-Play'!$R:$R,"高飛犧牲")</f>
        <v>0</v>
      </c>
      <c r="Y23" s="22">
        <f>COUNTIFS('HomeAttackPlay-by-Play'!$E:$E,B23,'HomeAttackPlay-by-Play'!$R:$R,"暴投")</f>
        <v>0</v>
      </c>
      <c r="Z23" s="22">
        <f>COUNTIFS('HomeAttackPlay-by-Play'!$E:$E,B23,'HomeAttackPlay-by-Play'!$R:$R,"投手犯規")</f>
        <v>0</v>
      </c>
      <c r="AA23" s="22">
        <f>SUMIF('HomeAttackPlay-by-Play'!$E:$E,B23,'HomeAttackPlay-by-Play'!$AF:$AF)+SUMIF('HomeAttackPlay-by-Play'!$E:$E,B23,'HomeAttackPlay-by-Play'!$AG:$AG)</f>
        <v>0</v>
      </c>
      <c r="AB23" s="22">
        <f>SUMIF('HomeAttackPlay-by-Play'!$E:$E,B23,'HomeAttackPlay-by-Play'!$AG:$AG)</f>
        <v>0</v>
      </c>
      <c r="AD23" s="32">
        <f>COUNTIFS('HomeAttackPlay-by-Play'!$E:$E,B23,'HomeAttackPlay-by-Play'!$AK:$AK,"1")</f>
        <v>0</v>
      </c>
    </row>
    <row r="24" spans="1:30" s="29" customFormat="1" ht="15" customHeight="1" x14ac:dyDescent="0.3">
      <c r="A24" s="38">
        <f>IF(Roster!K24="","-",Roster!K24)</f>
        <v>74</v>
      </c>
      <c r="B24" s="38" t="str">
        <f>IF(A24="-","-",VLOOKUP(A24,Roster!$K$2:$L$27,2,FALSE))</f>
        <v>兄弟許基宏</v>
      </c>
      <c r="C24" s="29" t="str">
        <f>IF(COUNTIF('HomeAttackPlay-by-Play'!$E:$E,GuestPitcherData!B24)&gt;=1,"1","0")</f>
        <v>0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24">
        <f t="shared" si="3"/>
        <v>0</v>
      </c>
      <c r="N24" s="24" t="str">
        <f t="shared" si="2"/>
        <v>∞</v>
      </c>
      <c r="O24" s="29" t="str">
        <f t="shared" si="1"/>
        <v>∞</v>
      </c>
      <c r="P24" s="22">
        <f>COUNTIFS('HomeAttackPlay-by-Play'!$E:$E,B24,'HomeAttackPlay-by-Play'!$AM:$AM,"1")</f>
        <v>0</v>
      </c>
      <c r="Q24" s="29">
        <f>COUNTIFS('HomeAttackPlay-by-Play'!$E:$E,B24,'HomeAttackPlay-by-Play'!$R:$R,"*壘安")+R24</f>
        <v>0</v>
      </c>
      <c r="R24" s="29">
        <f>COUNTIFS('HomeAttackPlay-by-Play'!$E:$E,B24,'HomeAttackPlay-by-Play'!$R:$R,"全壘打")</f>
        <v>0</v>
      </c>
      <c r="S24" s="29">
        <f>COUNTIFS('HomeAttackPlay-by-Play'!$E:$E,B24,'HomeAttackPlay-by-Play'!$R:$R,"四壞")</f>
        <v>0</v>
      </c>
      <c r="T24" s="29">
        <f>COUNTIFS('HomeAttackPlay-by-Play'!$E:$E,B24,'HomeAttackPlay-by-Play'!$R:$R,"敬遠")</f>
        <v>0</v>
      </c>
      <c r="U24" s="29">
        <f>COUNTIFS('HomeAttackPlay-by-Play'!$E:$E,B24,'HomeAttackPlay-by-Play'!$R:$R,"觸身球")</f>
        <v>0</v>
      </c>
      <c r="V24" s="29">
        <f>COUNTIFS('HomeAttackPlay-by-Play'!$E:$E,B24,'HomeAttackPlay-by-Play'!$R:$R,"*三振")</f>
        <v>0</v>
      </c>
      <c r="W24" s="29">
        <f>COUNTIFS('HomeAttackPlay-by-Play'!$E:$E,B24,'HomeAttackPlay-by-Play'!$R:$R,"犧牲觸擊")</f>
        <v>0</v>
      </c>
      <c r="X24" s="29">
        <f>COUNTIFS('HomeAttackPlay-by-Play'!$E:$E,B24,'HomeAttackPlay-by-Play'!$R:$R,"高飛犧牲")</f>
        <v>0</v>
      </c>
      <c r="Y24" s="29">
        <f>COUNTIFS('HomeAttackPlay-by-Play'!$E:$E,B24,'HomeAttackPlay-by-Play'!$R:$R,"暴投")</f>
        <v>0</v>
      </c>
      <c r="Z24" s="29">
        <f>COUNTIFS('HomeAttackPlay-by-Play'!$E:$E,B24,'HomeAttackPlay-by-Play'!$R:$R,"投手犯規")</f>
        <v>0</v>
      </c>
      <c r="AA24" s="22">
        <f>SUMIF('HomeAttackPlay-by-Play'!$E:$E,B24,'HomeAttackPlay-by-Play'!$AF:$AF)+SUMIF('HomeAttackPlay-by-Play'!$E:$E,B24,'HomeAttackPlay-by-Play'!$AG:$AG)</f>
        <v>0</v>
      </c>
      <c r="AB24" s="22">
        <f>SUMIF('HomeAttackPlay-by-Play'!$E:$E,B24,'HomeAttackPlay-by-Play'!$AG:$AG)</f>
        <v>0</v>
      </c>
      <c r="AD24" s="32">
        <f>COUNTIFS('HomeAttackPlay-by-Play'!$E:$E,B24,'HomeAttackPlay-by-Play'!$AK:$AK,"1")</f>
        <v>0</v>
      </c>
    </row>
    <row r="25" spans="1:30" s="22" customFormat="1" x14ac:dyDescent="0.3">
      <c r="A25" s="38">
        <f>IF(Roster!K25="","-",Roster!K25)</f>
        <v>88</v>
      </c>
      <c r="B25" s="38" t="str">
        <f>IF(A25="-","-",VLOOKUP(A25,Roster!$K$2:$L$27,2,FALSE))</f>
        <v>兄弟宋晟睿</v>
      </c>
      <c r="C25" s="22" t="str">
        <f>IF(COUNTIF('HomeAttackPlay-by-Play'!$E:$E,GuestPitcherData!B25)&gt;=1,"1","0")</f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4">
        <f t="shared" si="3"/>
        <v>0</v>
      </c>
      <c r="N25" s="24" t="str">
        <f t="shared" si="2"/>
        <v>∞</v>
      </c>
      <c r="O25" s="29" t="str">
        <f t="shared" si="1"/>
        <v>∞</v>
      </c>
      <c r="P25" s="22">
        <f>COUNTIFS('HomeAttackPlay-by-Play'!$E:$E,B25,'HomeAttackPlay-by-Play'!$AM:$AM,"1")</f>
        <v>0</v>
      </c>
      <c r="Q25" s="22">
        <f>COUNTIFS('HomeAttackPlay-by-Play'!$E:$E,B25,'HomeAttackPlay-by-Play'!$R:$R,"*壘安")+R25</f>
        <v>0</v>
      </c>
      <c r="R25" s="22">
        <f>COUNTIFS('HomeAttackPlay-by-Play'!$E:$E,B25,'HomeAttackPlay-by-Play'!$R:$R,"全壘打")</f>
        <v>0</v>
      </c>
      <c r="S25" s="22">
        <f>COUNTIFS('HomeAttackPlay-by-Play'!$E:$E,B25,'HomeAttackPlay-by-Play'!$R:$R,"四壞")</f>
        <v>0</v>
      </c>
      <c r="T25" s="22">
        <f>COUNTIFS('HomeAttackPlay-by-Play'!$E:$E,B25,'HomeAttackPlay-by-Play'!$R:$R,"敬遠")</f>
        <v>0</v>
      </c>
      <c r="U25" s="22">
        <f>COUNTIFS('HomeAttackPlay-by-Play'!$E:$E,B25,'HomeAttackPlay-by-Play'!$R:$R,"觸身球")</f>
        <v>0</v>
      </c>
      <c r="V25" s="22">
        <f>COUNTIFS('HomeAttackPlay-by-Play'!$E:$E,B25,'HomeAttackPlay-by-Play'!$R:$R,"*三振")</f>
        <v>0</v>
      </c>
      <c r="W25" s="22">
        <f>COUNTIFS('HomeAttackPlay-by-Play'!$E:$E,B25,'HomeAttackPlay-by-Play'!$R:$R,"犧牲觸擊")</f>
        <v>0</v>
      </c>
      <c r="X25" s="22">
        <f>COUNTIFS('HomeAttackPlay-by-Play'!$E:$E,B25,'HomeAttackPlay-by-Play'!$R:$R,"高飛犧牲")</f>
        <v>0</v>
      </c>
      <c r="Y25" s="22">
        <f>COUNTIFS('HomeAttackPlay-by-Play'!$E:$E,B25,'HomeAttackPlay-by-Play'!$R:$R,"暴投")</f>
        <v>0</v>
      </c>
      <c r="Z25" s="22">
        <f>COUNTIFS('HomeAttackPlay-by-Play'!$E:$E,B25,'HomeAttackPlay-by-Play'!$R:$R,"投手犯規")</f>
        <v>0</v>
      </c>
      <c r="AA25" s="22">
        <f>SUMIF('HomeAttackPlay-by-Play'!$E:$E,B25,'HomeAttackPlay-by-Play'!$AF:$AF)+SUMIF('HomeAttackPlay-by-Play'!$E:$E,B25,'HomeAttackPlay-by-Play'!$AG:$AG)</f>
        <v>0</v>
      </c>
      <c r="AB25" s="22">
        <f>SUMIF('HomeAttackPlay-by-Play'!$E:$E,B25,'HomeAttackPlay-by-Play'!$AG:$AG)</f>
        <v>0</v>
      </c>
      <c r="AD25" s="32">
        <f>COUNTIFS('HomeAttackPlay-by-Play'!$E:$E,B25,'HomeAttackPlay-by-Play'!$AK:$AK,"1")</f>
        <v>0</v>
      </c>
    </row>
    <row r="26" spans="1:30" x14ac:dyDescent="0.3">
      <c r="A26" s="38">
        <f>IF(Roster!K26="","-",Roster!K26)</f>
        <v>90</v>
      </c>
      <c r="B26" s="38" t="str">
        <f>IF(A26="-","-",VLOOKUP(A26,Roster!$K$2:$L$27,2,FALSE))</f>
        <v>兄弟江坤宇</v>
      </c>
      <c r="C26" s="38" t="str">
        <f>IF(COUNTIF('HomeAttackPlay-by-Play'!$E:$E,GuestPitcherData!B26)&gt;=1,"1","0")</f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38">
        <f t="shared" si="3"/>
        <v>0</v>
      </c>
      <c r="N26" s="38" t="str">
        <f t="shared" si="2"/>
        <v>∞</v>
      </c>
      <c r="O26" s="29" t="str">
        <f t="shared" si="1"/>
        <v>∞</v>
      </c>
      <c r="P26" s="38">
        <f>COUNTIFS('HomeAttackPlay-by-Play'!$E:$E,B26,'HomeAttackPlay-by-Play'!$AM:$AM,"1")</f>
        <v>0</v>
      </c>
      <c r="Q26" s="38">
        <f>COUNTIFS('HomeAttackPlay-by-Play'!$E:$E,B26,'HomeAttackPlay-by-Play'!$R:$R,"*壘安")+R26</f>
        <v>0</v>
      </c>
      <c r="R26" s="38">
        <f>COUNTIFS('HomeAttackPlay-by-Play'!$E:$E,B26,'HomeAttackPlay-by-Play'!$R:$R,"全壘打")</f>
        <v>0</v>
      </c>
      <c r="S26" s="38">
        <f>COUNTIFS('HomeAttackPlay-by-Play'!$E:$E,B26,'HomeAttackPlay-by-Play'!$R:$R,"四壞")</f>
        <v>0</v>
      </c>
      <c r="T26" s="38">
        <f>COUNTIFS('HomeAttackPlay-by-Play'!$E:$E,B26,'HomeAttackPlay-by-Play'!$R:$R,"敬遠")</f>
        <v>0</v>
      </c>
      <c r="U26" s="38">
        <f>COUNTIFS('HomeAttackPlay-by-Play'!$E:$E,B26,'HomeAttackPlay-by-Play'!$R:$R,"觸身球")</f>
        <v>0</v>
      </c>
      <c r="V26" s="38">
        <f>COUNTIFS('HomeAttackPlay-by-Play'!$E:$E,B26,'HomeAttackPlay-by-Play'!$R:$R,"*三振")</f>
        <v>0</v>
      </c>
      <c r="W26" s="38">
        <f>COUNTIFS('HomeAttackPlay-by-Play'!$E:$E,B26,'HomeAttackPlay-by-Play'!$R:$R,"犧牲觸擊")</f>
        <v>0</v>
      </c>
      <c r="X26" s="38">
        <f>COUNTIFS('HomeAttackPlay-by-Play'!$E:$E,B26,'HomeAttackPlay-by-Play'!$R:$R,"高飛犧牲")</f>
        <v>0</v>
      </c>
      <c r="Y26" s="38">
        <f>COUNTIFS('HomeAttackPlay-by-Play'!$E:$E,B26,'HomeAttackPlay-by-Play'!$R:$R,"暴投")</f>
        <v>0</v>
      </c>
      <c r="Z26" s="38">
        <f>COUNTIFS('HomeAttackPlay-by-Play'!$E:$E,B26,'HomeAttackPlay-by-Play'!$R:$R,"投手犯規")</f>
        <v>0</v>
      </c>
      <c r="AA26" s="38">
        <f>SUMIF('HomeAttackPlay-by-Play'!$E:$E,B26,'HomeAttackPlay-by-Play'!$AF:$AF)+SUMIF('HomeAttackPlay-by-Play'!$E:$E,B26,'HomeAttackPlay-by-Play'!$AG:$AG)</f>
        <v>0</v>
      </c>
      <c r="AB26" s="38">
        <f>SUMIF('HomeAttackPlay-by-Play'!$E:$E,B26,'HomeAttackPlay-by-Play'!$AG:$AG)</f>
        <v>0</v>
      </c>
      <c r="AD26" s="38">
        <f>COUNTIFS('HomeAttackPlay-by-Play'!$E:$E,B26,'HomeAttackPlay-by-Play'!$AK:$AK,"1")</f>
        <v>0</v>
      </c>
    </row>
    <row r="27" spans="1:30" s="31" customFormat="1" x14ac:dyDescent="0.3">
      <c r="A27" s="38">
        <f>IF(Roster!K27="","-",Roster!K27)</f>
        <v>98</v>
      </c>
      <c r="B27" s="38" t="str">
        <f>IF(A27="-","-",VLOOKUP(A27,Roster!$K$2:$L$27,2,FALSE))</f>
        <v>兄弟岳東華</v>
      </c>
      <c r="C27" s="38" t="str">
        <f>IF(COUNTIF('HomeAttackPlay-by-Play'!$E:$E,GuestPitcherData!B27)&gt;=1,"1","0")</f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38">
        <f t="shared" si="3"/>
        <v>0</v>
      </c>
      <c r="N27" s="38" t="str">
        <f t="shared" si="2"/>
        <v>∞</v>
      </c>
      <c r="O27" s="29" t="str">
        <f t="shared" si="1"/>
        <v>∞</v>
      </c>
      <c r="P27" s="38">
        <f>COUNTIFS('HomeAttackPlay-by-Play'!$E:$E,B27,'HomeAttackPlay-by-Play'!$AM:$AM,"1")</f>
        <v>0</v>
      </c>
      <c r="Q27" s="38">
        <f>COUNTIFS('HomeAttackPlay-by-Play'!$E:$E,B27,'HomeAttackPlay-by-Play'!$R:$R,"*壘安")+R27</f>
        <v>0</v>
      </c>
      <c r="R27" s="38">
        <f>COUNTIFS('HomeAttackPlay-by-Play'!$E:$E,B27,'HomeAttackPlay-by-Play'!$R:$R,"全壘打")</f>
        <v>0</v>
      </c>
      <c r="S27" s="38">
        <f>COUNTIFS('HomeAttackPlay-by-Play'!$E:$E,B27,'HomeAttackPlay-by-Play'!$R:$R,"四壞")</f>
        <v>0</v>
      </c>
      <c r="T27" s="38">
        <f>COUNTIFS('HomeAttackPlay-by-Play'!$E:$E,B27,'HomeAttackPlay-by-Play'!$R:$R,"敬遠")</f>
        <v>0</v>
      </c>
      <c r="U27" s="38">
        <f>COUNTIFS('HomeAttackPlay-by-Play'!$E:$E,B27,'HomeAttackPlay-by-Play'!$R:$R,"觸身球")</f>
        <v>0</v>
      </c>
      <c r="V27" s="38">
        <f>COUNTIFS('HomeAttackPlay-by-Play'!$E:$E,B27,'HomeAttackPlay-by-Play'!$R:$R,"*三振")</f>
        <v>0</v>
      </c>
      <c r="W27" s="38">
        <f>COUNTIFS('HomeAttackPlay-by-Play'!$E:$E,B27,'HomeAttackPlay-by-Play'!$R:$R,"犧牲觸擊")</f>
        <v>0</v>
      </c>
      <c r="X27" s="38">
        <f>COUNTIFS('HomeAttackPlay-by-Play'!$E:$E,B27,'HomeAttackPlay-by-Play'!$R:$R,"高飛犧牲")</f>
        <v>0</v>
      </c>
      <c r="Y27" s="38">
        <f>COUNTIFS('HomeAttackPlay-by-Play'!$E:$E,B27,'HomeAttackPlay-by-Play'!$R:$R,"暴投")</f>
        <v>0</v>
      </c>
      <c r="Z27" s="38">
        <f>COUNTIFS('HomeAttackPlay-by-Play'!$E:$E,B27,'HomeAttackPlay-by-Play'!$R:$R,"投手犯規")</f>
        <v>0</v>
      </c>
      <c r="AA27" s="38">
        <f>SUMIF('HomeAttackPlay-by-Play'!$E:$E,B27,'HomeAttackPlay-by-Play'!$AF:$AF)+SUMIF('HomeAttackPlay-by-Play'!$E:$E,B27,'HomeAttackPlay-by-Play'!$AG:$AG)</f>
        <v>0</v>
      </c>
      <c r="AB27" s="38">
        <f>SUMIF('HomeAttackPlay-by-Play'!$E:$E,B27,'HomeAttackPlay-by-Play'!$AG:$AG)</f>
        <v>0</v>
      </c>
      <c r="AD27" s="38">
        <f>COUNTIFS('HomeAttackPlay-by-Play'!$E:$E,B27,'HomeAttackPlay-by-Play'!$AK:$AK,"1")</f>
        <v>0</v>
      </c>
    </row>
    <row r="28" spans="1:30" s="17" customFormat="1" x14ac:dyDescent="0.3"/>
    <row r="29" spans="1:30" s="31" customFormat="1" x14ac:dyDescent="0.3"/>
    <row r="30" spans="1:30" s="31" customFormat="1" x14ac:dyDescent="0.3"/>
    <row r="31" spans="1:30" s="31" customFormat="1" x14ac:dyDescent="0.3"/>
    <row r="32" spans="1:30" s="31" customFormat="1" x14ac:dyDescent="0.3"/>
    <row r="33" s="31" customFormat="1" x14ac:dyDescent="0.3"/>
    <row r="34" s="31" customFormat="1" x14ac:dyDescent="0.3"/>
    <row r="35" s="31" customFormat="1" x14ac:dyDescent="0.3"/>
    <row r="36" s="31" customFormat="1" x14ac:dyDescent="0.3"/>
    <row r="37" s="31" customFormat="1" x14ac:dyDescent="0.3"/>
    <row r="38" s="31" customFormat="1" x14ac:dyDescent="0.3"/>
    <row r="39" s="31" customFormat="1" x14ac:dyDescent="0.3"/>
    <row r="40" s="31" customFormat="1" x14ac:dyDescent="0.3"/>
    <row r="41" s="31" customFormat="1" x14ac:dyDescent="0.3"/>
    <row r="42" s="31" customFormat="1" x14ac:dyDescent="0.3"/>
    <row r="43" s="31" customFormat="1" x14ac:dyDescent="0.3"/>
    <row r="44" s="31" customFormat="1" x14ac:dyDescent="0.3"/>
    <row r="45" s="31" customFormat="1" x14ac:dyDescent="0.3"/>
    <row r="46" s="31" customFormat="1" x14ac:dyDescent="0.3"/>
    <row r="47" s="31" customFormat="1" x14ac:dyDescent="0.3"/>
    <row r="48" s="31" customFormat="1" x14ac:dyDescent="0.3"/>
    <row r="49" s="31" customFormat="1" x14ac:dyDescent="0.3"/>
    <row r="50" s="31" customFormat="1" x14ac:dyDescent="0.3"/>
    <row r="51" s="31" customFormat="1" x14ac:dyDescent="0.3"/>
    <row r="52" s="31" customFormat="1" x14ac:dyDescent="0.3"/>
    <row r="53" s="31" customFormat="1" x14ac:dyDescent="0.3"/>
    <row r="54" s="31" customFormat="1" x14ac:dyDescent="0.3"/>
    <row r="55" s="31" customFormat="1" x14ac:dyDescent="0.3"/>
    <row r="56" s="31" customFormat="1" x14ac:dyDescent="0.3"/>
    <row r="57" s="31" customFormat="1" x14ac:dyDescent="0.3"/>
    <row r="58" s="31" customFormat="1" x14ac:dyDescent="0.3"/>
    <row r="59" s="31" customFormat="1" x14ac:dyDescent="0.3"/>
    <row r="60" s="31" customFormat="1" x14ac:dyDescent="0.3"/>
    <row r="61" s="31" customFormat="1" x14ac:dyDescent="0.3"/>
    <row r="62" s="31" customFormat="1" x14ac:dyDescent="0.3"/>
    <row r="63" s="31" customFormat="1" x14ac:dyDescent="0.3"/>
    <row r="64" s="31" customFormat="1" x14ac:dyDescent="0.3"/>
    <row r="65" s="31" customFormat="1" x14ac:dyDescent="0.3"/>
    <row r="66" s="31" customFormat="1" x14ac:dyDescent="0.3"/>
    <row r="67" s="31" customFormat="1" x14ac:dyDescent="0.3"/>
    <row r="68" s="31" customFormat="1" x14ac:dyDescent="0.3"/>
    <row r="69" s="31" customFormat="1" x14ac:dyDescent="0.3"/>
    <row r="70" s="31" customFormat="1" x14ac:dyDescent="0.3"/>
    <row r="71" s="31" customFormat="1" x14ac:dyDescent="0.3"/>
    <row r="72" s="31" customFormat="1" x14ac:dyDescent="0.3"/>
    <row r="73" s="31" customFormat="1" x14ac:dyDescent="0.3"/>
    <row r="74" s="31" customFormat="1" x14ac:dyDescent="0.3"/>
    <row r="75" s="31" customFormat="1" x14ac:dyDescent="0.3"/>
    <row r="76" s="31" customFormat="1" x14ac:dyDescent="0.3"/>
    <row r="77" s="31" customFormat="1" x14ac:dyDescent="0.3"/>
    <row r="78" s="31" customFormat="1" x14ac:dyDescent="0.3"/>
    <row r="79" s="31" customFormat="1" x14ac:dyDescent="0.3"/>
    <row r="80" s="31" customFormat="1" x14ac:dyDescent="0.3"/>
    <row r="81" s="31" customFormat="1" x14ac:dyDescent="0.3"/>
    <row r="82" s="31" customFormat="1" x14ac:dyDescent="0.3"/>
    <row r="83" s="31" customFormat="1" x14ac:dyDescent="0.3"/>
    <row r="84" s="31" customFormat="1" x14ac:dyDescent="0.3"/>
    <row r="85" s="31" customFormat="1" x14ac:dyDescent="0.3"/>
    <row r="86" s="31" customFormat="1" x14ac:dyDescent="0.3"/>
    <row r="87" s="31" customFormat="1" x14ac:dyDescent="0.3"/>
    <row r="88" s="31" customFormat="1" x14ac:dyDescent="0.3"/>
    <row r="89" s="31" customFormat="1" x14ac:dyDescent="0.3"/>
    <row r="90" s="31" customFormat="1" x14ac:dyDescent="0.3"/>
    <row r="91" s="31" customFormat="1" x14ac:dyDescent="0.3"/>
    <row r="92" s="31" customFormat="1" x14ac:dyDescent="0.3"/>
    <row r="93" s="31" customFormat="1" x14ac:dyDescent="0.3"/>
    <row r="94" s="31" customFormat="1" x14ac:dyDescent="0.3"/>
    <row r="95" s="31" customFormat="1" x14ac:dyDescent="0.3"/>
    <row r="96" s="31" customFormat="1" x14ac:dyDescent="0.3"/>
    <row r="97" s="31" customFormat="1" x14ac:dyDescent="0.3"/>
    <row r="98" s="31" customFormat="1" x14ac:dyDescent="0.3"/>
    <row r="99" s="31" customFormat="1" x14ac:dyDescent="0.3"/>
    <row r="100" s="31" customFormat="1" x14ac:dyDescent="0.3"/>
    <row r="101" s="31" customFormat="1" x14ac:dyDescent="0.3"/>
    <row r="102" s="31" customFormat="1" x14ac:dyDescent="0.3"/>
    <row r="103" s="31" customFormat="1" x14ac:dyDescent="0.3"/>
    <row r="104" s="31" customFormat="1" x14ac:dyDescent="0.3"/>
    <row r="105" s="31" customFormat="1" x14ac:dyDescent="0.3"/>
    <row r="106" s="31" customFormat="1" x14ac:dyDescent="0.3"/>
    <row r="107" s="31" customFormat="1" x14ac:dyDescent="0.3"/>
    <row r="108" s="31" customFormat="1" x14ac:dyDescent="0.3"/>
    <row r="109" s="31" customFormat="1" x14ac:dyDescent="0.3"/>
    <row r="110" s="31" customFormat="1" x14ac:dyDescent="0.3"/>
    <row r="111" s="31" customFormat="1" x14ac:dyDescent="0.3"/>
    <row r="112" s="31" customFormat="1" x14ac:dyDescent="0.3"/>
    <row r="113" s="31" customFormat="1" x14ac:dyDescent="0.3"/>
    <row r="114" s="31" customFormat="1" x14ac:dyDescent="0.3"/>
    <row r="115" s="31" customFormat="1" x14ac:dyDescent="0.3"/>
    <row r="116" s="31" customFormat="1" x14ac:dyDescent="0.3"/>
    <row r="117" s="31" customFormat="1" x14ac:dyDescent="0.3"/>
    <row r="118" s="31" customFormat="1" x14ac:dyDescent="0.3"/>
    <row r="119" s="31" customFormat="1" x14ac:dyDescent="0.3"/>
    <row r="120" s="31" customFormat="1" x14ac:dyDescent="0.3"/>
    <row r="121" s="31" customFormat="1" x14ac:dyDescent="0.3"/>
    <row r="122" s="31" customFormat="1" x14ac:dyDescent="0.3"/>
    <row r="123" s="31" customFormat="1" x14ac:dyDescent="0.3"/>
    <row r="124" s="31" customFormat="1" x14ac:dyDescent="0.3"/>
    <row r="125" s="31" customFormat="1" x14ac:dyDescent="0.3"/>
    <row r="126" s="31" customFormat="1" x14ac:dyDescent="0.3"/>
    <row r="127" s="31" customFormat="1" x14ac:dyDescent="0.3"/>
    <row r="128" s="31" customFormat="1" x14ac:dyDescent="0.3"/>
    <row r="129" s="31" customFormat="1" x14ac:dyDescent="0.3"/>
    <row r="130" s="31" customFormat="1" x14ac:dyDescent="0.3"/>
    <row r="131" s="31" customFormat="1" x14ac:dyDescent="0.3"/>
    <row r="132" s="31" customFormat="1" x14ac:dyDescent="0.3"/>
    <row r="133" s="31" customFormat="1" x14ac:dyDescent="0.3"/>
    <row r="134" s="31" customFormat="1" x14ac:dyDescent="0.3"/>
    <row r="135" s="31" customFormat="1" x14ac:dyDescent="0.3"/>
    <row r="136" s="31" customFormat="1" x14ac:dyDescent="0.3"/>
    <row r="137" s="31" customFormat="1" x14ac:dyDescent="0.3"/>
    <row r="138" s="31" customFormat="1" x14ac:dyDescent="0.3"/>
    <row r="139" s="31" customFormat="1" x14ac:dyDescent="0.3"/>
    <row r="140" s="31" customFormat="1" x14ac:dyDescent="0.3"/>
    <row r="141" s="31" customFormat="1" x14ac:dyDescent="0.3"/>
    <row r="142" s="31" customFormat="1" x14ac:dyDescent="0.3"/>
    <row r="143" s="31" customFormat="1" x14ac:dyDescent="0.3"/>
    <row r="144" s="31" customFormat="1" x14ac:dyDescent="0.3"/>
    <row r="145" s="31" customFormat="1" x14ac:dyDescent="0.3"/>
    <row r="146" s="31" customFormat="1" x14ac:dyDescent="0.3"/>
    <row r="147" s="31" customFormat="1" x14ac:dyDescent="0.3"/>
    <row r="148" s="31" customFormat="1" x14ac:dyDescent="0.3"/>
    <row r="149" s="31" customFormat="1" x14ac:dyDescent="0.3"/>
    <row r="150" s="31" customFormat="1" x14ac:dyDescent="0.3"/>
    <row r="151" s="31" customFormat="1" x14ac:dyDescent="0.3"/>
    <row r="152" s="31" customFormat="1" x14ac:dyDescent="0.3"/>
    <row r="153" s="31" customFormat="1" x14ac:dyDescent="0.3"/>
    <row r="154" s="31" customFormat="1" x14ac:dyDescent="0.3"/>
    <row r="155" s="31" customFormat="1" x14ac:dyDescent="0.3"/>
    <row r="156" s="31" customFormat="1" x14ac:dyDescent="0.3"/>
    <row r="157" s="31" customFormat="1" x14ac:dyDescent="0.3"/>
    <row r="158" s="31" customFormat="1" x14ac:dyDescent="0.3"/>
    <row r="159" s="31" customFormat="1" x14ac:dyDescent="0.3"/>
    <row r="160" s="31" customFormat="1" x14ac:dyDescent="0.3"/>
    <row r="161" s="31" customFormat="1" x14ac:dyDescent="0.3"/>
    <row r="162" s="31" customFormat="1" x14ac:dyDescent="0.3"/>
    <row r="163" s="31" customFormat="1" x14ac:dyDescent="0.3"/>
    <row r="164" s="31" customFormat="1" x14ac:dyDescent="0.3"/>
    <row r="165" s="31" customFormat="1" x14ac:dyDescent="0.3"/>
    <row r="166" s="31" customFormat="1" x14ac:dyDescent="0.3"/>
    <row r="167" s="31" customFormat="1" x14ac:dyDescent="0.3"/>
    <row r="168" s="31" customFormat="1" x14ac:dyDescent="0.3"/>
    <row r="169" s="31" customFormat="1" x14ac:dyDescent="0.3"/>
    <row r="170" s="31" customFormat="1" x14ac:dyDescent="0.3"/>
    <row r="171" s="31" customFormat="1" x14ac:dyDescent="0.3"/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6"/>
  <dimension ref="A1:BG171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/>
    </sheetView>
  </sheetViews>
  <sheetFormatPr defaultColWidth="9.44140625" defaultRowHeight="16.2" x14ac:dyDescent="0.3"/>
  <cols>
    <col min="1" max="2" width="9.44140625" style="1"/>
    <col min="3" max="3" width="6.88671875" style="1" customWidth="1"/>
    <col min="4" max="4" width="6.88671875" style="25" customWidth="1"/>
    <col min="5" max="6" width="7.44140625" style="25" customWidth="1"/>
    <col min="7" max="7" width="7.109375" style="25" customWidth="1"/>
    <col min="8" max="14" width="9.44140625" style="1"/>
    <col min="15" max="15" width="12.44140625" style="1" customWidth="1"/>
    <col min="16" max="16384" width="9.44140625" style="1"/>
  </cols>
  <sheetData>
    <row r="1" spans="1:59" s="26" customFormat="1" ht="15.6" x14ac:dyDescent="0.3">
      <c r="A1" s="26" t="s">
        <v>5</v>
      </c>
      <c r="B1" s="26" t="s">
        <v>30</v>
      </c>
      <c r="C1" s="26" t="s">
        <v>125</v>
      </c>
      <c r="D1" s="26" t="s">
        <v>123</v>
      </c>
      <c r="E1" s="26" t="s">
        <v>124</v>
      </c>
      <c r="F1" s="26" t="s">
        <v>53</v>
      </c>
      <c r="G1" s="26" t="s">
        <v>54</v>
      </c>
      <c r="H1" s="26" t="s">
        <v>134</v>
      </c>
      <c r="I1" s="26" t="s">
        <v>135</v>
      </c>
      <c r="J1" s="26" t="s">
        <v>136</v>
      </c>
      <c r="K1" s="26" t="s">
        <v>137</v>
      </c>
      <c r="L1" s="26" t="s">
        <v>138</v>
      </c>
      <c r="M1" s="26" t="s">
        <v>55</v>
      </c>
      <c r="N1" s="26" t="s">
        <v>132</v>
      </c>
      <c r="O1" s="26" t="s">
        <v>133</v>
      </c>
      <c r="P1" s="26" t="s">
        <v>140</v>
      </c>
      <c r="Q1" s="26" t="s">
        <v>37</v>
      </c>
      <c r="R1" s="26" t="s">
        <v>38</v>
      </c>
      <c r="S1" s="26" t="s">
        <v>57</v>
      </c>
      <c r="T1" s="26" t="s">
        <v>56</v>
      </c>
      <c r="U1" s="26" t="s">
        <v>42</v>
      </c>
      <c r="V1" s="26" t="s">
        <v>43</v>
      </c>
      <c r="W1" s="26" t="s">
        <v>65</v>
      </c>
      <c r="X1" s="26" t="s">
        <v>31</v>
      </c>
      <c r="Y1" s="26" t="s">
        <v>60</v>
      </c>
      <c r="Z1" s="26" t="s">
        <v>61</v>
      </c>
      <c r="AA1" s="26" t="s">
        <v>62</v>
      </c>
      <c r="AB1" s="26" t="s">
        <v>63</v>
      </c>
      <c r="AD1" s="26" t="s">
        <v>141</v>
      </c>
      <c r="AE1" s="26" t="s">
        <v>139</v>
      </c>
    </row>
    <row r="2" spans="1:59" s="22" customFormat="1" x14ac:dyDescent="0.3">
      <c r="A2" s="22">
        <f>IF(Roster!C2="","-",Roster!C2)</f>
        <v>0</v>
      </c>
      <c r="B2" s="22" t="str">
        <f>IF(A2="-","-",VLOOKUP(A2,Roster!$C$2:$D$27,2,FALSE))</f>
        <v>樂天陳禹勳</v>
      </c>
      <c r="C2" s="22" t="str">
        <f>IF(COUNTIF('GuestAttackPlay-by-Play'!$E:$E,B2)&gt;=1,"1","0")</f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>
        <v>0</v>
      </c>
      <c r="J2" s="27">
        <v>0</v>
      </c>
      <c r="K2" s="27">
        <v>0</v>
      </c>
      <c r="L2" s="27">
        <v>0</v>
      </c>
      <c r="M2" s="24">
        <f t="shared" ref="M2:M27" si="0">INT(AD2/3)+MOD(AD2,3)/10</f>
        <v>1</v>
      </c>
      <c r="N2" s="24">
        <f xml:space="preserve"> IF(M2=0,"∞",AB2* 9 /(INT(M2)+ MOD(M2 * 10,10)/ 3))</f>
        <v>0</v>
      </c>
      <c r="O2" s="29">
        <f t="shared" ref="O2:O27" si="1">IF(M2=0,"∞",((Q2+S2+T2)/(INT(M2)+ MOD(M2 * 10,10)/ 3)))</f>
        <v>1</v>
      </c>
      <c r="P2" s="22">
        <f>COUNTIFS('GuestAttackPlay-by-Play'!$E:$E,B2,'GuestAttackPlay-by-Play'!$AM:$AM,"1")</f>
        <v>5</v>
      </c>
      <c r="Q2" s="22">
        <f>COUNTIFS('GuestAttackPlay-by-Play'!$E:$E,B2,'GuestAttackPlay-by-Play'!$R:$R,"*壘安")+R2</f>
        <v>1</v>
      </c>
      <c r="R2" s="22">
        <f>COUNTIFS('GuestAttackPlay-by-Play'!$E:$E,B2,'GuestAttackPlay-by-Play'!$R:$R,"全壘打")</f>
        <v>0</v>
      </c>
      <c r="S2" s="22">
        <f>COUNTIFS('GuestAttackPlay-by-Play'!$E:$E,B2,'GuestAttackPlay-by-Play'!$R:$R,"四壞")</f>
        <v>0</v>
      </c>
      <c r="T2" s="22">
        <f>COUNTIFS('GuestAttackPlay-by-Play'!$E:$E,B2,'GuestAttackPlay-by-Play'!$R:$R,"敬遠")</f>
        <v>0</v>
      </c>
      <c r="U2" s="22">
        <f>COUNTIFS('GuestAttackPlay-by-Play'!$E:$E,B2,'GuestAttackPlay-by-Play'!$R:$R,"觸身球")</f>
        <v>0</v>
      </c>
      <c r="V2" s="22">
        <f>COUNTIFS('GuestAttackPlay-by-Play'!$E:$E,B2,'GuestAttackPlay-by-Play'!$R:$R,"*三振")</f>
        <v>1</v>
      </c>
      <c r="W2" s="22">
        <f>COUNTIFS('GuestAttackPlay-by-Play'!$E:$E,B2,'GuestAttackPlay-by-Play'!$R:$R,"犧牲觸擊")</f>
        <v>1</v>
      </c>
      <c r="X2" s="22">
        <f>COUNTIFS('GuestAttackPlay-by-Play'!$E:$E,B2,'GuestAttackPlay-by-Play'!$R:$R,"高飛犧牲")</f>
        <v>0</v>
      </c>
      <c r="Y2" s="22">
        <f>COUNTIFS('GuestAttackPlay-by-Play'!$E:$E,B2,'GuestAttackPlay-by-Play'!$R:$R,"暴投")</f>
        <v>0</v>
      </c>
      <c r="Z2" s="22">
        <f>COUNTIFS('GuestAttackPlay-by-Play'!$E:$E,B2,'GuestAttackPlay-by-Play'!$R:$R,"投手犯規")</f>
        <v>0</v>
      </c>
      <c r="AA2" s="22">
        <f>SUMIF('GuestAttackPlay-by-Play'!$E:$E,B2,'GuestAttackPlay-by-Play'!$AF:$AF)+SUMIF('GuestAttackPlay-by-Play'!$E:$E,B2,'GuestAttackPlay-by-Play'!$AG:$AG)</f>
        <v>0</v>
      </c>
      <c r="AB2" s="22">
        <f>SUMIF('GuestAttackPlay-by-Play'!$E:$E,B2,'GuestAttackPlay-by-Play'!$AG:$AG)</f>
        <v>0</v>
      </c>
      <c r="AD2" s="32">
        <f>COUNTIFS('GuestAttackPlay-by-Play'!$E:$E,B2,'GuestAttackPlay-by-Play'!$AK:$AK,"1")</f>
        <v>3</v>
      </c>
      <c r="BG2" s="28">
        <v>0.35928240740740741</v>
      </c>
    </row>
    <row r="3" spans="1:59" s="22" customFormat="1" x14ac:dyDescent="0.3">
      <c r="A3" s="38">
        <f>IF(Roster!C3="","-",Roster!C3)</f>
        <v>4</v>
      </c>
      <c r="B3" s="38" t="str">
        <f>IF(A3="-","-",VLOOKUP(A3,Roster!$C$2:$D$27,2,FALSE))</f>
        <v>樂天黃偉晟</v>
      </c>
      <c r="C3" s="22" t="str">
        <f>IF(COUNTIF('GuestAttackPlay-by-Play'!$E:$E,B3)&gt;=1,"1","0")</f>
        <v>1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4">
        <f t="shared" si="0"/>
        <v>0.1</v>
      </c>
      <c r="N3" s="24">
        <f t="shared" ref="N3:N27" si="2" xml:space="preserve"> IF(M3=0,"∞",AB3* 9 /(INT(M3)+ MOD(M3 * 10,10)/ 3))</f>
        <v>0</v>
      </c>
      <c r="O3" s="29">
        <f t="shared" si="1"/>
        <v>0</v>
      </c>
      <c r="P3" s="22">
        <f>COUNTIFS('GuestAttackPlay-by-Play'!$E:$E,B3,'GuestAttackPlay-by-Play'!$AM:$AM,"1")</f>
        <v>1</v>
      </c>
      <c r="Q3" s="22">
        <f>COUNTIFS('GuestAttackPlay-by-Play'!$E:$E,B3,'GuestAttackPlay-by-Play'!$R:$R,"*壘安")+R3</f>
        <v>0</v>
      </c>
      <c r="R3" s="22">
        <f>COUNTIFS('GuestAttackPlay-by-Play'!$E:$E,B3,'GuestAttackPlay-by-Play'!$R:$R,"全壘打")</f>
        <v>0</v>
      </c>
      <c r="S3" s="22">
        <f>COUNTIFS('GuestAttackPlay-by-Play'!$E:$E,B3,'GuestAttackPlay-by-Play'!$R:$R,"四壞")</f>
        <v>0</v>
      </c>
      <c r="T3" s="22">
        <f>COUNTIFS('GuestAttackPlay-by-Play'!$E:$E,B3,'GuestAttackPlay-by-Play'!$R:$R,"敬遠")</f>
        <v>0</v>
      </c>
      <c r="U3" s="22">
        <f>COUNTIFS('GuestAttackPlay-by-Play'!$E:$E,B3,'GuestAttackPlay-by-Play'!$R:$R,"觸身球")</f>
        <v>0</v>
      </c>
      <c r="V3" s="22">
        <f>COUNTIFS('GuestAttackPlay-by-Play'!$E:$E,B3,'GuestAttackPlay-by-Play'!$R:$R,"*三振")</f>
        <v>0</v>
      </c>
      <c r="W3" s="22">
        <f>COUNTIFS('GuestAttackPlay-by-Play'!$E:$E,B3,'GuestAttackPlay-by-Play'!$R:$R,"犧牲觸擊")</f>
        <v>0</v>
      </c>
      <c r="X3" s="22">
        <f>COUNTIFS('GuestAttackPlay-by-Play'!$E:$E,B3,'GuestAttackPlay-by-Play'!$R:$R,"高飛犧牲")</f>
        <v>0</v>
      </c>
      <c r="Y3" s="22">
        <f>COUNTIFS('GuestAttackPlay-by-Play'!$E:$E,B3,'GuestAttackPlay-by-Play'!$R:$R,"暴投")</f>
        <v>0</v>
      </c>
      <c r="Z3" s="22">
        <f>COUNTIFS('GuestAttackPlay-by-Play'!$E:$E,B3,'GuestAttackPlay-by-Play'!$R:$R,"投手犯規")</f>
        <v>0</v>
      </c>
      <c r="AA3" s="22">
        <f>SUMIF('GuestAttackPlay-by-Play'!$E:$E,B3,'GuestAttackPlay-by-Play'!$AF:$AF)+SUMIF('GuestAttackPlay-by-Play'!$E:$E,B3,'GuestAttackPlay-by-Play'!$AG:$AG)</f>
        <v>0</v>
      </c>
      <c r="AB3" s="22">
        <f>SUMIF('GuestAttackPlay-by-Play'!$E:$E,B3,'GuestAttackPlay-by-Play'!$AG:$AG)</f>
        <v>0</v>
      </c>
      <c r="AD3" s="32">
        <f>COUNTIFS('GuestAttackPlay-by-Play'!$E:$E,B3,'GuestAttackPlay-by-Play'!$AK:$AK,"1")</f>
        <v>1</v>
      </c>
    </row>
    <row r="4" spans="1:59" s="29" customFormat="1" x14ac:dyDescent="0.3">
      <c r="A4" s="38">
        <f>IF(Roster!C4="","-",Roster!C4)</f>
        <v>16</v>
      </c>
      <c r="B4" s="38" t="str">
        <f>IF(A4="-","-",VLOOKUP(A4,Roster!$C$2:$D$27,2,FALSE))</f>
        <v>樂天張喜凱</v>
      </c>
      <c r="C4" s="22" t="str">
        <f>IF(COUNTIF('GuestAttackPlay-by-Play'!$E:$E,B4)&gt;=1,"1","0")</f>
        <v>1</v>
      </c>
      <c r="D4" s="30">
        <v>0</v>
      </c>
      <c r="E4" s="30">
        <v>0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24">
        <f t="shared" si="0"/>
        <v>1.2</v>
      </c>
      <c r="N4" s="24">
        <f t="shared" si="2"/>
        <v>0</v>
      </c>
      <c r="O4" s="29">
        <f t="shared" si="1"/>
        <v>1.8000000000000003</v>
      </c>
      <c r="P4" s="22">
        <f>COUNTIFS('GuestAttackPlay-by-Play'!$E:$E,B4,'GuestAttackPlay-by-Play'!$AM:$AM,"1")</f>
        <v>9</v>
      </c>
      <c r="Q4" s="22">
        <f>COUNTIFS('GuestAttackPlay-by-Play'!$E:$E,B4,'GuestAttackPlay-by-Play'!$R:$R,"*壘安")+R4</f>
        <v>2</v>
      </c>
      <c r="R4" s="22">
        <f>COUNTIFS('GuestAttackPlay-by-Play'!$E:$E,B4,'GuestAttackPlay-by-Play'!$R:$R,"全壘打")</f>
        <v>0</v>
      </c>
      <c r="S4" s="22">
        <f>COUNTIFS('GuestAttackPlay-by-Play'!$E:$E,B4,'GuestAttackPlay-by-Play'!$R:$R,"四壞")</f>
        <v>1</v>
      </c>
      <c r="T4" s="22">
        <f>COUNTIFS('GuestAttackPlay-by-Play'!$E:$E,B4,'GuestAttackPlay-by-Play'!$R:$R,"敬遠")</f>
        <v>0</v>
      </c>
      <c r="U4" s="22">
        <f>COUNTIFS('GuestAttackPlay-by-Play'!$E:$E,B4,'GuestAttackPlay-by-Play'!$R:$R,"觸身球")</f>
        <v>1</v>
      </c>
      <c r="V4" s="22">
        <f>COUNTIFS('GuestAttackPlay-by-Play'!$E:$E,B4,'GuestAttackPlay-by-Play'!$R:$R,"*三振")</f>
        <v>0</v>
      </c>
      <c r="W4" s="22">
        <f>COUNTIFS('GuestAttackPlay-by-Play'!$E:$E,B4,'GuestAttackPlay-by-Play'!$R:$R,"犧牲觸擊")</f>
        <v>0</v>
      </c>
      <c r="X4" s="22">
        <f>COUNTIFS('GuestAttackPlay-by-Play'!$E:$E,B4,'GuestAttackPlay-by-Play'!$R:$R,"高飛犧牲")</f>
        <v>0</v>
      </c>
      <c r="Y4" s="22">
        <f>COUNTIFS('GuestAttackPlay-by-Play'!$E:$E,B4,'GuestAttackPlay-by-Play'!$R:$R,"暴投")</f>
        <v>0</v>
      </c>
      <c r="Z4" s="22">
        <f>COUNTIFS('GuestAttackPlay-by-Play'!$E:$E,B4,'GuestAttackPlay-by-Play'!$R:$R,"投手犯規")</f>
        <v>0</v>
      </c>
      <c r="AA4" s="22">
        <f>SUMIF('GuestAttackPlay-by-Play'!$E:$E,B4,'GuestAttackPlay-by-Play'!$AF:$AF)+SUMIF('GuestAttackPlay-by-Play'!$E:$E,B4,'GuestAttackPlay-by-Play'!$AG:$AG)</f>
        <v>0</v>
      </c>
      <c r="AB4" s="22">
        <f>SUMIF('GuestAttackPlay-by-Play'!$E:$E,B4,'GuestAttackPlay-by-Play'!$AG:$AG)</f>
        <v>0</v>
      </c>
      <c r="AD4" s="32">
        <f>COUNTIFS('GuestAttackPlay-by-Play'!$E:$E,B4,'GuestAttackPlay-by-Play'!$AK:$AK,"1")</f>
        <v>5</v>
      </c>
    </row>
    <row r="5" spans="1:59" s="22" customFormat="1" x14ac:dyDescent="0.3">
      <c r="A5" s="38">
        <f>IF(Roster!C5="","-",Roster!C5)</f>
        <v>17</v>
      </c>
      <c r="B5" s="38" t="str">
        <f>IF(A5="-","-",VLOOKUP(A5,Roster!$C$2:$D$27,2,FALSE))</f>
        <v>樂天游朝惟</v>
      </c>
      <c r="C5" s="22" t="str">
        <f>IF(COUNTIF('GuestAttackPlay-by-Play'!$E:$E,B5)&gt;=1,"1","0")</f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4">
        <f t="shared" si="0"/>
        <v>0</v>
      </c>
      <c r="N5" s="24" t="str">
        <f t="shared" si="2"/>
        <v>∞</v>
      </c>
      <c r="O5" s="29" t="str">
        <f t="shared" si="1"/>
        <v>∞</v>
      </c>
      <c r="P5" s="22">
        <f>COUNTIFS('GuestAttackPlay-by-Play'!$E:$E,B5,'GuestAttackPlay-by-Play'!$AM:$AM,"1")</f>
        <v>0</v>
      </c>
      <c r="Q5" s="22">
        <f>COUNTIFS('GuestAttackPlay-by-Play'!$E:$E,B5,'GuestAttackPlay-by-Play'!$R:$R,"*壘安")+R5</f>
        <v>0</v>
      </c>
      <c r="R5" s="22">
        <f>COUNTIFS('GuestAttackPlay-by-Play'!$E:$E,B5,'GuestAttackPlay-by-Play'!$R:$R,"全壘打")</f>
        <v>0</v>
      </c>
      <c r="S5" s="22">
        <f>COUNTIFS('GuestAttackPlay-by-Play'!$E:$E,B5,'GuestAttackPlay-by-Play'!$R:$R,"四壞")</f>
        <v>0</v>
      </c>
      <c r="T5" s="22">
        <f>COUNTIFS('GuestAttackPlay-by-Play'!$E:$E,B5,'GuestAttackPlay-by-Play'!$R:$R,"敬遠")</f>
        <v>0</v>
      </c>
      <c r="U5" s="22">
        <f>COUNTIFS('GuestAttackPlay-by-Play'!$E:$E,B5,'GuestAttackPlay-by-Play'!$R:$R,"觸身球")</f>
        <v>0</v>
      </c>
      <c r="V5" s="22">
        <f>COUNTIFS('GuestAttackPlay-by-Play'!$E:$E,B5,'GuestAttackPlay-by-Play'!$R:$R,"*三振")</f>
        <v>0</v>
      </c>
      <c r="W5" s="22">
        <f>COUNTIFS('GuestAttackPlay-by-Play'!$E:$E,B5,'GuestAttackPlay-by-Play'!$R:$R,"犧牲觸擊")</f>
        <v>0</v>
      </c>
      <c r="X5" s="22">
        <f>COUNTIFS('GuestAttackPlay-by-Play'!$E:$E,B5,'GuestAttackPlay-by-Play'!$R:$R,"高飛犧牲")</f>
        <v>0</v>
      </c>
      <c r="Y5" s="22">
        <f>COUNTIFS('GuestAttackPlay-by-Play'!$E:$E,B5,'GuestAttackPlay-by-Play'!$R:$R,"暴投")</f>
        <v>0</v>
      </c>
      <c r="Z5" s="22">
        <f>COUNTIFS('GuestAttackPlay-by-Play'!$E:$E,B5,'GuestAttackPlay-by-Play'!$R:$R,"投手犯規")</f>
        <v>0</v>
      </c>
      <c r="AA5" s="22">
        <f>SUMIF('GuestAttackPlay-by-Play'!$E:$E,B5,'GuestAttackPlay-by-Play'!$AF:$AF)+SUMIF('GuestAttackPlay-by-Play'!$E:$E,B5,'GuestAttackPlay-by-Play'!$AG:$AG)</f>
        <v>0</v>
      </c>
      <c r="AB5" s="22">
        <f>SUMIF('GuestAttackPlay-by-Play'!$E:$E,B5,'GuestAttackPlay-by-Play'!$AG:$AG)</f>
        <v>0</v>
      </c>
      <c r="AD5" s="32">
        <f>COUNTIFS('GuestAttackPlay-by-Play'!$E:$E,B5,'GuestAttackPlay-by-Play'!$AK:$AK,"1")</f>
        <v>0</v>
      </c>
    </row>
    <row r="6" spans="1:59" s="29" customFormat="1" x14ac:dyDescent="0.3">
      <c r="A6" s="38">
        <f>IF(Roster!C6="","-",Roster!C6)</f>
        <v>26</v>
      </c>
      <c r="B6" s="38" t="str">
        <f>IF(A6="-","-",VLOOKUP(A6,Roster!$C$2:$D$27,2,FALSE))</f>
        <v>樂天葉家淇</v>
      </c>
      <c r="C6" s="22" t="str">
        <f>IF(COUNTIF('GuestAttackPlay-by-Play'!$E:$E,B6)&gt;=1,"1","0")</f>
        <v>1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24">
        <f t="shared" si="0"/>
        <v>1</v>
      </c>
      <c r="N6" s="24">
        <f t="shared" si="2"/>
        <v>0</v>
      </c>
      <c r="O6" s="29">
        <f t="shared" si="1"/>
        <v>5</v>
      </c>
      <c r="P6" s="22">
        <f>COUNTIFS('GuestAttackPlay-by-Play'!$E:$E,B6,'GuestAttackPlay-by-Play'!$AM:$AM,"1")</f>
        <v>8</v>
      </c>
      <c r="Q6" s="22">
        <f>COUNTIFS('GuestAttackPlay-by-Play'!$E:$E,B6,'GuestAttackPlay-by-Play'!$R:$R,"*壘安")+R6</f>
        <v>4</v>
      </c>
      <c r="R6" s="22">
        <f>COUNTIFS('GuestAttackPlay-by-Play'!$E:$E,B6,'GuestAttackPlay-by-Play'!$R:$R,"全壘打")</f>
        <v>0</v>
      </c>
      <c r="S6" s="22">
        <f>COUNTIFS('GuestAttackPlay-by-Play'!$E:$E,B6,'GuestAttackPlay-by-Play'!$R:$R,"四壞")</f>
        <v>1</v>
      </c>
      <c r="T6" s="22">
        <f>COUNTIFS('GuestAttackPlay-by-Play'!$E:$E,B6,'GuestAttackPlay-by-Play'!$R:$R,"敬遠")</f>
        <v>0</v>
      </c>
      <c r="U6" s="22">
        <f>COUNTIFS('GuestAttackPlay-by-Play'!$E:$E,B6,'GuestAttackPlay-by-Play'!$R:$R,"觸身球")</f>
        <v>0</v>
      </c>
      <c r="V6" s="22">
        <f>COUNTIFS('GuestAttackPlay-by-Play'!$E:$E,B6,'GuestAttackPlay-by-Play'!$R:$R,"*三振")</f>
        <v>0</v>
      </c>
      <c r="W6" s="22">
        <f>COUNTIFS('GuestAttackPlay-by-Play'!$E:$E,B6,'GuestAttackPlay-by-Play'!$R:$R,"犧牲觸擊")</f>
        <v>1</v>
      </c>
      <c r="X6" s="22">
        <f>COUNTIFS('GuestAttackPlay-by-Play'!$E:$E,B6,'GuestAttackPlay-by-Play'!$R:$R,"高飛犧牲")</f>
        <v>0</v>
      </c>
      <c r="Y6" s="22">
        <f>COUNTIFS('GuestAttackPlay-by-Play'!$E:$E,B6,'GuestAttackPlay-by-Play'!$R:$R,"暴投")</f>
        <v>1</v>
      </c>
      <c r="Z6" s="22">
        <f>COUNTIFS('GuestAttackPlay-by-Play'!$E:$E,B6,'GuestAttackPlay-by-Play'!$R:$R,"投手犯規")</f>
        <v>0</v>
      </c>
      <c r="AA6" s="22">
        <f>SUMIF('GuestAttackPlay-by-Play'!$E:$E,B6,'GuestAttackPlay-by-Play'!$AF:$AF)+SUMIF('GuestAttackPlay-by-Play'!$E:$E,B6,'GuestAttackPlay-by-Play'!$AG:$AG)</f>
        <v>0</v>
      </c>
      <c r="AB6" s="22">
        <f>SUMIF('GuestAttackPlay-by-Play'!$E:$E,B6,'GuestAttackPlay-by-Play'!$AG:$AG)</f>
        <v>0</v>
      </c>
      <c r="AD6" s="32">
        <f>COUNTIFS('GuestAttackPlay-by-Play'!$E:$E,B6,'GuestAttackPlay-by-Play'!$AK:$AK,"1")</f>
        <v>3</v>
      </c>
    </row>
    <row r="7" spans="1:59" s="22" customFormat="1" x14ac:dyDescent="0.3">
      <c r="A7" s="38">
        <f>IF(Roster!C7="","-",Roster!C7)</f>
        <v>32</v>
      </c>
      <c r="B7" s="38" t="str">
        <f>IF(A7="-","-",VLOOKUP(A7,Roster!$C$2:$D$27,2,FALSE))</f>
        <v>樂天王溢正</v>
      </c>
      <c r="C7" s="22" t="str">
        <f>IF(COUNTIF('GuestAttackPlay-by-Play'!$E:$E,B7)&gt;=1,"1","0")</f>
        <v>1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4">
        <f t="shared" si="0"/>
        <v>1</v>
      </c>
      <c r="N7" s="24">
        <f t="shared" si="2"/>
        <v>0</v>
      </c>
      <c r="O7" s="29">
        <f t="shared" si="1"/>
        <v>2</v>
      </c>
      <c r="P7" s="22">
        <f>COUNTIFS('GuestAttackPlay-by-Play'!$E:$E,B7,'GuestAttackPlay-by-Play'!$AM:$AM,"1")</f>
        <v>5</v>
      </c>
      <c r="Q7" s="22">
        <f>COUNTIFS('GuestAttackPlay-by-Play'!$E:$E,B7,'GuestAttackPlay-by-Play'!$R:$R,"*壘安")+R7</f>
        <v>2</v>
      </c>
      <c r="R7" s="22">
        <f>COUNTIFS('GuestAttackPlay-by-Play'!$E:$E,B7,'GuestAttackPlay-by-Play'!$R:$R,"全壘打")</f>
        <v>0</v>
      </c>
      <c r="S7" s="22">
        <f>COUNTIFS('GuestAttackPlay-by-Play'!$E:$E,B7,'GuestAttackPlay-by-Play'!$R:$R,"四壞")</f>
        <v>0</v>
      </c>
      <c r="T7" s="22">
        <f>COUNTIFS('GuestAttackPlay-by-Play'!$E:$E,B7,'GuestAttackPlay-by-Play'!$R:$R,"敬遠")</f>
        <v>0</v>
      </c>
      <c r="U7" s="22">
        <f>COUNTIFS('GuestAttackPlay-by-Play'!$E:$E,B7,'GuestAttackPlay-by-Play'!$R:$R,"觸身球")</f>
        <v>0</v>
      </c>
      <c r="V7" s="22">
        <f>COUNTIFS('GuestAttackPlay-by-Play'!$E:$E,B7,'GuestAttackPlay-by-Play'!$R:$R,"*三振")</f>
        <v>1</v>
      </c>
      <c r="W7" s="22">
        <f>COUNTIFS('GuestAttackPlay-by-Play'!$E:$E,B7,'GuestAttackPlay-by-Play'!$R:$R,"犧牲觸擊")</f>
        <v>1</v>
      </c>
      <c r="X7" s="22">
        <f>COUNTIFS('GuestAttackPlay-by-Play'!$E:$E,B7,'GuestAttackPlay-by-Play'!$R:$R,"高飛犧牲")</f>
        <v>0</v>
      </c>
      <c r="Y7" s="22">
        <f>COUNTIFS('GuestAttackPlay-by-Play'!$E:$E,B7,'GuestAttackPlay-by-Play'!$R:$R,"暴投")</f>
        <v>0</v>
      </c>
      <c r="Z7" s="22">
        <f>COUNTIFS('GuestAttackPlay-by-Play'!$E:$E,B7,'GuestAttackPlay-by-Play'!$R:$R,"投手犯規")</f>
        <v>0</v>
      </c>
      <c r="AA7" s="22">
        <f>SUMIF('GuestAttackPlay-by-Play'!$E:$E,B7,'GuestAttackPlay-by-Play'!$AF:$AF)+SUMIF('GuestAttackPlay-by-Play'!$E:$E,B7,'GuestAttackPlay-by-Play'!$AG:$AG)</f>
        <v>0</v>
      </c>
      <c r="AB7" s="22">
        <f>SUMIF('GuestAttackPlay-by-Play'!$E:$E,B7,'GuestAttackPlay-by-Play'!$AG:$AG)</f>
        <v>0</v>
      </c>
      <c r="AD7" s="32">
        <f>COUNTIFS('GuestAttackPlay-by-Play'!$E:$E,B7,'GuestAttackPlay-by-Play'!$AK:$AK,"1")</f>
        <v>3</v>
      </c>
    </row>
    <row r="8" spans="1:59" s="29" customFormat="1" x14ac:dyDescent="0.3">
      <c r="A8" s="38">
        <f>IF(Roster!C8="","-",Roster!C8)</f>
        <v>48</v>
      </c>
      <c r="B8" s="38" t="str">
        <f>IF(A8="-","-",VLOOKUP(A8,Roster!$C$2:$D$27,2,FALSE))</f>
        <v>樂天賴鴻誠</v>
      </c>
      <c r="C8" s="22" t="str">
        <f>IF(COUNTIF('GuestAttackPlay-by-Play'!$E:$E,B8)&gt;=1,"1","0")</f>
        <v>1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24">
        <f t="shared" si="0"/>
        <v>0.2</v>
      </c>
      <c r="N8" s="24">
        <f t="shared" si="2"/>
        <v>0</v>
      </c>
      <c r="O8" s="29">
        <f t="shared" si="1"/>
        <v>3</v>
      </c>
      <c r="P8" s="22">
        <f>COUNTIFS('GuestAttackPlay-by-Play'!$E:$E,B8,'GuestAttackPlay-by-Play'!$AM:$AM,"1")</f>
        <v>4</v>
      </c>
      <c r="Q8" s="22">
        <f>COUNTIFS('GuestAttackPlay-by-Play'!$E:$E,B8,'GuestAttackPlay-by-Play'!$R:$R,"*壘安")+R8</f>
        <v>1</v>
      </c>
      <c r="R8" s="22">
        <f>COUNTIFS('GuestAttackPlay-by-Play'!$E:$E,B8,'GuestAttackPlay-by-Play'!$R:$R,"全壘打")</f>
        <v>0</v>
      </c>
      <c r="S8" s="22">
        <f>COUNTIFS('GuestAttackPlay-by-Play'!$E:$E,B8,'GuestAttackPlay-by-Play'!$R:$R,"四壞")</f>
        <v>1</v>
      </c>
      <c r="T8" s="22">
        <f>COUNTIFS('GuestAttackPlay-by-Play'!$E:$E,B8,'GuestAttackPlay-by-Play'!$R:$R,"敬遠")</f>
        <v>0</v>
      </c>
      <c r="U8" s="22">
        <f>COUNTIFS('GuestAttackPlay-by-Play'!$E:$E,B8,'GuestAttackPlay-by-Play'!$R:$R,"觸身球")</f>
        <v>0</v>
      </c>
      <c r="V8" s="22">
        <f>COUNTIFS('GuestAttackPlay-by-Play'!$E:$E,B8,'GuestAttackPlay-by-Play'!$R:$R,"*三振")</f>
        <v>1</v>
      </c>
      <c r="W8" s="22">
        <f>COUNTIFS('GuestAttackPlay-by-Play'!$E:$E,B8,'GuestAttackPlay-by-Play'!$R:$R,"犧牲觸擊")</f>
        <v>0</v>
      </c>
      <c r="X8" s="22">
        <f>COUNTIFS('GuestAttackPlay-by-Play'!$E:$E,B8,'GuestAttackPlay-by-Play'!$R:$R,"高飛犧牲")</f>
        <v>0</v>
      </c>
      <c r="Y8" s="22">
        <f>COUNTIFS('GuestAttackPlay-by-Play'!$E:$E,B8,'GuestAttackPlay-by-Play'!$R:$R,"暴投")</f>
        <v>0</v>
      </c>
      <c r="Z8" s="22">
        <f>COUNTIFS('GuestAttackPlay-by-Play'!$E:$E,B8,'GuestAttackPlay-by-Play'!$R:$R,"投手犯規")</f>
        <v>0</v>
      </c>
      <c r="AA8" s="22">
        <f>SUMIF('GuestAttackPlay-by-Play'!$E:$E,B8,'GuestAttackPlay-by-Play'!$AF:$AF)+SUMIF('GuestAttackPlay-by-Play'!$E:$E,B8,'GuestAttackPlay-by-Play'!$AG:$AG)</f>
        <v>0</v>
      </c>
      <c r="AB8" s="22">
        <f>SUMIF('GuestAttackPlay-by-Play'!$E:$E,B8,'GuestAttackPlay-by-Play'!$AG:$AG)</f>
        <v>0</v>
      </c>
      <c r="AD8" s="32">
        <f>COUNTIFS('GuestAttackPlay-by-Play'!$E:$E,B8,'GuestAttackPlay-by-Play'!$AK:$AK,"1")</f>
        <v>2</v>
      </c>
    </row>
    <row r="9" spans="1:59" s="22" customFormat="1" x14ac:dyDescent="0.3">
      <c r="A9" s="38">
        <f>IF(Roster!C9="","-",Roster!C9)</f>
        <v>60</v>
      </c>
      <c r="B9" s="38" t="str">
        <f>IF(A9="-","-",VLOOKUP(A9,Roster!$C$2:$D$27,2,FALSE))</f>
        <v>樂天洪聖欽</v>
      </c>
      <c r="C9" s="22" t="str">
        <f>IF(COUNTIF('GuestAttackPlay-by-Play'!$E:$E,B9)&gt;=1,"1","0")</f>
        <v>0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>
        <v>0</v>
      </c>
      <c r="J9" s="27">
        <v>0</v>
      </c>
      <c r="K9" s="27">
        <v>0</v>
      </c>
      <c r="L9" s="27">
        <v>0</v>
      </c>
      <c r="M9" s="24">
        <f t="shared" si="0"/>
        <v>0</v>
      </c>
      <c r="N9" s="24" t="str">
        <f t="shared" si="2"/>
        <v>∞</v>
      </c>
      <c r="O9" s="29" t="str">
        <f t="shared" si="1"/>
        <v>∞</v>
      </c>
      <c r="P9" s="22">
        <f>COUNTIFS('GuestAttackPlay-by-Play'!$E:$E,B9,'GuestAttackPlay-by-Play'!$AM:$AM,"1")</f>
        <v>0</v>
      </c>
      <c r="Q9" s="22">
        <f>COUNTIFS('GuestAttackPlay-by-Play'!$E:$E,B9,'GuestAttackPlay-by-Play'!$R:$R,"*壘安")+R9</f>
        <v>0</v>
      </c>
      <c r="R9" s="22">
        <f>COUNTIFS('GuestAttackPlay-by-Play'!$E:$E,B9,'GuestAttackPlay-by-Play'!$R:$R,"全壘打")</f>
        <v>0</v>
      </c>
      <c r="S9" s="22">
        <f>COUNTIFS('GuestAttackPlay-by-Play'!$E:$E,B9,'GuestAttackPlay-by-Play'!$R:$R,"四壞")</f>
        <v>0</v>
      </c>
      <c r="T9" s="22">
        <f>COUNTIFS('GuestAttackPlay-by-Play'!$E:$E,B9,'GuestAttackPlay-by-Play'!$R:$R,"敬遠")</f>
        <v>0</v>
      </c>
      <c r="U9" s="22">
        <f>COUNTIFS('GuestAttackPlay-by-Play'!$E:$E,B9,'GuestAttackPlay-by-Play'!$R:$R,"觸身球")</f>
        <v>0</v>
      </c>
      <c r="V9" s="22">
        <f>COUNTIFS('GuestAttackPlay-by-Play'!$E:$E,B9,'GuestAttackPlay-by-Play'!$R:$R,"*三振")</f>
        <v>0</v>
      </c>
      <c r="W9" s="22">
        <f>COUNTIFS('GuestAttackPlay-by-Play'!$E:$E,B9,'GuestAttackPlay-by-Play'!$R:$R,"犧牲觸擊")</f>
        <v>0</v>
      </c>
      <c r="X9" s="22">
        <f>COUNTIFS('GuestAttackPlay-by-Play'!$E:$E,B9,'GuestAttackPlay-by-Play'!$R:$R,"高飛犧牲")</f>
        <v>0</v>
      </c>
      <c r="Y9" s="22">
        <f>COUNTIFS('GuestAttackPlay-by-Play'!$E:$E,B9,'GuestAttackPlay-by-Play'!$R:$R,"暴投")</f>
        <v>0</v>
      </c>
      <c r="Z9" s="22">
        <f>COUNTIFS('GuestAttackPlay-by-Play'!$E:$E,B9,'GuestAttackPlay-by-Play'!$R:$R,"投手犯規")</f>
        <v>0</v>
      </c>
      <c r="AA9" s="22">
        <f>SUMIF('GuestAttackPlay-by-Play'!$E:$E,B9,'GuestAttackPlay-by-Play'!$AF:$AF)+SUMIF('GuestAttackPlay-by-Play'!$E:$E,B9,'GuestAttackPlay-by-Play'!$AG:$AG)</f>
        <v>0</v>
      </c>
      <c r="AB9" s="22">
        <f>SUMIF('GuestAttackPlay-by-Play'!$E:$E,B9,'GuestAttackPlay-by-Play'!$AG:$AG)</f>
        <v>0</v>
      </c>
      <c r="AD9" s="32">
        <f>COUNTIFS('GuestAttackPlay-by-Play'!$E:$E,B9,'GuestAttackPlay-by-Play'!$AK:$AK,"1")</f>
        <v>0</v>
      </c>
    </row>
    <row r="10" spans="1:59" s="29" customFormat="1" x14ac:dyDescent="0.3">
      <c r="A10" s="38">
        <f>IF(Roster!C10="","-",Roster!C10)</f>
        <v>69</v>
      </c>
      <c r="B10" s="38" t="str">
        <f>IF(A10="-","-",VLOOKUP(A10,Roster!$C$2:$D$27,2,FALSE))</f>
        <v>樂天黃子鵬</v>
      </c>
      <c r="C10" s="22" t="str">
        <f>IF(COUNTIF('GuestAttackPlay-by-Play'!$E:$E,B10)&gt;=1,"1","0")</f>
        <v>0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24">
        <f t="shared" si="0"/>
        <v>0</v>
      </c>
      <c r="N10" s="24" t="str">
        <f t="shared" si="2"/>
        <v>∞</v>
      </c>
      <c r="O10" s="29" t="str">
        <f t="shared" si="1"/>
        <v>∞</v>
      </c>
      <c r="P10" s="22">
        <f>COUNTIFS('GuestAttackPlay-by-Play'!$E:$E,B10,'GuestAttackPlay-by-Play'!$AM:$AM,"1")</f>
        <v>0</v>
      </c>
      <c r="Q10" s="22">
        <f>COUNTIFS('GuestAttackPlay-by-Play'!$E:$E,B10,'GuestAttackPlay-by-Play'!$R:$R,"*壘安")+R10</f>
        <v>0</v>
      </c>
      <c r="R10" s="22">
        <f>COUNTIFS('GuestAttackPlay-by-Play'!$E:$E,B10,'GuestAttackPlay-by-Play'!$R:$R,"全壘打")</f>
        <v>0</v>
      </c>
      <c r="S10" s="22">
        <f>COUNTIFS('GuestAttackPlay-by-Play'!$E:$E,B10,'GuestAttackPlay-by-Play'!$R:$R,"四壞")</f>
        <v>0</v>
      </c>
      <c r="T10" s="22">
        <f>COUNTIFS('GuestAttackPlay-by-Play'!$E:$E,B10,'GuestAttackPlay-by-Play'!$R:$R,"敬遠")</f>
        <v>0</v>
      </c>
      <c r="U10" s="22">
        <f>COUNTIFS('GuestAttackPlay-by-Play'!$E:$E,B10,'GuestAttackPlay-by-Play'!$R:$R,"觸身球")</f>
        <v>0</v>
      </c>
      <c r="V10" s="22">
        <f>COUNTIFS('GuestAttackPlay-by-Play'!$E:$E,B10,'GuestAttackPlay-by-Play'!$R:$R,"*三振")</f>
        <v>0</v>
      </c>
      <c r="W10" s="22">
        <f>COUNTIFS('GuestAttackPlay-by-Play'!$E:$E,B10,'GuestAttackPlay-by-Play'!$R:$R,"犧牲觸擊")</f>
        <v>0</v>
      </c>
      <c r="X10" s="22">
        <f>COUNTIFS('GuestAttackPlay-by-Play'!$E:$E,B10,'GuestAttackPlay-by-Play'!$R:$R,"高飛犧牲")</f>
        <v>0</v>
      </c>
      <c r="Y10" s="22">
        <f>COUNTIFS('GuestAttackPlay-by-Play'!$E:$E,B10,'GuestAttackPlay-by-Play'!$R:$R,"暴投")</f>
        <v>0</v>
      </c>
      <c r="Z10" s="22">
        <f>COUNTIFS('GuestAttackPlay-by-Play'!$E:$E,B10,'GuestAttackPlay-by-Play'!$R:$R,"投手犯規")</f>
        <v>0</v>
      </c>
      <c r="AA10" s="22">
        <f>SUMIF('GuestAttackPlay-by-Play'!$E:$E,B10,'GuestAttackPlay-by-Play'!$AF:$AF)+SUMIF('GuestAttackPlay-by-Play'!$E:$E,B10,'GuestAttackPlay-by-Play'!$AG:$AG)</f>
        <v>0</v>
      </c>
      <c r="AB10" s="22">
        <f>SUMIF('GuestAttackPlay-by-Play'!$E:$E,B10,'GuestAttackPlay-by-Play'!$AG:$AG)</f>
        <v>0</v>
      </c>
      <c r="AD10" s="32">
        <f>COUNTIFS('GuestAttackPlay-by-Play'!$E:$E,B10,'GuestAttackPlay-by-Play'!$AK:$AK,"1")</f>
        <v>0</v>
      </c>
    </row>
    <row r="11" spans="1:59" s="22" customFormat="1" x14ac:dyDescent="0.3">
      <c r="A11" s="38">
        <f>IF(Roster!C7="","-",Roster!C7)</f>
        <v>32</v>
      </c>
      <c r="B11" s="38" t="str">
        <f>IF(A11="-","-",VLOOKUP(A11,Roster!$C$2:$D$27,2,FALSE))</f>
        <v>樂天王溢正</v>
      </c>
      <c r="C11" s="22" t="str">
        <f>IF(COUNTIF('GuestAttackPlay-by-Play'!$E:$E,B11)&gt;=1,"1","0")</f>
        <v>1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>
        <v>0</v>
      </c>
      <c r="J11" s="27">
        <v>0</v>
      </c>
      <c r="K11" s="27">
        <v>0</v>
      </c>
      <c r="L11" s="27">
        <v>0</v>
      </c>
      <c r="M11" s="24">
        <f t="shared" si="0"/>
        <v>1</v>
      </c>
      <c r="N11" s="24">
        <f t="shared" si="2"/>
        <v>0</v>
      </c>
      <c r="O11" s="29">
        <f t="shared" si="1"/>
        <v>2</v>
      </c>
      <c r="P11" s="22">
        <f>COUNTIFS('GuestAttackPlay-by-Play'!$E:$E,B11,'GuestAttackPlay-by-Play'!$AM:$AM,"1")</f>
        <v>5</v>
      </c>
      <c r="Q11" s="22">
        <f>COUNTIFS('GuestAttackPlay-by-Play'!$E:$E,B11,'GuestAttackPlay-by-Play'!$R:$R,"*壘安")+R11</f>
        <v>2</v>
      </c>
      <c r="R11" s="22">
        <f>COUNTIFS('GuestAttackPlay-by-Play'!$E:$E,B11,'GuestAttackPlay-by-Play'!$R:$R,"全壘打")</f>
        <v>0</v>
      </c>
      <c r="S11" s="22">
        <f>COUNTIFS('GuestAttackPlay-by-Play'!$E:$E,B11,'GuestAttackPlay-by-Play'!$R:$R,"四壞")</f>
        <v>0</v>
      </c>
      <c r="T11" s="22">
        <f>COUNTIFS('GuestAttackPlay-by-Play'!$E:$E,B11,'GuestAttackPlay-by-Play'!$R:$R,"敬遠")</f>
        <v>0</v>
      </c>
      <c r="U11" s="22">
        <f>COUNTIFS('GuestAttackPlay-by-Play'!$E:$E,B11,'GuestAttackPlay-by-Play'!$R:$R,"觸身球")</f>
        <v>0</v>
      </c>
      <c r="V11" s="22">
        <f>COUNTIFS('GuestAttackPlay-by-Play'!$E:$E,B11,'GuestAttackPlay-by-Play'!$R:$R,"*三振")</f>
        <v>1</v>
      </c>
      <c r="W11" s="22">
        <f>COUNTIFS('GuestAttackPlay-by-Play'!$E:$E,B11,'GuestAttackPlay-by-Play'!$R:$R,"犧牲觸擊")</f>
        <v>1</v>
      </c>
      <c r="X11" s="22">
        <f>COUNTIFS('GuestAttackPlay-by-Play'!$E:$E,B11,'GuestAttackPlay-by-Play'!$R:$R,"高飛犧牲")</f>
        <v>0</v>
      </c>
      <c r="Y11" s="22">
        <f>COUNTIFS('GuestAttackPlay-by-Play'!$E:$E,B11,'GuestAttackPlay-by-Play'!$R:$R,"暴投")</f>
        <v>0</v>
      </c>
      <c r="Z11" s="22">
        <f>COUNTIFS('GuestAttackPlay-by-Play'!$E:$E,B11,'GuestAttackPlay-by-Play'!$R:$R,"投手犯規")</f>
        <v>0</v>
      </c>
      <c r="AA11" s="22">
        <f>SUMIF('GuestAttackPlay-by-Play'!$E:$E,B11,'GuestAttackPlay-by-Play'!$AF:$AF)+SUMIF('GuestAttackPlay-by-Play'!$E:$E,B11,'GuestAttackPlay-by-Play'!$AG:$AG)</f>
        <v>0</v>
      </c>
      <c r="AB11" s="22">
        <f>SUMIF('GuestAttackPlay-by-Play'!$E:$E,B11,'GuestAttackPlay-by-Play'!$AG:$AG)</f>
        <v>0</v>
      </c>
      <c r="AD11" s="32">
        <f>COUNTIFS('GuestAttackPlay-by-Play'!$E:$E,B11,'GuestAttackPlay-by-Play'!$AK:$AK,"1")</f>
        <v>3</v>
      </c>
    </row>
    <row r="12" spans="1:59" s="29" customFormat="1" x14ac:dyDescent="0.3">
      <c r="A12" s="38">
        <f>IF(Roster!C12="","-",Roster!C12)</f>
        <v>61</v>
      </c>
      <c r="B12" s="38" t="str">
        <f>IF(A12="-","-",VLOOKUP(A12,Roster!$C$2:$D$27,2,FALSE))</f>
        <v>樂天豪勁</v>
      </c>
      <c r="C12" s="22" t="str">
        <f>IF(COUNTIF('GuestAttackPlay-by-Play'!$E:$E,B12)&gt;=1,"1","0")</f>
        <v>0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24">
        <f t="shared" si="0"/>
        <v>0</v>
      </c>
      <c r="N12" s="24" t="str">
        <f t="shared" si="2"/>
        <v>∞</v>
      </c>
      <c r="O12" s="29" t="str">
        <f t="shared" si="1"/>
        <v>∞</v>
      </c>
      <c r="P12" s="22">
        <f>COUNTIFS('GuestAttackPlay-by-Play'!$E:$E,B12,'GuestAttackPlay-by-Play'!$AM:$AM,"1")</f>
        <v>0</v>
      </c>
      <c r="Q12" s="22">
        <f>COUNTIFS('GuestAttackPlay-by-Play'!$E:$E,B12,'GuestAttackPlay-by-Play'!$R:$R,"*壘安")+R12</f>
        <v>0</v>
      </c>
      <c r="R12" s="22">
        <f>COUNTIFS('GuestAttackPlay-by-Play'!$E:$E,B12,'GuestAttackPlay-by-Play'!$R:$R,"全壘打")</f>
        <v>0</v>
      </c>
      <c r="S12" s="22">
        <f>COUNTIFS('GuestAttackPlay-by-Play'!$E:$E,B12,'GuestAttackPlay-by-Play'!$R:$R,"四壞")</f>
        <v>0</v>
      </c>
      <c r="T12" s="22">
        <f>COUNTIFS('GuestAttackPlay-by-Play'!$E:$E,B12,'GuestAttackPlay-by-Play'!$R:$R,"敬遠")</f>
        <v>0</v>
      </c>
      <c r="U12" s="22">
        <f>COUNTIFS('GuestAttackPlay-by-Play'!$E:$E,B12,'GuestAttackPlay-by-Play'!$R:$R,"觸身球")</f>
        <v>0</v>
      </c>
      <c r="V12" s="22">
        <f>COUNTIFS('GuestAttackPlay-by-Play'!$E:$E,B12,'GuestAttackPlay-by-Play'!$R:$R,"*三振")</f>
        <v>0</v>
      </c>
      <c r="W12" s="22">
        <f>COUNTIFS('GuestAttackPlay-by-Play'!$E:$E,B12,'GuestAttackPlay-by-Play'!$R:$R,"犧牲觸擊")</f>
        <v>0</v>
      </c>
      <c r="X12" s="22">
        <f>COUNTIFS('GuestAttackPlay-by-Play'!$E:$E,B12,'GuestAttackPlay-by-Play'!$R:$R,"高飛犧牲")</f>
        <v>0</v>
      </c>
      <c r="Y12" s="22">
        <f>COUNTIFS('GuestAttackPlay-by-Play'!$E:$E,B12,'GuestAttackPlay-by-Play'!$R:$R,"暴投")</f>
        <v>0</v>
      </c>
      <c r="Z12" s="22">
        <f>COUNTIFS('GuestAttackPlay-by-Play'!$E:$E,B12,'GuestAttackPlay-by-Play'!$R:$R,"投手犯規")</f>
        <v>0</v>
      </c>
      <c r="AA12" s="22">
        <f>SUMIF('GuestAttackPlay-by-Play'!$E:$E,B12,'GuestAttackPlay-by-Play'!$AF:$AF)+SUMIF('GuestAttackPlay-by-Play'!$E:$E,B12,'GuestAttackPlay-by-Play'!$AG:$AG)</f>
        <v>0</v>
      </c>
      <c r="AB12" s="22">
        <f>SUMIF('GuestAttackPlay-by-Play'!$E:$E,B12,'GuestAttackPlay-by-Play'!$AG:$AG)</f>
        <v>0</v>
      </c>
      <c r="AD12" s="32">
        <f>COUNTIFS('GuestAttackPlay-by-Play'!$E:$E,B12,'GuestAttackPlay-by-Play'!$AK:$AK,"1")</f>
        <v>0</v>
      </c>
    </row>
    <row r="13" spans="1:59" s="22" customFormat="1" x14ac:dyDescent="0.3">
      <c r="A13" s="38">
        <f>IF(Roster!C13="","-",Roster!C13)</f>
        <v>5</v>
      </c>
      <c r="B13" s="38" t="str">
        <f>IF(A13="-","-",VLOOKUP(A13,Roster!$C$2:$D$27,2,FALSE))</f>
        <v>樂天梁家榮</v>
      </c>
      <c r="C13" s="22" t="str">
        <f>IF(COUNTIF('GuestAttackPlay-by-Play'!$E:$E,B13)&gt;=1,"1","0")</f>
        <v>0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4">
        <f t="shared" si="0"/>
        <v>0</v>
      </c>
      <c r="N13" s="24" t="str">
        <f t="shared" si="2"/>
        <v>∞</v>
      </c>
      <c r="O13" s="29" t="str">
        <f t="shared" si="1"/>
        <v>∞</v>
      </c>
      <c r="P13" s="22">
        <f>COUNTIFS('GuestAttackPlay-by-Play'!$E:$E,B13,'GuestAttackPlay-by-Play'!$AM:$AM,"1")</f>
        <v>0</v>
      </c>
      <c r="Q13" s="22">
        <f>COUNTIFS('GuestAttackPlay-by-Play'!$E:$E,B13,'GuestAttackPlay-by-Play'!$R:$R,"*壘安")+R13</f>
        <v>0</v>
      </c>
      <c r="R13" s="22">
        <f>COUNTIFS('GuestAttackPlay-by-Play'!$E:$E,B13,'GuestAttackPlay-by-Play'!$R:$R,"全壘打")</f>
        <v>0</v>
      </c>
      <c r="S13" s="22">
        <f>COUNTIFS('GuestAttackPlay-by-Play'!$E:$E,B13,'GuestAttackPlay-by-Play'!$R:$R,"四壞")</f>
        <v>0</v>
      </c>
      <c r="T13" s="22">
        <f>COUNTIFS('GuestAttackPlay-by-Play'!$E:$E,B13,'GuestAttackPlay-by-Play'!$R:$R,"敬遠")</f>
        <v>0</v>
      </c>
      <c r="U13" s="22">
        <f>COUNTIFS('GuestAttackPlay-by-Play'!$E:$E,B13,'GuestAttackPlay-by-Play'!$R:$R,"觸身球")</f>
        <v>0</v>
      </c>
      <c r="V13" s="22">
        <f>COUNTIFS('GuestAttackPlay-by-Play'!$E:$E,B13,'GuestAttackPlay-by-Play'!$R:$R,"*三振")</f>
        <v>0</v>
      </c>
      <c r="W13" s="22">
        <f>COUNTIFS('GuestAttackPlay-by-Play'!$E:$E,B13,'GuestAttackPlay-by-Play'!$R:$R,"犧牲觸擊")</f>
        <v>0</v>
      </c>
      <c r="X13" s="22">
        <f>COUNTIFS('GuestAttackPlay-by-Play'!$E:$E,B13,'GuestAttackPlay-by-Play'!$R:$R,"高飛犧牲")</f>
        <v>0</v>
      </c>
      <c r="Y13" s="22">
        <f>COUNTIFS('GuestAttackPlay-by-Play'!$E:$E,B13,'GuestAttackPlay-by-Play'!$R:$R,"暴投")</f>
        <v>0</v>
      </c>
      <c r="Z13" s="22">
        <f>COUNTIFS('GuestAttackPlay-by-Play'!$E:$E,B13,'GuestAttackPlay-by-Play'!$R:$R,"投手犯規")</f>
        <v>0</v>
      </c>
      <c r="AA13" s="22">
        <f>SUMIF('GuestAttackPlay-by-Play'!$E:$E,B13,'GuestAttackPlay-by-Play'!$AF:$AF)+SUMIF('GuestAttackPlay-by-Play'!$E:$E,B13,'GuestAttackPlay-by-Play'!$AG:$AG)</f>
        <v>0</v>
      </c>
      <c r="AB13" s="22">
        <f>SUMIF('GuestAttackPlay-by-Play'!$E:$E,B13,'GuestAttackPlay-by-Play'!$AG:$AG)</f>
        <v>0</v>
      </c>
      <c r="AD13" s="32">
        <f>COUNTIFS('GuestAttackPlay-by-Play'!$E:$E,B13,'GuestAttackPlay-by-Play'!$AK:$AK,"1")</f>
        <v>0</v>
      </c>
    </row>
    <row r="14" spans="1:59" s="29" customFormat="1" x14ac:dyDescent="0.3">
      <c r="A14" s="38">
        <f>IF(Roster!C14="","-",Roster!C14)</f>
        <v>6</v>
      </c>
      <c r="B14" s="38" t="str">
        <f>IF(A14="-","-",VLOOKUP(A14,Roster!$C$2:$D$27,2,FALSE))</f>
        <v>樂天林承飛</v>
      </c>
      <c r="C14" s="22" t="str">
        <f>IF(COUNTIF('GuestAttackPlay-by-Play'!$E:$E,B14)&gt;=1,"1","0")</f>
        <v>0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24">
        <f t="shared" si="0"/>
        <v>0</v>
      </c>
      <c r="N14" s="24" t="str">
        <f t="shared" si="2"/>
        <v>∞</v>
      </c>
      <c r="O14" s="29" t="str">
        <f t="shared" si="1"/>
        <v>∞</v>
      </c>
      <c r="P14" s="22">
        <f>COUNTIFS('GuestAttackPlay-by-Play'!$E:$E,B14,'GuestAttackPlay-by-Play'!$AM:$AM,"1")</f>
        <v>0</v>
      </c>
      <c r="Q14" s="22">
        <f>COUNTIFS('GuestAttackPlay-by-Play'!$E:$E,B14,'GuestAttackPlay-by-Play'!$R:$R,"*壘安")+R14</f>
        <v>0</v>
      </c>
      <c r="R14" s="22">
        <f>COUNTIFS('GuestAttackPlay-by-Play'!$E:$E,B14,'GuestAttackPlay-by-Play'!$R:$R,"全壘打")</f>
        <v>0</v>
      </c>
      <c r="S14" s="22">
        <f>COUNTIFS('GuestAttackPlay-by-Play'!$E:$E,B14,'GuestAttackPlay-by-Play'!$R:$R,"四壞")</f>
        <v>0</v>
      </c>
      <c r="T14" s="22">
        <f>COUNTIFS('GuestAttackPlay-by-Play'!$E:$E,B14,'GuestAttackPlay-by-Play'!$R:$R,"敬遠")</f>
        <v>0</v>
      </c>
      <c r="U14" s="22">
        <f>COUNTIFS('GuestAttackPlay-by-Play'!$E:$E,B14,'GuestAttackPlay-by-Play'!$R:$R,"觸身球")</f>
        <v>0</v>
      </c>
      <c r="V14" s="22">
        <f>COUNTIFS('GuestAttackPlay-by-Play'!$E:$E,B14,'GuestAttackPlay-by-Play'!$R:$R,"*三振")</f>
        <v>0</v>
      </c>
      <c r="W14" s="22">
        <f>COUNTIFS('GuestAttackPlay-by-Play'!$E:$E,B14,'GuestAttackPlay-by-Play'!$R:$R,"犧牲觸擊")</f>
        <v>0</v>
      </c>
      <c r="X14" s="22">
        <f>COUNTIFS('GuestAttackPlay-by-Play'!$E:$E,B14,'GuestAttackPlay-by-Play'!$R:$R,"高飛犧牲")</f>
        <v>0</v>
      </c>
      <c r="Y14" s="22">
        <f>COUNTIFS('GuestAttackPlay-by-Play'!$E:$E,B14,'GuestAttackPlay-by-Play'!$R:$R,"暴投")</f>
        <v>0</v>
      </c>
      <c r="Z14" s="22">
        <f>COUNTIFS('GuestAttackPlay-by-Play'!$E:$E,B14,'GuestAttackPlay-by-Play'!$R:$R,"投手犯規")</f>
        <v>0</v>
      </c>
      <c r="AA14" s="22">
        <f>SUMIF('GuestAttackPlay-by-Play'!$E:$E,B14,'GuestAttackPlay-by-Play'!$AF:$AF)+SUMIF('GuestAttackPlay-by-Play'!$E:$E,B14,'GuestAttackPlay-by-Play'!$AG:$AG)</f>
        <v>0</v>
      </c>
      <c r="AB14" s="22">
        <f>SUMIF('GuestAttackPlay-by-Play'!$E:$E,B14,'GuestAttackPlay-by-Play'!$AG:$AG)</f>
        <v>0</v>
      </c>
      <c r="AD14" s="32">
        <f>COUNTIFS('GuestAttackPlay-by-Play'!$E:$E,B14,'GuestAttackPlay-by-Play'!$AK:$AK,"1")</f>
        <v>0</v>
      </c>
    </row>
    <row r="15" spans="1:59" s="22" customFormat="1" x14ac:dyDescent="0.3">
      <c r="A15" s="38">
        <f>IF(Roster!C15="","-",Roster!C15)</f>
        <v>7</v>
      </c>
      <c r="B15" s="38" t="str">
        <f>IF(A15="-","-",VLOOKUP(A15,Roster!$C$2:$D$27,2,FALSE))</f>
        <v>樂天郭永維</v>
      </c>
      <c r="C15" s="22" t="str">
        <f>IF(COUNTIF('GuestAttackPlay-by-Play'!$E:$E,B15)&gt;=1,"1","0")</f>
        <v>0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>
        <v>0</v>
      </c>
      <c r="J15" s="27">
        <v>0</v>
      </c>
      <c r="K15" s="27">
        <v>0</v>
      </c>
      <c r="L15" s="27">
        <v>0</v>
      </c>
      <c r="M15" s="24">
        <f t="shared" si="0"/>
        <v>0</v>
      </c>
      <c r="N15" s="24" t="str">
        <f t="shared" si="2"/>
        <v>∞</v>
      </c>
      <c r="O15" s="29" t="str">
        <f t="shared" si="1"/>
        <v>∞</v>
      </c>
      <c r="P15" s="22">
        <f>COUNTIFS('GuestAttackPlay-by-Play'!$E:$E,B15,'GuestAttackPlay-by-Play'!$AM:$AM,"1")</f>
        <v>0</v>
      </c>
      <c r="Q15" s="22">
        <f>COUNTIFS('GuestAttackPlay-by-Play'!$E:$E,B15,'GuestAttackPlay-by-Play'!$R:$R,"*壘安")+R15</f>
        <v>0</v>
      </c>
      <c r="R15" s="22">
        <f>COUNTIFS('GuestAttackPlay-by-Play'!$E:$E,B15,'GuestAttackPlay-by-Play'!$R:$R,"全壘打")</f>
        <v>0</v>
      </c>
      <c r="S15" s="22">
        <f>COUNTIFS('GuestAttackPlay-by-Play'!$E:$E,B15,'GuestAttackPlay-by-Play'!$R:$R,"四壞")</f>
        <v>0</v>
      </c>
      <c r="T15" s="22">
        <f>COUNTIFS('GuestAttackPlay-by-Play'!$E:$E,B15,'GuestAttackPlay-by-Play'!$R:$R,"敬遠")</f>
        <v>0</v>
      </c>
      <c r="U15" s="22">
        <f>COUNTIFS('GuestAttackPlay-by-Play'!$E:$E,B15,'GuestAttackPlay-by-Play'!$R:$R,"觸身球")</f>
        <v>0</v>
      </c>
      <c r="V15" s="22">
        <f>COUNTIFS('GuestAttackPlay-by-Play'!$E:$E,B15,'GuestAttackPlay-by-Play'!$R:$R,"*三振")</f>
        <v>0</v>
      </c>
      <c r="W15" s="22">
        <f>COUNTIFS('GuestAttackPlay-by-Play'!$E:$E,B15,'GuestAttackPlay-by-Play'!$R:$R,"犧牲觸擊")</f>
        <v>0</v>
      </c>
      <c r="X15" s="22">
        <f>COUNTIFS('GuestAttackPlay-by-Play'!$E:$E,B15,'GuestAttackPlay-by-Play'!$R:$R,"高飛犧牲")</f>
        <v>0</v>
      </c>
      <c r="Y15" s="22">
        <f>COUNTIFS('GuestAttackPlay-by-Play'!$E:$E,B15,'GuestAttackPlay-by-Play'!$R:$R,"暴投")</f>
        <v>0</v>
      </c>
      <c r="Z15" s="22">
        <f>COUNTIFS('GuestAttackPlay-by-Play'!$E:$E,B15,'GuestAttackPlay-by-Play'!$R:$R,"投手犯規")</f>
        <v>0</v>
      </c>
      <c r="AA15" s="22">
        <f>SUMIF('GuestAttackPlay-by-Play'!$E:$E,B15,'GuestAttackPlay-by-Play'!$AF:$AF)+SUMIF('GuestAttackPlay-by-Play'!$E:$E,B15,'GuestAttackPlay-by-Play'!$AG:$AG)</f>
        <v>0</v>
      </c>
      <c r="AB15" s="22">
        <f>SUMIF('GuestAttackPlay-by-Play'!$E:$E,B15,'GuestAttackPlay-by-Play'!$AG:$AG)</f>
        <v>0</v>
      </c>
      <c r="AD15" s="32">
        <f>COUNTIFS('GuestAttackPlay-by-Play'!$E:$E,B15,'GuestAttackPlay-by-Play'!$AK:$AK,"1")</f>
        <v>0</v>
      </c>
    </row>
    <row r="16" spans="1:59" s="29" customFormat="1" x14ac:dyDescent="0.3">
      <c r="A16" s="38">
        <f>IF(Roster!C16="","-",Roster!C16)</f>
        <v>11</v>
      </c>
      <c r="B16" s="38" t="str">
        <f>IF(A16="-","-",VLOOKUP(A16,Roster!$C$2:$D$27,2,FALSE))</f>
        <v>樂天林泓育</v>
      </c>
      <c r="C16" s="22" t="str">
        <f>IF(COUNTIF('GuestAttackPlay-by-Play'!$E:$E,B16)&gt;=1,"1","0")</f>
        <v>0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24">
        <f t="shared" si="0"/>
        <v>0</v>
      </c>
      <c r="N16" s="24" t="str">
        <f t="shared" si="2"/>
        <v>∞</v>
      </c>
      <c r="O16" s="29" t="str">
        <f t="shared" si="1"/>
        <v>∞</v>
      </c>
      <c r="P16" s="22">
        <f>COUNTIFS('GuestAttackPlay-by-Play'!$E:$E,B16,'GuestAttackPlay-by-Play'!$AM:$AM,"1")</f>
        <v>0</v>
      </c>
      <c r="Q16" s="22">
        <f>COUNTIFS('GuestAttackPlay-by-Play'!$E:$E,B16,'GuestAttackPlay-by-Play'!$R:$R,"*壘安")+R16</f>
        <v>0</v>
      </c>
      <c r="R16" s="22">
        <f>COUNTIFS('GuestAttackPlay-by-Play'!$E:$E,B16,'GuestAttackPlay-by-Play'!$R:$R,"全壘打")</f>
        <v>0</v>
      </c>
      <c r="S16" s="22">
        <f>COUNTIFS('GuestAttackPlay-by-Play'!$E:$E,B16,'GuestAttackPlay-by-Play'!$R:$R,"四壞")</f>
        <v>0</v>
      </c>
      <c r="T16" s="22">
        <f>COUNTIFS('GuestAttackPlay-by-Play'!$E:$E,B16,'GuestAttackPlay-by-Play'!$R:$R,"敬遠")</f>
        <v>0</v>
      </c>
      <c r="U16" s="22">
        <f>COUNTIFS('GuestAttackPlay-by-Play'!$E:$E,B16,'GuestAttackPlay-by-Play'!$R:$R,"觸身球")</f>
        <v>0</v>
      </c>
      <c r="V16" s="22">
        <f>COUNTIFS('GuestAttackPlay-by-Play'!$E:$E,B16,'GuestAttackPlay-by-Play'!$R:$R,"*三振")</f>
        <v>0</v>
      </c>
      <c r="W16" s="22">
        <f>COUNTIFS('GuestAttackPlay-by-Play'!$E:$E,B16,'GuestAttackPlay-by-Play'!$R:$R,"犧牲觸擊")</f>
        <v>0</v>
      </c>
      <c r="X16" s="22">
        <f>COUNTIFS('GuestAttackPlay-by-Play'!$E:$E,B16,'GuestAttackPlay-by-Play'!$R:$R,"高飛犧牲")</f>
        <v>0</v>
      </c>
      <c r="Y16" s="22">
        <f>COUNTIFS('GuestAttackPlay-by-Play'!$E:$E,B16,'GuestAttackPlay-by-Play'!$R:$R,"暴投")</f>
        <v>0</v>
      </c>
      <c r="Z16" s="22">
        <f>COUNTIFS('GuestAttackPlay-by-Play'!$E:$E,B16,'GuestAttackPlay-by-Play'!$R:$R,"投手犯規")</f>
        <v>0</v>
      </c>
      <c r="AA16" s="22">
        <f>SUMIF('GuestAttackPlay-by-Play'!$E:$E,B16,'GuestAttackPlay-by-Play'!$AF:$AF)+SUMIF('GuestAttackPlay-by-Play'!$E:$E,B16,'GuestAttackPlay-by-Play'!$AG:$AG)</f>
        <v>0</v>
      </c>
      <c r="AB16" s="22">
        <f>SUMIF('GuestAttackPlay-by-Play'!$E:$E,B16,'GuestAttackPlay-by-Play'!$AG:$AG)</f>
        <v>0</v>
      </c>
      <c r="AD16" s="32">
        <f>COUNTIFS('GuestAttackPlay-by-Play'!$E:$E,B16,'GuestAttackPlay-by-Play'!$AK:$AK,"1")</f>
        <v>0</v>
      </c>
    </row>
    <row r="17" spans="1:30" s="22" customFormat="1" x14ac:dyDescent="0.3">
      <c r="A17" s="38">
        <f>IF(Roster!C17="","-",Roster!C17)</f>
        <v>29</v>
      </c>
      <c r="B17" s="38" t="str">
        <f>IF(A17="-","-",VLOOKUP(A17,Roster!$C$2:$D$27,2,FALSE))</f>
        <v>樂天陳俊秀</v>
      </c>
      <c r="C17" s="22" t="str">
        <f>IF(COUNTIF('GuestAttackPlay-by-Play'!$E:$E,B17)&gt;=1,"1","0")</f>
        <v>0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>
        <v>0</v>
      </c>
      <c r="J17" s="27">
        <v>0</v>
      </c>
      <c r="K17" s="27">
        <v>0</v>
      </c>
      <c r="L17" s="27">
        <v>0</v>
      </c>
      <c r="M17" s="24">
        <f t="shared" si="0"/>
        <v>0</v>
      </c>
      <c r="N17" s="24" t="str">
        <f t="shared" si="2"/>
        <v>∞</v>
      </c>
      <c r="O17" s="29" t="str">
        <f t="shared" si="1"/>
        <v>∞</v>
      </c>
      <c r="P17" s="22">
        <f>COUNTIFS('GuestAttackPlay-by-Play'!$E:$E,B17,'GuestAttackPlay-by-Play'!$AM:$AM,"1")</f>
        <v>0</v>
      </c>
      <c r="Q17" s="22">
        <f>COUNTIFS('GuestAttackPlay-by-Play'!$E:$E,B17,'GuestAttackPlay-by-Play'!$R:$R,"*壘安")+R17</f>
        <v>0</v>
      </c>
      <c r="R17" s="22">
        <f>COUNTIFS('GuestAttackPlay-by-Play'!$E:$E,B17,'GuestAttackPlay-by-Play'!$R:$R,"全壘打")</f>
        <v>0</v>
      </c>
      <c r="S17" s="22">
        <f>COUNTIFS('GuestAttackPlay-by-Play'!$E:$E,B17,'GuestAttackPlay-by-Play'!$R:$R,"四壞")</f>
        <v>0</v>
      </c>
      <c r="T17" s="22">
        <f>COUNTIFS('GuestAttackPlay-by-Play'!$E:$E,B17,'GuestAttackPlay-by-Play'!$R:$R,"敬遠")</f>
        <v>0</v>
      </c>
      <c r="U17" s="22">
        <f>COUNTIFS('GuestAttackPlay-by-Play'!$E:$E,B17,'GuestAttackPlay-by-Play'!$R:$R,"觸身球")</f>
        <v>0</v>
      </c>
      <c r="V17" s="22">
        <f>COUNTIFS('GuestAttackPlay-by-Play'!$E:$E,B17,'GuestAttackPlay-by-Play'!$R:$R,"*三振")</f>
        <v>0</v>
      </c>
      <c r="W17" s="22">
        <f>COUNTIFS('GuestAttackPlay-by-Play'!$E:$E,B17,'GuestAttackPlay-by-Play'!$R:$R,"犧牲觸擊")</f>
        <v>0</v>
      </c>
      <c r="X17" s="22">
        <f>COUNTIFS('GuestAttackPlay-by-Play'!$E:$E,B17,'GuestAttackPlay-by-Play'!$R:$R,"高飛犧牲")</f>
        <v>0</v>
      </c>
      <c r="Y17" s="22">
        <f>COUNTIFS('GuestAttackPlay-by-Play'!$E:$E,B17,'GuestAttackPlay-by-Play'!$R:$R,"暴投")</f>
        <v>0</v>
      </c>
      <c r="Z17" s="22">
        <f>COUNTIFS('GuestAttackPlay-by-Play'!$E:$E,B17,'GuestAttackPlay-by-Play'!$R:$R,"投手犯規")</f>
        <v>0</v>
      </c>
      <c r="AA17" s="22">
        <f>SUMIF('GuestAttackPlay-by-Play'!$E:$E,B17,'GuestAttackPlay-by-Play'!$AF:$AF)+SUMIF('GuestAttackPlay-by-Play'!$E:$E,B17,'GuestAttackPlay-by-Play'!$AG:$AG)</f>
        <v>0</v>
      </c>
      <c r="AB17" s="22">
        <f>SUMIF('GuestAttackPlay-by-Play'!$E:$E,B17,'GuestAttackPlay-by-Play'!$AG:$AG)</f>
        <v>0</v>
      </c>
      <c r="AD17" s="32">
        <f>COUNTIFS('GuestAttackPlay-by-Play'!$E:$E,B17,'GuestAttackPlay-by-Play'!$AK:$AK,"1")</f>
        <v>0</v>
      </c>
    </row>
    <row r="18" spans="1:30" s="29" customFormat="1" x14ac:dyDescent="0.3">
      <c r="A18" s="38">
        <f>IF(Roster!C18="","-",Roster!C18)</f>
        <v>35</v>
      </c>
      <c r="B18" s="38" t="str">
        <f>IF(A18="-","-",VLOOKUP(A18,Roster!$C$2:$D$27,2,FALSE))</f>
        <v>樂天成晉</v>
      </c>
      <c r="C18" s="22" t="str">
        <f>IF(COUNTIF('GuestAttackPlay-by-Play'!$E:$E,B18)&gt;=1,"1","0")</f>
        <v>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24">
        <f t="shared" si="0"/>
        <v>0</v>
      </c>
      <c r="N18" s="24" t="str">
        <f t="shared" si="2"/>
        <v>∞</v>
      </c>
      <c r="O18" s="29" t="str">
        <f t="shared" si="1"/>
        <v>∞</v>
      </c>
      <c r="P18" s="22">
        <f>COUNTIFS('GuestAttackPlay-by-Play'!$E:$E,B18,'GuestAttackPlay-by-Play'!$AM:$AM,"1")</f>
        <v>0</v>
      </c>
      <c r="Q18" s="22">
        <f>COUNTIFS('GuestAttackPlay-by-Play'!$E:$E,B18,'GuestAttackPlay-by-Play'!$R:$R,"*壘安")+R18</f>
        <v>0</v>
      </c>
      <c r="R18" s="22">
        <f>COUNTIFS('GuestAttackPlay-by-Play'!$E:$E,B18,'GuestAttackPlay-by-Play'!$R:$R,"全壘打")</f>
        <v>0</v>
      </c>
      <c r="S18" s="22">
        <f>COUNTIFS('GuestAttackPlay-by-Play'!$E:$E,B18,'GuestAttackPlay-by-Play'!$R:$R,"四壞")</f>
        <v>0</v>
      </c>
      <c r="T18" s="22">
        <f>COUNTIFS('GuestAttackPlay-by-Play'!$E:$E,B18,'GuestAttackPlay-by-Play'!$R:$R,"敬遠")</f>
        <v>0</v>
      </c>
      <c r="U18" s="22">
        <f>COUNTIFS('GuestAttackPlay-by-Play'!$E:$E,B18,'GuestAttackPlay-by-Play'!$R:$R,"觸身球")</f>
        <v>0</v>
      </c>
      <c r="V18" s="22">
        <f>COUNTIFS('GuestAttackPlay-by-Play'!$E:$E,B18,'GuestAttackPlay-by-Play'!$R:$R,"*三振")</f>
        <v>0</v>
      </c>
      <c r="W18" s="22">
        <f>COUNTIFS('GuestAttackPlay-by-Play'!$E:$E,B18,'GuestAttackPlay-by-Play'!$R:$R,"犧牲觸擊")</f>
        <v>0</v>
      </c>
      <c r="X18" s="22">
        <f>COUNTIFS('GuestAttackPlay-by-Play'!$E:$E,B18,'GuestAttackPlay-by-Play'!$R:$R,"高飛犧牲")</f>
        <v>0</v>
      </c>
      <c r="Y18" s="22">
        <f>COUNTIFS('GuestAttackPlay-by-Play'!$E:$E,B18,'GuestAttackPlay-by-Play'!$R:$R,"暴投")</f>
        <v>0</v>
      </c>
      <c r="Z18" s="22">
        <f>COUNTIFS('GuestAttackPlay-by-Play'!$E:$E,B18,'GuestAttackPlay-by-Play'!$R:$R,"投手犯規")</f>
        <v>0</v>
      </c>
      <c r="AA18" s="22">
        <f>SUMIF('GuestAttackPlay-by-Play'!$E:$E,B18,'GuestAttackPlay-by-Play'!$AF:$AF)+SUMIF('GuestAttackPlay-by-Play'!$E:$E,B18,'GuestAttackPlay-by-Play'!$AG:$AG)</f>
        <v>0</v>
      </c>
      <c r="AB18" s="22">
        <f>SUMIF('GuestAttackPlay-by-Play'!$E:$E,B18,'GuestAttackPlay-by-Play'!$AG:$AG)</f>
        <v>0</v>
      </c>
      <c r="AD18" s="32">
        <f>COUNTIFS('GuestAttackPlay-by-Play'!$E:$E,B18,'GuestAttackPlay-by-Play'!$AK:$AK,"1")</f>
        <v>0</v>
      </c>
    </row>
    <row r="19" spans="1:30" s="22" customFormat="1" x14ac:dyDescent="0.3">
      <c r="A19" s="38">
        <f>IF(Roster!C19="","-",Roster!C19)</f>
        <v>36</v>
      </c>
      <c r="B19" s="38" t="str">
        <f>IF(A19="-","-",VLOOKUP(A19,Roster!$C$2:$D$27,2,FALSE))</f>
        <v>樂天余德龍</v>
      </c>
      <c r="C19" s="22" t="str">
        <f>IF(COUNTIF('GuestAttackPlay-by-Play'!$E:$E,B19)&gt;=1,"1","0")</f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4">
        <f t="shared" si="0"/>
        <v>0</v>
      </c>
      <c r="N19" s="24" t="str">
        <f t="shared" si="2"/>
        <v>∞</v>
      </c>
      <c r="O19" s="29" t="str">
        <f t="shared" si="1"/>
        <v>∞</v>
      </c>
      <c r="P19" s="22">
        <f>COUNTIFS('GuestAttackPlay-by-Play'!$E:$E,B19,'GuestAttackPlay-by-Play'!$AM:$AM,"1")</f>
        <v>0</v>
      </c>
      <c r="Q19" s="22">
        <f>COUNTIFS('GuestAttackPlay-by-Play'!$E:$E,B19,'GuestAttackPlay-by-Play'!$R:$R,"*壘安")+R19</f>
        <v>0</v>
      </c>
      <c r="R19" s="22">
        <f>COUNTIFS('GuestAttackPlay-by-Play'!$E:$E,B19,'GuestAttackPlay-by-Play'!$R:$R,"全壘打")</f>
        <v>0</v>
      </c>
      <c r="S19" s="22">
        <f>COUNTIFS('GuestAttackPlay-by-Play'!$E:$E,B19,'GuestAttackPlay-by-Play'!$R:$R,"四壞")</f>
        <v>0</v>
      </c>
      <c r="T19" s="22">
        <f>COUNTIFS('GuestAttackPlay-by-Play'!$E:$E,B19,'GuestAttackPlay-by-Play'!$R:$R,"敬遠")</f>
        <v>0</v>
      </c>
      <c r="U19" s="22">
        <f>COUNTIFS('GuestAttackPlay-by-Play'!$E:$E,B19,'GuestAttackPlay-by-Play'!$R:$R,"觸身球")</f>
        <v>0</v>
      </c>
      <c r="V19" s="22">
        <f>COUNTIFS('GuestAttackPlay-by-Play'!$E:$E,B19,'GuestAttackPlay-by-Play'!$R:$R,"*三振")</f>
        <v>0</v>
      </c>
      <c r="W19" s="22">
        <f>COUNTIFS('GuestAttackPlay-by-Play'!$E:$E,B19,'GuestAttackPlay-by-Play'!$R:$R,"犧牲觸擊")</f>
        <v>0</v>
      </c>
      <c r="X19" s="22">
        <f>COUNTIFS('GuestAttackPlay-by-Play'!$E:$E,B19,'GuestAttackPlay-by-Play'!$R:$R,"高飛犧牲")</f>
        <v>0</v>
      </c>
      <c r="Y19" s="22">
        <f>COUNTIFS('GuestAttackPlay-by-Play'!$E:$E,B19,'GuestAttackPlay-by-Play'!$R:$R,"暴投")</f>
        <v>0</v>
      </c>
      <c r="Z19" s="22">
        <f>COUNTIFS('GuestAttackPlay-by-Play'!$E:$E,B19,'GuestAttackPlay-by-Play'!$R:$R,"投手犯規")</f>
        <v>0</v>
      </c>
      <c r="AA19" s="22">
        <f>SUMIF('GuestAttackPlay-by-Play'!$E:$E,B19,'GuestAttackPlay-by-Play'!$AF:$AF)+SUMIF('GuestAttackPlay-by-Play'!$E:$E,B19,'GuestAttackPlay-by-Play'!$AG:$AG)</f>
        <v>0</v>
      </c>
      <c r="AB19" s="22">
        <f>SUMIF('GuestAttackPlay-by-Play'!$E:$E,B19,'GuestAttackPlay-by-Play'!$AG:$AG)</f>
        <v>0</v>
      </c>
      <c r="AD19" s="32">
        <f>COUNTIFS('GuestAttackPlay-by-Play'!$E:$E,B19,'GuestAttackPlay-by-Play'!$AK:$AK,"1")</f>
        <v>0</v>
      </c>
    </row>
    <row r="20" spans="1:30" s="29" customFormat="1" x14ac:dyDescent="0.3">
      <c r="A20" s="38">
        <f>IF(Roster!C20="","-",Roster!C20)</f>
        <v>39</v>
      </c>
      <c r="B20" s="38" t="str">
        <f>IF(A20="-","-",VLOOKUP(A20,Roster!$C$2:$D$27,2,FALSE))</f>
        <v>樂天林立</v>
      </c>
      <c r="C20" s="22" t="str">
        <f>IF(COUNTIF('GuestAttackPlay-by-Play'!$E:$E,B20)&gt;=1,"1","0")</f>
        <v>0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24">
        <f t="shared" si="0"/>
        <v>0</v>
      </c>
      <c r="N20" s="24" t="str">
        <f t="shared" si="2"/>
        <v>∞</v>
      </c>
      <c r="O20" s="29" t="str">
        <f t="shared" si="1"/>
        <v>∞</v>
      </c>
      <c r="P20" s="22">
        <f>COUNTIFS('GuestAttackPlay-by-Play'!$E:$E,B20,'GuestAttackPlay-by-Play'!$AM:$AM,"1")</f>
        <v>0</v>
      </c>
      <c r="Q20" s="22">
        <f>COUNTIFS('GuestAttackPlay-by-Play'!$E:$E,B20,'GuestAttackPlay-by-Play'!$R:$R,"*壘安")+R20</f>
        <v>0</v>
      </c>
      <c r="R20" s="22">
        <f>COUNTIFS('GuestAttackPlay-by-Play'!$E:$E,B20,'GuestAttackPlay-by-Play'!$R:$R,"全壘打")</f>
        <v>0</v>
      </c>
      <c r="S20" s="22">
        <f>COUNTIFS('GuestAttackPlay-by-Play'!$E:$E,B20,'GuestAttackPlay-by-Play'!$R:$R,"四壞")</f>
        <v>0</v>
      </c>
      <c r="T20" s="22">
        <f>COUNTIFS('GuestAttackPlay-by-Play'!$E:$E,B20,'GuestAttackPlay-by-Play'!$R:$R,"敬遠")</f>
        <v>0</v>
      </c>
      <c r="U20" s="22">
        <f>COUNTIFS('GuestAttackPlay-by-Play'!$E:$E,B20,'GuestAttackPlay-by-Play'!$R:$R,"觸身球")</f>
        <v>0</v>
      </c>
      <c r="V20" s="22">
        <f>COUNTIFS('GuestAttackPlay-by-Play'!$E:$E,B20,'GuestAttackPlay-by-Play'!$R:$R,"*三振")</f>
        <v>0</v>
      </c>
      <c r="W20" s="22">
        <f>COUNTIFS('GuestAttackPlay-by-Play'!$E:$E,B20,'GuestAttackPlay-by-Play'!$R:$R,"犧牲觸擊")</f>
        <v>0</v>
      </c>
      <c r="X20" s="22">
        <f>COUNTIFS('GuestAttackPlay-by-Play'!$E:$E,B20,'GuestAttackPlay-by-Play'!$R:$R,"高飛犧牲")</f>
        <v>0</v>
      </c>
      <c r="Y20" s="22">
        <f>COUNTIFS('GuestAttackPlay-by-Play'!$E:$E,B20,'GuestAttackPlay-by-Play'!$R:$R,"暴投")</f>
        <v>0</v>
      </c>
      <c r="Z20" s="22">
        <f>COUNTIFS('GuestAttackPlay-by-Play'!$E:$E,B20,'GuestAttackPlay-by-Play'!$R:$R,"投手犯規")</f>
        <v>0</v>
      </c>
      <c r="AA20" s="22">
        <f>SUMIF('GuestAttackPlay-by-Play'!$E:$E,B20,'GuestAttackPlay-by-Play'!$AF:$AF)+SUMIF('GuestAttackPlay-by-Play'!$E:$E,B20,'GuestAttackPlay-by-Play'!$AG:$AG)</f>
        <v>0</v>
      </c>
      <c r="AB20" s="22">
        <f>SUMIF('GuestAttackPlay-by-Play'!$E:$E,B20,'GuestAttackPlay-by-Play'!$AG:$AG)</f>
        <v>0</v>
      </c>
      <c r="AD20" s="32">
        <f>COUNTIFS('GuestAttackPlay-by-Play'!$E:$E,B20,'GuestAttackPlay-by-Play'!$AK:$AK,"1")</f>
        <v>0</v>
      </c>
    </row>
    <row r="21" spans="1:30" s="22" customFormat="1" x14ac:dyDescent="0.3">
      <c r="A21" s="38">
        <f>IF(Roster!C21="","-",Roster!C21)</f>
        <v>45</v>
      </c>
      <c r="B21" s="38" t="str">
        <f>IF(A21="-","-",VLOOKUP(A21,Roster!$C$2:$D$27,2,FALSE))</f>
        <v>樂天馮健庭</v>
      </c>
      <c r="C21" s="22" t="str">
        <f>IF(COUNTIF('GuestAttackPlay-by-Play'!$E:$E,B21)&gt;=1,"1","0")</f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4">
        <f t="shared" si="0"/>
        <v>0</v>
      </c>
      <c r="N21" s="24" t="str">
        <f t="shared" si="2"/>
        <v>∞</v>
      </c>
      <c r="O21" s="29" t="str">
        <f t="shared" si="1"/>
        <v>∞</v>
      </c>
      <c r="P21" s="22">
        <f>COUNTIFS('GuestAttackPlay-by-Play'!$E:$E,B21,'GuestAttackPlay-by-Play'!$AM:$AM,"1")</f>
        <v>0</v>
      </c>
      <c r="Q21" s="22">
        <f>COUNTIFS('GuestAttackPlay-by-Play'!$E:$E,B21,'GuestAttackPlay-by-Play'!$R:$R,"*壘安")+R21</f>
        <v>0</v>
      </c>
      <c r="R21" s="22">
        <f>COUNTIFS('GuestAttackPlay-by-Play'!$E:$E,B21,'GuestAttackPlay-by-Play'!$R:$R,"全壘打")</f>
        <v>0</v>
      </c>
      <c r="S21" s="22">
        <f>COUNTIFS('GuestAttackPlay-by-Play'!$E:$E,B21,'GuestAttackPlay-by-Play'!$R:$R,"四壞")</f>
        <v>0</v>
      </c>
      <c r="T21" s="22">
        <f>COUNTIFS('GuestAttackPlay-by-Play'!$E:$E,B21,'GuestAttackPlay-by-Play'!$R:$R,"敬遠")</f>
        <v>0</v>
      </c>
      <c r="U21" s="22">
        <f>COUNTIFS('GuestAttackPlay-by-Play'!$E:$E,B21,'GuestAttackPlay-by-Play'!$R:$R,"觸身球")</f>
        <v>0</v>
      </c>
      <c r="V21" s="22">
        <f>COUNTIFS('GuestAttackPlay-by-Play'!$E:$E,B21,'GuestAttackPlay-by-Play'!$R:$R,"*三振")</f>
        <v>0</v>
      </c>
      <c r="W21" s="22">
        <f>COUNTIFS('GuestAttackPlay-by-Play'!$E:$E,B21,'GuestAttackPlay-by-Play'!$R:$R,"犧牲觸擊")</f>
        <v>0</v>
      </c>
      <c r="X21" s="22">
        <f>COUNTIFS('GuestAttackPlay-by-Play'!$E:$E,B21,'GuestAttackPlay-by-Play'!$R:$R,"高飛犧牲")</f>
        <v>0</v>
      </c>
      <c r="Y21" s="22">
        <f>COUNTIFS('GuestAttackPlay-by-Play'!$E:$E,B21,'GuestAttackPlay-by-Play'!$R:$R,"暴投")</f>
        <v>0</v>
      </c>
      <c r="Z21" s="22">
        <f>COUNTIFS('GuestAttackPlay-by-Play'!$E:$E,B21,'GuestAttackPlay-by-Play'!$R:$R,"投手犯規")</f>
        <v>0</v>
      </c>
      <c r="AA21" s="22">
        <f>SUMIF('GuestAttackPlay-by-Play'!$E:$E,B21,'GuestAttackPlay-by-Play'!$AF:$AF)+SUMIF('GuestAttackPlay-by-Play'!$E:$E,B21,'GuestAttackPlay-by-Play'!$AG:$AG)</f>
        <v>0</v>
      </c>
      <c r="AB21" s="22">
        <f>SUMIF('GuestAttackPlay-by-Play'!$E:$E,B21,'GuestAttackPlay-by-Play'!$AG:$AG)</f>
        <v>0</v>
      </c>
      <c r="AD21" s="32">
        <f>COUNTIFS('GuestAttackPlay-by-Play'!$E:$E,B21,'GuestAttackPlay-by-Play'!$AK:$AK,"1")</f>
        <v>0</v>
      </c>
    </row>
    <row r="22" spans="1:30" s="29" customFormat="1" x14ac:dyDescent="0.3">
      <c r="A22" s="38">
        <f>IF(Roster!C22="","-",Roster!C22)</f>
        <v>58</v>
      </c>
      <c r="B22" s="38" t="str">
        <f>IF(A22="-","-",VLOOKUP(A22,Roster!$C$2:$D$27,2,FALSE))</f>
        <v>樂天廖健富</v>
      </c>
      <c r="C22" s="22" t="str">
        <f>IF(COUNTIF('GuestAttackPlay-by-Play'!$E:$E,B22)&gt;=1,"1","0")</f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24">
        <f t="shared" si="0"/>
        <v>0</v>
      </c>
      <c r="N22" s="24" t="str">
        <f t="shared" si="2"/>
        <v>∞</v>
      </c>
      <c r="O22" s="29" t="str">
        <f t="shared" si="1"/>
        <v>∞</v>
      </c>
      <c r="P22" s="22">
        <f>COUNTIFS('GuestAttackPlay-by-Play'!$E:$E,B22,'GuestAttackPlay-by-Play'!$AM:$AM,"1")</f>
        <v>0</v>
      </c>
      <c r="Q22" s="22">
        <f>COUNTIFS('GuestAttackPlay-by-Play'!$E:$E,B22,'GuestAttackPlay-by-Play'!$R:$R,"*壘安")+R22</f>
        <v>0</v>
      </c>
      <c r="R22" s="22">
        <f>COUNTIFS('GuestAttackPlay-by-Play'!$E:$E,B22,'GuestAttackPlay-by-Play'!$R:$R,"全壘打")</f>
        <v>0</v>
      </c>
      <c r="S22" s="22">
        <f>COUNTIFS('GuestAttackPlay-by-Play'!$E:$E,B22,'GuestAttackPlay-by-Play'!$R:$R,"四壞")</f>
        <v>0</v>
      </c>
      <c r="T22" s="22">
        <f>COUNTIFS('GuestAttackPlay-by-Play'!$E:$E,B22,'GuestAttackPlay-by-Play'!$R:$R,"敬遠")</f>
        <v>0</v>
      </c>
      <c r="U22" s="22">
        <f>COUNTIFS('GuestAttackPlay-by-Play'!$E:$E,B22,'GuestAttackPlay-by-Play'!$R:$R,"觸身球")</f>
        <v>0</v>
      </c>
      <c r="V22" s="22">
        <f>COUNTIFS('GuestAttackPlay-by-Play'!$E:$E,B22,'GuestAttackPlay-by-Play'!$R:$R,"*三振")</f>
        <v>0</v>
      </c>
      <c r="W22" s="22">
        <f>COUNTIFS('GuestAttackPlay-by-Play'!$E:$E,B22,'GuestAttackPlay-by-Play'!$R:$R,"犧牲觸擊")</f>
        <v>0</v>
      </c>
      <c r="X22" s="22">
        <f>COUNTIFS('GuestAttackPlay-by-Play'!$E:$E,B22,'GuestAttackPlay-by-Play'!$R:$R,"高飛犧牲")</f>
        <v>0</v>
      </c>
      <c r="Y22" s="22">
        <f>COUNTIFS('GuestAttackPlay-by-Play'!$E:$E,B22,'GuestAttackPlay-by-Play'!$R:$R,"暴投")</f>
        <v>0</v>
      </c>
      <c r="Z22" s="22">
        <f>COUNTIFS('GuestAttackPlay-by-Play'!$E:$E,B22,'GuestAttackPlay-by-Play'!$R:$R,"投手犯規")</f>
        <v>0</v>
      </c>
      <c r="AA22" s="22">
        <f>SUMIF('GuestAttackPlay-by-Play'!$E:$E,B22,'GuestAttackPlay-by-Play'!$AF:$AF)+SUMIF('GuestAttackPlay-by-Play'!$E:$E,B22,'GuestAttackPlay-by-Play'!$AG:$AG)</f>
        <v>0</v>
      </c>
      <c r="AB22" s="22">
        <f>SUMIF('GuestAttackPlay-by-Play'!$E:$E,B22,'GuestAttackPlay-by-Play'!$AG:$AG)</f>
        <v>0</v>
      </c>
      <c r="AD22" s="32">
        <f>COUNTIFS('GuestAttackPlay-by-Play'!$E:$E,B22,'GuestAttackPlay-by-Play'!$AK:$AK,"1")</f>
        <v>0</v>
      </c>
    </row>
    <row r="23" spans="1:30" s="22" customFormat="1" x14ac:dyDescent="0.3">
      <c r="A23" s="38">
        <f>IF(Roster!C23="","-",Roster!C23)</f>
        <v>62</v>
      </c>
      <c r="B23" s="38" t="str">
        <f>IF(A23="-","-",VLOOKUP(A23,Roster!$C$2:$D$27,2,FALSE))</f>
        <v>樂天嚴宏鈞</v>
      </c>
      <c r="C23" s="22" t="str">
        <f>IF(COUNTIF('GuestAttackPlay-by-Play'!$E:$E,B23)&gt;=1,"1","0")</f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4">
        <f t="shared" si="0"/>
        <v>0</v>
      </c>
      <c r="N23" s="24" t="str">
        <f t="shared" si="2"/>
        <v>∞</v>
      </c>
      <c r="O23" s="29" t="str">
        <f t="shared" si="1"/>
        <v>∞</v>
      </c>
      <c r="P23" s="22">
        <f>COUNTIFS('GuestAttackPlay-by-Play'!$E:$E,B23,'GuestAttackPlay-by-Play'!$AM:$AM,"1")</f>
        <v>0</v>
      </c>
      <c r="Q23" s="22">
        <f>COUNTIFS('GuestAttackPlay-by-Play'!$E:$E,B23,'GuestAttackPlay-by-Play'!$R:$R,"*壘安")+R23</f>
        <v>0</v>
      </c>
      <c r="R23" s="22">
        <f>COUNTIFS('GuestAttackPlay-by-Play'!$E:$E,B23,'GuestAttackPlay-by-Play'!$R:$R,"全壘打")</f>
        <v>0</v>
      </c>
      <c r="S23" s="22">
        <f>COUNTIFS('GuestAttackPlay-by-Play'!$E:$E,B23,'GuestAttackPlay-by-Play'!$R:$R,"四壞")</f>
        <v>0</v>
      </c>
      <c r="T23" s="22">
        <f>COUNTIFS('GuestAttackPlay-by-Play'!$E:$E,B23,'GuestAttackPlay-by-Play'!$R:$R,"敬遠")</f>
        <v>0</v>
      </c>
      <c r="U23" s="22">
        <f>COUNTIFS('GuestAttackPlay-by-Play'!$E:$E,B23,'GuestAttackPlay-by-Play'!$R:$R,"觸身球")</f>
        <v>0</v>
      </c>
      <c r="V23" s="22">
        <f>COUNTIFS('GuestAttackPlay-by-Play'!$E:$E,B23,'GuestAttackPlay-by-Play'!$R:$R,"*三振")</f>
        <v>0</v>
      </c>
      <c r="W23" s="22">
        <f>COUNTIFS('GuestAttackPlay-by-Play'!$E:$E,B23,'GuestAttackPlay-by-Play'!$R:$R,"犧牲觸擊")</f>
        <v>0</v>
      </c>
      <c r="X23" s="22">
        <f>COUNTIFS('GuestAttackPlay-by-Play'!$E:$E,B23,'GuestAttackPlay-by-Play'!$R:$R,"高飛犧牲")</f>
        <v>0</v>
      </c>
      <c r="Y23" s="22">
        <f>COUNTIFS('GuestAttackPlay-by-Play'!$E:$E,B23,'GuestAttackPlay-by-Play'!$R:$R,"暴投")</f>
        <v>0</v>
      </c>
      <c r="Z23" s="22">
        <f>COUNTIFS('GuestAttackPlay-by-Play'!$E:$E,B23,'GuestAttackPlay-by-Play'!$R:$R,"投手犯規")</f>
        <v>0</v>
      </c>
      <c r="AA23" s="22">
        <f>SUMIF('GuestAttackPlay-by-Play'!$E:$E,B23,'GuestAttackPlay-by-Play'!$AF:$AF)+SUMIF('GuestAttackPlay-by-Play'!$E:$E,B23,'GuestAttackPlay-by-Play'!$AG:$AG)</f>
        <v>0</v>
      </c>
      <c r="AB23" s="22">
        <f>SUMIF('GuestAttackPlay-by-Play'!$E:$E,B23,'GuestAttackPlay-by-Play'!$AG:$AG)</f>
        <v>0</v>
      </c>
      <c r="AD23" s="32">
        <f>COUNTIFS('GuestAttackPlay-by-Play'!$E:$E,B23,'GuestAttackPlay-by-Play'!$AK:$AK,"1")</f>
        <v>0</v>
      </c>
    </row>
    <row r="24" spans="1:30" s="29" customFormat="1" ht="15" customHeight="1" x14ac:dyDescent="0.3">
      <c r="A24" s="38">
        <f>IF(Roster!C24="","-",Roster!C24)</f>
        <v>82</v>
      </c>
      <c r="B24" s="38" t="str">
        <f>IF(A24="-","-",VLOOKUP(A24,Roster!$C$2:$D$27,2,FALSE))</f>
        <v>樂天黃敬瑋</v>
      </c>
      <c r="C24" s="22" t="str">
        <f>IF(COUNTIF('GuestAttackPlay-by-Play'!$E:$E,B24)&gt;=1,"1","0")</f>
        <v>0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24">
        <f t="shared" si="0"/>
        <v>0</v>
      </c>
      <c r="N24" s="24" t="str">
        <f t="shared" si="2"/>
        <v>∞</v>
      </c>
      <c r="O24" s="29" t="str">
        <f t="shared" si="1"/>
        <v>∞</v>
      </c>
      <c r="P24" s="22">
        <f>COUNTIFS('GuestAttackPlay-by-Play'!$E:$E,B24,'GuestAttackPlay-by-Play'!$AM:$AM,"1")</f>
        <v>0</v>
      </c>
      <c r="Q24" s="22">
        <f>COUNTIFS('GuestAttackPlay-by-Play'!$E:$E,B24,'GuestAttackPlay-by-Play'!$R:$R,"*壘安")+R24</f>
        <v>0</v>
      </c>
      <c r="R24" s="22">
        <f>COUNTIFS('GuestAttackPlay-by-Play'!$E:$E,B24,'GuestAttackPlay-by-Play'!$R:$R,"全壘打")</f>
        <v>0</v>
      </c>
      <c r="S24" s="22">
        <f>COUNTIFS('GuestAttackPlay-by-Play'!$E:$E,B24,'GuestAttackPlay-by-Play'!$R:$R,"四壞")</f>
        <v>0</v>
      </c>
      <c r="T24" s="22">
        <f>COUNTIFS('GuestAttackPlay-by-Play'!$E:$E,B24,'GuestAttackPlay-by-Play'!$R:$R,"敬遠")</f>
        <v>0</v>
      </c>
      <c r="U24" s="22">
        <f>COUNTIFS('GuestAttackPlay-by-Play'!$E:$E,B24,'GuestAttackPlay-by-Play'!$R:$R,"觸身球")</f>
        <v>0</v>
      </c>
      <c r="V24" s="22">
        <f>COUNTIFS('GuestAttackPlay-by-Play'!$E:$E,B24,'GuestAttackPlay-by-Play'!$R:$R,"*三振")</f>
        <v>0</v>
      </c>
      <c r="W24" s="22">
        <f>COUNTIFS('GuestAttackPlay-by-Play'!$E:$E,B24,'GuestAttackPlay-by-Play'!$R:$R,"犧牲觸擊")</f>
        <v>0</v>
      </c>
      <c r="X24" s="22">
        <f>COUNTIFS('GuestAttackPlay-by-Play'!$E:$E,B24,'GuestAttackPlay-by-Play'!$R:$R,"高飛犧牲")</f>
        <v>0</v>
      </c>
      <c r="Y24" s="22">
        <f>COUNTIFS('GuestAttackPlay-by-Play'!$E:$E,B24,'GuestAttackPlay-by-Play'!$R:$R,"暴投")</f>
        <v>0</v>
      </c>
      <c r="Z24" s="22">
        <f>COUNTIFS('GuestAttackPlay-by-Play'!$E:$E,B24,'GuestAttackPlay-by-Play'!$R:$R,"投手犯規")</f>
        <v>0</v>
      </c>
      <c r="AA24" s="22">
        <f>SUMIF('GuestAttackPlay-by-Play'!$E:$E,B24,'GuestAttackPlay-by-Play'!$AF:$AF)+SUMIF('GuestAttackPlay-by-Play'!$E:$E,B24,'GuestAttackPlay-by-Play'!$AG:$AG)</f>
        <v>0</v>
      </c>
      <c r="AB24" s="22">
        <f>SUMIF('GuestAttackPlay-by-Play'!$E:$E,B24,'GuestAttackPlay-by-Play'!$AG:$AG)</f>
        <v>0</v>
      </c>
      <c r="AD24" s="32">
        <f>COUNTIFS('GuestAttackPlay-by-Play'!$E:$E,B24,'GuestAttackPlay-by-Play'!$AK:$AK,"1")</f>
        <v>0</v>
      </c>
    </row>
    <row r="25" spans="1:30" s="22" customFormat="1" x14ac:dyDescent="0.3">
      <c r="A25" s="38">
        <f>IF(Roster!C25="","-",Roster!C25)</f>
        <v>85</v>
      </c>
      <c r="B25" s="38" t="str">
        <f>IF(A25="-","-",VLOOKUP(A25,Roster!$C$2:$D$27,2,FALSE))</f>
        <v>樂天朱育賢</v>
      </c>
      <c r="C25" s="22" t="str">
        <f>IF(COUNTIF('GuestAttackPlay-by-Play'!$E:$E,B25)&gt;=1,"1","0")</f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7">
        <v>0</v>
      </c>
      <c r="L25" s="27">
        <v>0</v>
      </c>
      <c r="M25" s="24">
        <f t="shared" si="0"/>
        <v>0</v>
      </c>
      <c r="N25" s="24" t="str">
        <f t="shared" si="2"/>
        <v>∞</v>
      </c>
      <c r="O25" s="29" t="str">
        <f t="shared" si="1"/>
        <v>∞</v>
      </c>
      <c r="P25" s="22">
        <f>COUNTIFS('GuestAttackPlay-by-Play'!$E:$E,B25,'GuestAttackPlay-by-Play'!$AM:$AM,"1")</f>
        <v>0</v>
      </c>
      <c r="Q25" s="22">
        <f>COUNTIFS('GuestAttackPlay-by-Play'!$E:$E,B25,'GuestAttackPlay-by-Play'!$R:$R,"*壘安")+R25</f>
        <v>0</v>
      </c>
      <c r="R25" s="22">
        <f>COUNTIFS('GuestAttackPlay-by-Play'!$E:$E,B25,'GuestAttackPlay-by-Play'!$R:$R,"全壘打")</f>
        <v>0</v>
      </c>
      <c r="S25" s="22">
        <f>COUNTIFS('GuestAttackPlay-by-Play'!$E:$E,B25,'GuestAttackPlay-by-Play'!$R:$R,"四壞")</f>
        <v>0</v>
      </c>
      <c r="T25" s="22">
        <f>COUNTIFS('GuestAttackPlay-by-Play'!$E:$E,B25,'GuestAttackPlay-by-Play'!$R:$R,"敬遠")</f>
        <v>0</v>
      </c>
      <c r="U25" s="22">
        <f>COUNTIFS('GuestAttackPlay-by-Play'!$E:$E,B25,'GuestAttackPlay-by-Play'!$R:$R,"觸身球")</f>
        <v>0</v>
      </c>
      <c r="V25" s="22">
        <f>COUNTIFS('GuestAttackPlay-by-Play'!$E:$E,B25,'GuestAttackPlay-by-Play'!$R:$R,"*三振")</f>
        <v>0</v>
      </c>
      <c r="W25" s="22">
        <f>COUNTIFS('GuestAttackPlay-by-Play'!$E:$E,B25,'GuestAttackPlay-by-Play'!$R:$R,"犧牲觸擊")</f>
        <v>0</v>
      </c>
      <c r="X25" s="22">
        <f>COUNTIFS('GuestAttackPlay-by-Play'!$E:$E,B25,'GuestAttackPlay-by-Play'!$R:$R,"高飛犧牲")</f>
        <v>0</v>
      </c>
      <c r="Y25" s="22">
        <f>COUNTIFS('GuestAttackPlay-by-Play'!$E:$E,B25,'GuestAttackPlay-by-Play'!$R:$R,"暴投")</f>
        <v>0</v>
      </c>
      <c r="Z25" s="22">
        <f>COUNTIFS('GuestAttackPlay-by-Play'!$E:$E,B25,'GuestAttackPlay-by-Play'!$R:$R,"投手犯規")</f>
        <v>0</v>
      </c>
      <c r="AA25" s="22">
        <f>SUMIF('GuestAttackPlay-by-Play'!$E:$E,B25,'GuestAttackPlay-by-Play'!$AF:$AF)+SUMIF('GuestAttackPlay-by-Play'!$E:$E,B25,'GuestAttackPlay-by-Play'!$AG:$AG)</f>
        <v>0</v>
      </c>
      <c r="AB25" s="22">
        <f>SUMIF('GuestAttackPlay-by-Play'!$E:$E,B25,'GuestAttackPlay-by-Play'!$AG:$AG)</f>
        <v>0</v>
      </c>
      <c r="AD25" s="32">
        <f>COUNTIFS('GuestAttackPlay-by-Play'!$E:$E,B25,'GuestAttackPlay-by-Play'!$AK:$AK,"1")</f>
        <v>0</v>
      </c>
    </row>
    <row r="26" spans="1:30" x14ac:dyDescent="0.3">
      <c r="A26" s="38">
        <f>IF(Roster!C26="","-",Roster!C26)</f>
        <v>86</v>
      </c>
      <c r="B26" s="38" t="str">
        <f>IF(A26="-","-",VLOOKUP(A26,Roster!$C$2:$D$27,2,FALSE))</f>
        <v>樂天邱丹</v>
      </c>
      <c r="C26" s="38" t="str">
        <f>IF(COUNTIF('GuestAttackPlay-by-Play'!$E:$E,B26)&gt;=1,"1","0")</f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38">
        <f t="shared" si="0"/>
        <v>0</v>
      </c>
      <c r="N26" s="38" t="str">
        <f t="shared" si="2"/>
        <v>∞</v>
      </c>
      <c r="O26" s="29" t="str">
        <f t="shared" si="1"/>
        <v>∞</v>
      </c>
      <c r="P26" s="38">
        <f>COUNTIFS('GuestAttackPlay-by-Play'!$E:$E,B26,'GuestAttackPlay-by-Play'!$AM:$AM,"1")</f>
        <v>0</v>
      </c>
      <c r="Q26" s="38">
        <f>COUNTIFS('GuestAttackPlay-by-Play'!$E:$E,B26,'GuestAttackPlay-by-Play'!$R:$R,"*壘安")+R26</f>
        <v>0</v>
      </c>
      <c r="R26" s="38">
        <f>COUNTIFS('GuestAttackPlay-by-Play'!$E:$E,B26,'GuestAttackPlay-by-Play'!$R:$R,"全壘打")</f>
        <v>0</v>
      </c>
      <c r="S26" s="38">
        <f>COUNTIFS('GuestAttackPlay-by-Play'!$E:$E,B26,'GuestAttackPlay-by-Play'!$R:$R,"四壞")</f>
        <v>0</v>
      </c>
      <c r="T26" s="38">
        <f>COUNTIFS('GuestAttackPlay-by-Play'!$E:$E,B26,'GuestAttackPlay-by-Play'!$R:$R,"敬遠")</f>
        <v>0</v>
      </c>
      <c r="U26" s="38">
        <f>COUNTIFS('GuestAttackPlay-by-Play'!$E:$E,B26,'GuestAttackPlay-by-Play'!$R:$R,"觸身球")</f>
        <v>0</v>
      </c>
      <c r="V26" s="38">
        <f>COUNTIFS('GuestAttackPlay-by-Play'!$E:$E,B26,'GuestAttackPlay-by-Play'!$R:$R,"*三振")</f>
        <v>0</v>
      </c>
      <c r="W26" s="38">
        <f>COUNTIFS('GuestAttackPlay-by-Play'!$E:$E,B26,'GuestAttackPlay-by-Play'!$R:$R,"犧牲觸擊")</f>
        <v>0</v>
      </c>
      <c r="X26" s="38">
        <f>COUNTIFS('GuestAttackPlay-by-Play'!$E:$E,B26,'GuestAttackPlay-by-Play'!$R:$R,"高飛犧牲")</f>
        <v>0</v>
      </c>
      <c r="Y26" s="38">
        <f>COUNTIFS('GuestAttackPlay-by-Play'!$E:$E,B26,'GuestAttackPlay-by-Play'!$R:$R,"暴投")</f>
        <v>0</v>
      </c>
      <c r="Z26" s="38">
        <f>COUNTIFS('GuestAttackPlay-by-Play'!$E:$E,B26,'GuestAttackPlay-by-Play'!$R:$R,"投手犯規")</f>
        <v>0</v>
      </c>
      <c r="AA26" s="38">
        <f>SUMIF('GuestAttackPlay-by-Play'!$E:$E,B26,'GuestAttackPlay-by-Play'!$AF:$AF)+SUMIF('GuestAttackPlay-by-Play'!$E:$E,B26,'GuestAttackPlay-by-Play'!$AG:$AG)</f>
        <v>0</v>
      </c>
      <c r="AB26" s="38">
        <f>SUMIF('GuestAttackPlay-by-Play'!$E:$E,B26,'GuestAttackPlay-by-Play'!$AG:$AG)</f>
        <v>0</v>
      </c>
      <c r="AD26" s="38">
        <f>COUNTIFS('GuestAttackPlay-by-Play'!$E:$E,B26,'GuestAttackPlay-by-Play'!$AK:$AK,"1")</f>
        <v>0</v>
      </c>
    </row>
    <row r="27" spans="1:30" s="31" customFormat="1" x14ac:dyDescent="0.3">
      <c r="A27" s="38">
        <f>IF(Roster!C27="","-",Roster!C27)</f>
        <v>94</v>
      </c>
      <c r="B27" s="38" t="str">
        <f>IF(A27="-","-",VLOOKUP(A27,Roster!$C$2:$D$27,2,FALSE))</f>
        <v>樂天馬傑森</v>
      </c>
      <c r="C27" s="38" t="str">
        <f>IF(COUNTIF('GuestAttackPlay-by-Play'!$E:$E,B27)&gt;=1,"1","0")</f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>
        <v>0</v>
      </c>
      <c r="J27" s="27">
        <v>0</v>
      </c>
      <c r="K27" s="27">
        <v>0</v>
      </c>
      <c r="L27" s="27">
        <v>0</v>
      </c>
      <c r="M27" s="38">
        <f t="shared" si="0"/>
        <v>0</v>
      </c>
      <c r="N27" s="38" t="str">
        <f t="shared" si="2"/>
        <v>∞</v>
      </c>
      <c r="O27" s="29" t="str">
        <f t="shared" si="1"/>
        <v>∞</v>
      </c>
      <c r="P27" s="38">
        <f>COUNTIFS('GuestAttackPlay-by-Play'!$E:$E,B27,'GuestAttackPlay-by-Play'!$AM:$AM,"1")</f>
        <v>0</v>
      </c>
      <c r="Q27" s="38">
        <f>COUNTIFS('GuestAttackPlay-by-Play'!$E:$E,B27,'GuestAttackPlay-by-Play'!$R:$R,"*壘安")+R27</f>
        <v>0</v>
      </c>
      <c r="R27" s="38">
        <f>COUNTIFS('GuestAttackPlay-by-Play'!$E:$E,B27,'GuestAttackPlay-by-Play'!$R:$R,"全壘打")</f>
        <v>0</v>
      </c>
      <c r="S27" s="38">
        <f>COUNTIFS('GuestAttackPlay-by-Play'!$E:$E,B27,'GuestAttackPlay-by-Play'!$R:$R,"四壞")</f>
        <v>0</v>
      </c>
      <c r="T27" s="38">
        <f>COUNTIFS('GuestAttackPlay-by-Play'!$E:$E,B27,'GuestAttackPlay-by-Play'!$R:$R,"敬遠")</f>
        <v>0</v>
      </c>
      <c r="U27" s="38">
        <f>COUNTIFS('GuestAttackPlay-by-Play'!$E:$E,B27,'GuestAttackPlay-by-Play'!$R:$R,"觸身球")</f>
        <v>0</v>
      </c>
      <c r="V27" s="38">
        <f>COUNTIFS('GuestAttackPlay-by-Play'!$E:$E,B27,'GuestAttackPlay-by-Play'!$R:$R,"*三振")</f>
        <v>0</v>
      </c>
      <c r="W27" s="38">
        <f>COUNTIFS('GuestAttackPlay-by-Play'!$E:$E,B27,'GuestAttackPlay-by-Play'!$R:$R,"犧牲觸擊")</f>
        <v>0</v>
      </c>
      <c r="X27" s="38">
        <f>COUNTIFS('GuestAttackPlay-by-Play'!$E:$E,B27,'GuestAttackPlay-by-Play'!$R:$R,"高飛犧牲")</f>
        <v>0</v>
      </c>
      <c r="Y27" s="38">
        <f>COUNTIFS('GuestAttackPlay-by-Play'!$E:$E,B27,'GuestAttackPlay-by-Play'!$R:$R,"暴投")</f>
        <v>0</v>
      </c>
      <c r="Z27" s="38">
        <f>COUNTIFS('GuestAttackPlay-by-Play'!$E:$E,B27,'GuestAttackPlay-by-Play'!$R:$R,"投手犯規")</f>
        <v>0</v>
      </c>
      <c r="AA27" s="38">
        <f>SUMIF('GuestAttackPlay-by-Play'!$E:$E,B27,'GuestAttackPlay-by-Play'!$AF:$AF)+SUMIF('GuestAttackPlay-by-Play'!$E:$E,B27,'GuestAttackPlay-by-Play'!$AG:$AG)</f>
        <v>0</v>
      </c>
      <c r="AB27" s="38">
        <f>SUMIF('GuestAttackPlay-by-Play'!$E:$E,B27,'GuestAttackPlay-by-Play'!$AG:$AG)</f>
        <v>0</v>
      </c>
      <c r="AD27" s="38">
        <f>COUNTIFS('GuestAttackPlay-by-Play'!$E:$E,B27,'GuestAttackPlay-by-Play'!$AK:$AK,"1")</f>
        <v>0</v>
      </c>
    </row>
    <row r="28" spans="1:30" s="17" customFormat="1" x14ac:dyDescent="0.3"/>
    <row r="29" spans="1:30" s="31" customFormat="1" x14ac:dyDescent="0.3"/>
    <row r="30" spans="1:30" s="31" customFormat="1" x14ac:dyDescent="0.3"/>
    <row r="31" spans="1:30" s="31" customFormat="1" x14ac:dyDescent="0.3"/>
    <row r="32" spans="1:30" s="31" customFormat="1" x14ac:dyDescent="0.3"/>
    <row r="33" s="31" customFormat="1" x14ac:dyDescent="0.3"/>
    <row r="34" s="31" customFormat="1" x14ac:dyDescent="0.3"/>
    <row r="35" s="31" customFormat="1" x14ac:dyDescent="0.3"/>
    <row r="36" s="31" customFormat="1" x14ac:dyDescent="0.3"/>
    <row r="37" s="31" customFormat="1" x14ac:dyDescent="0.3"/>
    <row r="38" s="31" customFormat="1" x14ac:dyDescent="0.3"/>
    <row r="39" s="31" customFormat="1" x14ac:dyDescent="0.3"/>
    <row r="40" s="31" customFormat="1" x14ac:dyDescent="0.3"/>
    <row r="41" s="31" customFormat="1" x14ac:dyDescent="0.3"/>
    <row r="42" s="31" customFormat="1" x14ac:dyDescent="0.3"/>
    <row r="43" s="31" customFormat="1" x14ac:dyDescent="0.3"/>
    <row r="44" s="31" customFormat="1" x14ac:dyDescent="0.3"/>
    <row r="45" s="31" customFormat="1" x14ac:dyDescent="0.3"/>
    <row r="46" s="31" customFormat="1" x14ac:dyDescent="0.3"/>
    <row r="47" s="31" customFormat="1" x14ac:dyDescent="0.3"/>
    <row r="48" s="31" customFormat="1" x14ac:dyDescent="0.3"/>
    <row r="49" s="31" customFormat="1" x14ac:dyDescent="0.3"/>
    <row r="50" s="31" customFormat="1" x14ac:dyDescent="0.3"/>
    <row r="51" s="31" customFormat="1" x14ac:dyDescent="0.3"/>
    <row r="52" s="31" customFormat="1" x14ac:dyDescent="0.3"/>
    <row r="53" s="31" customFormat="1" x14ac:dyDescent="0.3"/>
    <row r="54" s="31" customFormat="1" x14ac:dyDescent="0.3"/>
    <row r="55" s="31" customFormat="1" x14ac:dyDescent="0.3"/>
    <row r="56" s="31" customFormat="1" x14ac:dyDescent="0.3"/>
    <row r="57" s="31" customFormat="1" x14ac:dyDescent="0.3"/>
    <row r="58" s="31" customFormat="1" x14ac:dyDescent="0.3"/>
    <row r="59" s="31" customFormat="1" x14ac:dyDescent="0.3"/>
    <row r="60" s="31" customFormat="1" x14ac:dyDescent="0.3"/>
    <row r="61" s="31" customFormat="1" x14ac:dyDescent="0.3"/>
    <row r="62" s="31" customFormat="1" x14ac:dyDescent="0.3"/>
    <row r="63" s="31" customFormat="1" x14ac:dyDescent="0.3"/>
    <row r="64" s="31" customFormat="1" x14ac:dyDescent="0.3"/>
    <row r="65" s="31" customFormat="1" x14ac:dyDescent="0.3"/>
    <row r="66" s="31" customFormat="1" x14ac:dyDescent="0.3"/>
    <row r="67" s="31" customFormat="1" x14ac:dyDescent="0.3"/>
    <row r="68" s="31" customFormat="1" x14ac:dyDescent="0.3"/>
    <row r="69" s="31" customFormat="1" x14ac:dyDescent="0.3"/>
    <row r="70" s="31" customFormat="1" x14ac:dyDescent="0.3"/>
    <row r="71" s="31" customFormat="1" x14ac:dyDescent="0.3"/>
    <row r="72" s="31" customFormat="1" x14ac:dyDescent="0.3"/>
    <row r="73" s="31" customFormat="1" x14ac:dyDescent="0.3"/>
    <row r="74" s="31" customFormat="1" x14ac:dyDescent="0.3"/>
    <row r="75" s="31" customFormat="1" x14ac:dyDescent="0.3"/>
    <row r="76" s="31" customFormat="1" x14ac:dyDescent="0.3"/>
    <row r="77" s="31" customFormat="1" x14ac:dyDescent="0.3"/>
    <row r="78" s="31" customFormat="1" x14ac:dyDescent="0.3"/>
    <row r="79" s="31" customFormat="1" x14ac:dyDescent="0.3"/>
    <row r="80" s="31" customFormat="1" x14ac:dyDescent="0.3"/>
    <row r="81" s="31" customFormat="1" x14ac:dyDescent="0.3"/>
    <row r="82" s="31" customFormat="1" x14ac:dyDescent="0.3"/>
    <row r="83" s="31" customFormat="1" x14ac:dyDescent="0.3"/>
    <row r="84" s="31" customFormat="1" x14ac:dyDescent="0.3"/>
    <row r="85" s="31" customFormat="1" x14ac:dyDescent="0.3"/>
    <row r="86" s="31" customFormat="1" x14ac:dyDescent="0.3"/>
    <row r="87" s="31" customFormat="1" x14ac:dyDescent="0.3"/>
    <row r="88" s="31" customFormat="1" x14ac:dyDescent="0.3"/>
    <row r="89" s="31" customFormat="1" x14ac:dyDescent="0.3"/>
    <row r="90" s="31" customFormat="1" x14ac:dyDescent="0.3"/>
    <row r="91" s="31" customFormat="1" x14ac:dyDescent="0.3"/>
    <row r="92" s="31" customFormat="1" x14ac:dyDescent="0.3"/>
    <row r="93" s="31" customFormat="1" x14ac:dyDescent="0.3"/>
    <row r="94" s="31" customFormat="1" x14ac:dyDescent="0.3"/>
    <row r="95" s="31" customFormat="1" x14ac:dyDescent="0.3"/>
    <row r="96" s="31" customFormat="1" x14ac:dyDescent="0.3"/>
    <row r="97" s="31" customFormat="1" x14ac:dyDescent="0.3"/>
    <row r="98" s="31" customFormat="1" x14ac:dyDescent="0.3"/>
    <row r="99" s="31" customFormat="1" x14ac:dyDescent="0.3"/>
    <row r="100" s="31" customFormat="1" x14ac:dyDescent="0.3"/>
    <row r="101" s="31" customFormat="1" x14ac:dyDescent="0.3"/>
    <row r="102" s="31" customFormat="1" x14ac:dyDescent="0.3"/>
    <row r="103" s="31" customFormat="1" x14ac:dyDescent="0.3"/>
    <row r="104" s="31" customFormat="1" x14ac:dyDescent="0.3"/>
    <row r="105" s="31" customFormat="1" x14ac:dyDescent="0.3"/>
    <row r="106" s="31" customFormat="1" x14ac:dyDescent="0.3"/>
    <row r="107" s="31" customFormat="1" x14ac:dyDescent="0.3"/>
    <row r="108" s="31" customFormat="1" x14ac:dyDescent="0.3"/>
    <row r="109" s="31" customFormat="1" x14ac:dyDescent="0.3"/>
    <row r="110" s="31" customFormat="1" x14ac:dyDescent="0.3"/>
    <row r="111" s="31" customFormat="1" x14ac:dyDescent="0.3"/>
    <row r="112" s="31" customFormat="1" x14ac:dyDescent="0.3"/>
    <row r="113" s="31" customFormat="1" x14ac:dyDescent="0.3"/>
    <row r="114" s="31" customFormat="1" x14ac:dyDescent="0.3"/>
    <row r="115" s="31" customFormat="1" x14ac:dyDescent="0.3"/>
    <row r="116" s="31" customFormat="1" x14ac:dyDescent="0.3"/>
    <row r="117" s="31" customFormat="1" x14ac:dyDescent="0.3"/>
    <row r="118" s="31" customFormat="1" x14ac:dyDescent="0.3"/>
    <row r="119" s="31" customFormat="1" x14ac:dyDescent="0.3"/>
    <row r="120" s="31" customFormat="1" x14ac:dyDescent="0.3"/>
    <row r="121" s="31" customFormat="1" x14ac:dyDescent="0.3"/>
    <row r="122" s="31" customFormat="1" x14ac:dyDescent="0.3"/>
    <row r="123" s="31" customFormat="1" x14ac:dyDescent="0.3"/>
    <row r="124" s="31" customFormat="1" x14ac:dyDescent="0.3"/>
    <row r="125" s="31" customFormat="1" x14ac:dyDescent="0.3"/>
    <row r="126" s="31" customFormat="1" x14ac:dyDescent="0.3"/>
    <row r="127" s="31" customFormat="1" x14ac:dyDescent="0.3"/>
    <row r="128" s="31" customFormat="1" x14ac:dyDescent="0.3"/>
    <row r="129" s="31" customFormat="1" x14ac:dyDescent="0.3"/>
    <row r="130" s="31" customFormat="1" x14ac:dyDescent="0.3"/>
    <row r="131" s="31" customFormat="1" x14ac:dyDescent="0.3"/>
    <row r="132" s="31" customFormat="1" x14ac:dyDescent="0.3"/>
    <row r="133" s="31" customFormat="1" x14ac:dyDescent="0.3"/>
    <row r="134" s="31" customFormat="1" x14ac:dyDescent="0.3"/>
    <row r="135" s="31" customFormat="1" x14ac:dyDescent="0.3"/>
    <row r="136" s="31" customFormat="1" x14ac:dyDescent="0.3"/>
    <row r="137" s="31" customFormat="1" x14ac:dyDescent="0.3"/>
    <row r="138" s="31" customFormat="1" x14ac:dyDescent="0.3"/>
    <row r="139" s="31" customFormat="1" x14ac:dyDescent="0.3"/>
    <row r="140" s="31" customFormat="1" x14ac:dyDescent="0.3"/>
    <row r="141" s="31" customFormat="1" x14ac:dyDescent="0.3"/>
    <row r="142" s="31" customFormat="1" x14ac:dyDescent="0.3"/>
    <row r="143" s="31" customFormat="1" x14ac:dyDescent="0.3"/>
    <row r="144" s="31" customFormat="1" x14ac:dyDescent="0.3"/>
    <row r="145" s="31" customFormat="1" x14ac:dyDescent="0.3"/>
    <row r="146" s="31" customFormat="1" x14ac:dyDescent="0.3"/>
    <row r="147" s="31" customFormat="1" x14ac:dyDescent="0.3"/>
    <row r="148" s="31" customFormat="1" x14ac:dyDescent="0.3"/>
    <row r="149" s="31" customFormat="1" x14ac:dyDescent="0.3"/>
    <row r="150" s="31" customFormat="1" x14ac:dyDescent="0.3"/>
    <row r="151" s="31" customFormat="1" x14ac:dyDescent="0.3"/>
    <row r="152" s="31" customFormat="1" x14ac:dyDescent="0.3"/>
    <row r="153" s="31" customFormat="1" x14ac:dyDescent="0.3"/>
    <row r="154" s="31" customFormat="1" x14ac:dyDescent="0.3"/>
    <row r="155" s="31" customFormat="1" x14ac:dyDescent="0.3"/>
    <row r="156" s="31" customFormat="1" x14ac:dyDescent="0.3"/>
    <row r="157" s="31" customFormat="1" x14ac:dyDescent="0.3"/>
    <row r="158" s="31" customFormat="1" x14ac:dyDescent="0.3"/>
    <row r="159" s="31" customFormat="1" x14ac:dyDescent="0.3"/>
    <row r="160" s="31" customFormat="1" x14ac:dyDescent="0.3"/>
    <row r="161" s="31" customFormat="1" x14ac:dyDescent="0.3"/>
    <row r="162" s="31" customFormat="1" x14ac:dyDescent="0.3"/>
    <row r="163" s="31" customFormat="1" x14ac:dyDescent="0.3"/>
    <row r="164" s="31" customFormat="1" x14ac:dyDescent="0.3"/>
    <row r="165" s="31" customFormat="1" x14ac:dyDescent="0.3"/>
    <row r="166" s="31" customFormat="1" x14ac:dyDescent="0.3"/>
    <row r="167" s="31" customFormat="1" x14ac:dyDescent="0.3"/>
    <row r="168" s="31" customFormat="1" x14ac:dyDescent="0.3"/>
    <row r="169" s="31" customFormat="1" x14ac:dyDescent="0.3"/>
    <row r="170" s="31" customFormat="1" x14ac:dyDescent="0.3"/>
    <row r="171" s="31" customFormat="1" x14ac:dyDescent="0.3"/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BG36"/>
  <sheetViews>
    <sheetView workbookViewId="0">
      <selection activeCell="G7" sqref="G7"/>
    </sheetView>
  </sheetViews>
  <sheetFormatPr defaultRowHeight="16.2" x14ac:dyDescent="0.3"/>
  <cols>
    <col min="7" max="7" width="14" customWidth="1"/>
  </cols>
  <sheetData>
    <row r="1" spans="1:59" x14ac:dyDescent="0.3">
      <c r="A1" t="s">
        <v>159</v>
      </c>
      <c r="B1" s="44" t="s">
        <v>610</v>
      </c>
      <c r="F1" t="s">
        <v>160</v>
      </c>
      <c r="G1" s="44" t="s">
        <v>631</v>
      </c>
      <c r="H1" t="s">
        <v>161</v>
      </c>
      <c r="I1">
        <v>148</v>
      </c>
      <c r="L1" t="s">
        <v>162</v>
      </c>
      <c r="M1" s="44" t="s">
        <v>620</v>
      </c>
    </row>
    <row r="2" spans="1:59" x14ac:dyDescent="0.3">
      <c r="A2" t="s">
        <v>127</v>
      </c>
      <c r="B2" t="s">
        <v>22</v>
      </c>
      <c r="C2" t="s">
        <v>5</v>
      </c>
      <c r="D2" t="s">
        <v>163</v>
      </c>
      <c r="E2" t="s">
        <v>164</v>
      </c>
      <c r="F2" t="s">
        <v>165</v>
      </c>
      <c r="G2" s="44" t="s">
        <v>632</v>
      </c>
      <c r="L2" t="s">
        <v>127</v>
      </c>
      <c r="M2" t="s">
        <v>22</v>
      </c>
      <c r="N2" t="s">
        <v>166</v>
      </c>
      <c r="O2" t="s">
        <v>152</v>
      </c>
      <c r="P2" t="s">
        <v>127</v>
      </c>
      <c r="BG2" s="14">
        <v>0.43824074074074071</v>
      </c>
    </row>
    <row r="3" spans="1:59" x14ac:dyDescent="0.3">
      <c r="A3" t="s">
        <v>128</v>
      </c>
      <c r="B3">
        <v>1</v>
      </c>
      <c r="C3">
        <v>0</v>
      </c>
      <c r="D3" t="s">
        <v>734</v>
      </c>
      <c r="E3" s="9" t="s">
        <v>128</v>
      </c>
      <c r="F3" t="s">
        <v>167</v>
      </c>
      <c r="G3" s="44" t="s">
        <v>633</v>
      </c>
      <c r="L3" t="s">
        <v>128</v>
      </c>
      <c r="M3">
        <v>1</v>
      </c>
      <c r="N3">
        <v>18</v>
      </c>
      <c r="O3" t="s">
        <v>727</v>
      </c>
      <c r="P3" s="9" t="s">
        <v>128</v>
      </c>
    </row>
    <row r="4" spans="1:59" x14ac:dyDescent="0.3">
      <c r="A4">
        <v>1</v>
      </c>
      <c r="B4">
        <v>9</v>
      </c>
      <c r="C4">
        <v>39</v>
      </c>
      <c r="D4" t="s">
        <v>612</v>
      </c>
      <c r="E4" s="9">
        <v>1</v>
      </c>
      <c r="F4" t="s">
        <v>129</v>
      </c>
      <c r="G4" s="44" t="s">
        <v>634</v>
      </c>
      <c r="L4">
        <v>1</v>
      </c>
      <c r="M4">
        <v>5</v>
      </c>
      <c r="N4">
        <v>9</v>
      </c>
      <c r="O4" t="s">
        <v>622</v>
      </c>
      <c r="P4" s="9">
        <v>1</v>
      </c>
    </row>
    <row r="5" spans="1:59" x14ac:dyDescent="0.3">
      <c r="A5">
        <v>2</v>
      </c>
      <c r="B5">
        <v>7</v>
      </c>
      <c r="C5">
        <v>86</v>
      </c>
      <c r="D5" t="s">
        <v>613</v>
      </c>
      <c r="E5" s="9">
        <v>2</v>
      </c>
      <c r="F5" t="s">
        <v>130</v>
      </c>
      <c r="G5" s="44" t="s">
        <v>635</v>
      </c>
      <c r="L5">
        <v>2</v>
      </c>
      <c r="M5">
        <v>6</v>
      </c>
      <c r="N5">
        <v>90</v>
      </c>
      <c r="O5" t="s">
        <v>623</v>
      </c>
      <c r="P5" s="9">
        <v>2</v>
      </c>
    </row>
    <row r="6" spans="1:59" x14ac:dyDescent="0.3">
      <c r="A6">
        <v>3</v>
      </c>
      <c r="B6">
        <v>2</v>
      </c>
      <c r="C6">
        <v>58</v>
      </c>
      <c r="D6" t="s">
        <v>614</v>
      </c>
      <c r="E6" s="9">
        <v>3</v>
      </c>
      <c r="F6" t="s">
        <v>168</v>
      </c>
      <c r="G6" s="44" t="s">
        <v>636</v>
      </c>
      <c r="L6">
        <v>3</v>
      </c>
      <c r="M6">
        <v>8</v>
      </c>
      <c r="N6">
        <v>4</v>
      </c>
      <c r="O6" t="s">
        <v>624</v>
      </c>
      <c r="P6" s="9">
        <v>3</v>
      </c>
    </row>
    <row r="7" spans="1:59" x14ac:dyDescent="0.3">
      <c r="A7">
        <v>4</v>
      </c>
      <c r="B7">
        <v>3</v>
      </c>
      <c r="C7">
        <v>7</v>
      </c>
      <c r="D7" t="s">
        <v>729</v>
      </c>
      <c r="E7" s="9">
        <v>4</v>
      </c>
      <c r="F7" t="s">
        <v>169</v>
      </c>
      <c r="G7" s="44" t="s">
        <v>637</v>
      </c>
      <c r="L7">
        <v>4</v>
      </c>
      <c r="M7">
        <v>9</v>
      </c>
      <c r="N7">
        <v>1</v>
      </c>
      <c r="O7" t="s">
        <v>625</v>
      </c>
      <c r="P7" s="9">
        <v>4</v>
      </c>
    </row>
    <row r="8" spans="1:59" x14ac:dyDescent="0.3">
      <c r="A8">
        <v>5</v>
      </c>
      <c r="B8">
        <v>10</v>
      </c>
      <c r="C8">
        <v>85</v>
      </c>
      <c r="D8" t="s">
        <v>615</v>
      </c>
      <c r="E8" s="9">
        <v>5</v>
      </c>
      <c r="F8" t="s">
        <v>170</v>
      </c>
      <c r="G8" s="44" t="s">
        <v>638</v>
      </c>
      <c r="L8">
        <v>5</v>
      </c>
      <c r="M8">
        <v>7</v>
      </c>
      <c r="N8">
        <v>39</v>
      </c>
      <c r="O8" t="s">
        <v>626</v>
      </c>
      <c r="P8" s="9">
        <v>5</v>
      </c>
    </row>
    <row r="9" spans="1:59" x14ac:dyDescent="0.3">
      <c r="A9">
        <v>6</v>
      </c>
      <c r="B9">
        <v>5</v>
      </c>
      <c r="C9">
        <v>5</v>
      </c>
      <c r="D9" t="s">
        <v>616</v>
      </c>
      <c r="E9" s="9">
        <v>6</v>
      </c>
      <c r="F9" t="s">
        <v>131</v>
      </c>
      <c r="G9" s="44"/>
      <c r="L9">
        <v>6</v>
      </c>
      <c r="M9">
        <v>10</v>
      </c>
      <c r="N9">
        <v>25</v>
      </c>
      <c r="O9" t="s">
        <v>627</v>
      </c>
      <c r="P9" s="9">
        <v>6</v>
      </c>
    </row>
    <row r="10" spans="1:59" x14ac:dyDescent="0.3">
      <c r="A10">
        <v>7</v>
      </c>
      <c r="B10">
        <v>4</v>
      </c>
      <c r="C10">
        <v>94</v>
      </c>
      <c r="D10" t="s">
        <v>617</v>
      </c>
      <c r="E10" s="9">
        <v>7</v>
      </c>
      <c r="F10" t="s">
        <v>171</v>
      </c>
      <c r="G10" s="44"/>
      <c r="L10">
        <v>7</v>
      </c>
      <c r="M10">
        <v>3</v>
      </c>
      <c r="N10">
        <v>74</v>
      </c>
      <c r="O10" t="s">
        <v>628</v>
      </c>
      <c r="P10" s="9">
        <v>7</v>
      </c>
    </row>
    <row r="11" spans="1:59" x14ac:dyDescent="0.3">
      <c r="A11">
        <v>8</v>
      </c>
      <c r="B11">
        <v>6</v>
      </c>
      <c r="C11">
        <v>6</v>
      </c>
      <c r="D11" t="s">
        <v>618</v>
      </c>
      <c r="E11" s="9">
        <v>8</v>
      </c>
      <c r="L11">
        <v>8</v>
      </c>
      <c r="M11">
        <v>2</v>
      </c>
      <c r="N11">
        <v>65</v>
      </c>
      <c r="O11" t="s">
        <v>629</v>
      </c>
      <c r="P11" s="9">
        <v>8</v>
      </c>
    </row>
    <row r="12" spans="1:59" x14ac:dyDescent="0.3">
      <c r="A12">
        <v>9</v>
      </c>
      <c r="B12">
        <v>8</v>
      </c>
      <c r="C12">
        <v>35</v>
      </c>
      <c r="D12" t="s">
        <v>619</v>
      </c>
      <c r="E12" s="9">
        <v>9</v>
      </c>
      <c r="L12">
        <v>9</v>
      </c>
      <c r="M12">
        <v>4</v>
      </c>
      <c r="N12">
        <v>63</v>
      </c>
      <c r="O12" t="s">
        <v>630</v>
      </c>
      <c r="P12" s="9">
        <v>9</v>
      </c>
    </row>
    <row r="14" spans="1:59" x14ac:dyDescent="0.3">
      <c r="A14" t="s">
        <v>22</v>
      </c>
      <c r="B14" t="s">
        <v>164</v>
      </c>
      <c r="C14" t="s">
        <v>5</v>
      </c>
      <c r="D14" t="s">
        <v>172</v>
      </c>
    </row>
    <row r="15" spans="1:59" x14ac:dyDescent="0.3">
      <c r="A15">
        <v>1</v>
      </c>
      <c r="B15" t="s">
        <v>173</v>
      </c>
      <c r="C15">
        <f t="shared" ref="C15:C24" si="0">VLOOKUP(A15,$B$3:$C$12,2,FALSE)</f>
        <v>0</v>
      </c>
      <c r="D15" t="str">
        <f t="shared" ref="D15:D24" si="1">VLOOKUP(C15,$C$3:$D$12,2,FALSE)</f>
        <v>樂天陳禹勳</v>
      </c>
      <c r="E15" s="9">
        <f>VLOOKUP(A15,$B$3:$C$12,2,FALSE)</f>
        <v>0</v>
      </c>
      <c r="F15" s="9" t="str">
        <f t="shared" ref="F15:F24" si="2">VLOOKUP(C15,$C$3:$D$12,2,FALSE)</f>
        <v>樂天陳禹勳</v>
      </c>
      <c r="L15">
        <v>1</v>
      </c>
      <c r="M15" t="s">
        <v>128</v>
      </c>
      <c r="N15">
        <f t="shared" ref="N15:N24" si="3">VLOOKUP(L15,$M$3:$N$12,2,FALSE)</f>
        <v>18</v>
      </c>
      <c r="O15" t="str">
        <f>VLOOKUP(N15,$N$3:$O$12,2,FALSE)</f>
        <v>兄弟官大元</v>
      </c>
      <c r="P15" s="9">
        <f>VLOOKUP(L15,$M$3:$N$12,2,FALSE)</f>
        <v>18</v>
      </c>
      <c r="Q15" s="9" t="str">
        <f>VLOOKUP(N15,$N$3:$O$12,2,FALSE)</f>
        <v>兄弟官大元</v>
      </c>
    </row>
    <row r="16" spans="1:59" x14ac:dyDescent="0.3">
      <c r="A16">
        <v>2</v>
      </c>
      <c r="B16">
        <f t="shared" ref="B16:B24" si="4">VLOOKUP(D16,$D$3:$E$12,2,FALSE)</f>
        <v>3</v>
      </c>
      <c r="C16">
        <f t="shared" si="0"/>
        <v>58</v>
      </c>
      <c r="D16" t="str">
        <f t="shared" si="1"/>
        <v>樂天廖健富</v>
      </c>
      <c r="E16" s="9">
        <f t="shared" ref="E16:E24" si="5">VLOOKUP(A16,$B$3:$C$12,2,FALSE)</f>
        <v>58</v>
      </c>
      <c r="F16" s="9" t="str">
        <f t="shared" si="2"/>
        <v>樂天廖健富</v>
      </c>
      <c r="L16">
        <v>2</v>
      </c>
      <c r="M16">
        <f t="shared" ref="M16:M24" si="6">VLOOKUP(O16,$O$3:$P$12,2,FALSE)</f>
        <v>8</v>
      </c>
      <c r="N16">
        <f t="shared" si="3"/>
        <v>65</v>
      </c>
      <c r="O16" t="str">
        <f t="shared" ref="O16:O24" si="7">VLOOKUP(N16,$N$3:$O$12,2,FALSE)</f>
        <v>兄弟高宇杰</v>
      </c>
      <c r="P16" s="9">
        <f t="shared" ref="P16:P24" si="8">VLOOKUP(L16,$M$3:$N$12,2,FALSE)</f>
        <v>65</v>
      </c>
      <c r="Q16" s="9" t="str">
        <f t="shared" ref="Q16:Q24" si="9">VLOOKUP(N16,$N$3:$O$12,2,FALSE)</f>
        <v>兄弟高宇杰</v>
      </c>
    </row>
    <row r="17" spans="1:17" x14ac:dyDescent="0.3">
      <c r="A17">
        <v>3</v>
      </c>
      <c r="B17">
        <f t="shared" si="4"/>
        <v>4</v>
      </c>
      <c r="C17">
        <f t="shared" si="0"/>
        <v>7</v>
      </c>
      <c r="D17" t="str">
        <f t="shared" si="1"/>
        <v>樂天郭永維</v>
      </c>
      <c r="E17" s="9">
        <f t="shared" si="5"/>
        <v>7</v>
      </c>
      <c r="F17" s="9" t="str">
        <f t="shared" si="2"/>
        <v>樂天郭永維</v>
      </c>
      <c r="L17">
        <v>3</v>
      </c>
      <c r="M17">
        <f t="shared" si="6"/>
        <v>7</v>
      </c>
      <c r="N17">
        <f t="shared" si="3"/>
        <v>74</v>
      </c>
      <c r="O17" t="str">
        <f t="shared" si="7"/>
        <v>兄弟許基宏</v>
      </c>
      <c r="P17" s="9">
        <f t="shared" si="8"/>
        <v>74</v>
      </c>
      <c r="Q17" s="9" t="str">
        <f t="shared" si="9"/>
        <v>兄弟許基宏</v>
      </c>
    </row>
    <row r="18" spans="1:17" x14ac:dyDescent="0.3">
      <c r="A18">
        <v>4</v>
      </c>
      <c r="B18">
        <f t="shared" si="4"/>
        <v>7</v>
      </c>
      <c r="C18">
        <f t="shared" si="0"/>
        <v>94</v>
      </c>
      <c r="D18" t="str">
        <f t="shared" si="1"/>
        <v>樂天馬傑森</v>
      </c>
      <c r="E18" s="9">
        <f t="shared" si="5"/>
        <v>94</v>
      </c>
      <c r="F18" s="9" t="str">
        <f t="shared" si="2"/>
        <v>樂天馬傑森</v>
      </c>
      <c r="L18">
        <v>4</v>
      </c>
      <c r="M18">
        <f t="shared" si="6"/>
        <v>9</v>
      </c>
      <c r="N18">
        <f t="shared" si="3"/>
        <v>63</v>
      </c>
      <c r="O18" t="str">
        <f t="shared" si="7"/>
        <v>兄弟潘志芳</v>
      </c>
      <c r="P18" s="9">
        <f t="shared" si="8"/>
        <v>63</v>
      </c>
      <c r="Q18" s="9" t="str">
        <f t="shared" si="9"/>
        <v>兄弟潘志芳</v>
      </c>
    </row>
    <row r="19" spans="1:17" x14ac:dyDescent="0.3">
      <c r="A19">
        <v>5</v>
      </c>
      <c r="B19">
        <f t="shared" si="4"/>
        <v>6</v>
      </c>
      <c r="C19">
        <f t="shared" si="0"/>
        <v>5</v>
      </c>
      <c r="D19" t="str">
        <f t="shared" si="1"/>
        <v>樂天梁家榮</v>
      </c>
      <c r="E19" s="9">
        <f t="shared" si="5"/>
        <v>5</v>
      </c>
      <c r="F19" s="9" t="str">
        <f t="shared" si="2"/>
        <v>樂天梁家榮</v>
      </c>
      <c r="L19">
        <v>5</v>
      </c>
      <c r="M19">
        <f t="shared" si="6"/>
        <v>1</v>
      </c>
      <c r="N19">
        <f t="shared" si="3"/>
        <v>9</v>
      </c>
      <c r="O19" t="str">
        <f t="shared" si="7"/>
        <v>兄弟王威晨</v>
      </c>
      <c r="P19" s="9">
        <f t="shared" si="8"/>
        <v>9</v>
      </c>
      <c r="Q19" s="9" t="str">
        <f t="shared" si="9"/>
        <v>兄弟王威晨</v>
      </c>
    </row>
    <row r="20" spans="1:17" x14ac:dyDescent="0.3">
      <c r="A20">
        <v>6</v>
      </c>
      <c r="B20">
        <f t="shared" si="4"/>
        <v>8</v>
      </c>
      <c r="C20">
        <f t="shared" si="0"/>
        <v>6</v>
      </c>
      <c r="D20" t="str">
        <f t="shared" si="1"/>
        <v>樂天林承飛</v>
      </c>
      <c r="E20" s="9">
        <f t="shared" si="5"/>
        <v>6</v>
      </c>
      <c r="F20" s="9" t="str">
        <f t="shared" si="2"/>
        <v>樂天林承飛</v>
      </c>
      <c r="L20">
        <v>6</v>
      </c>
      <c r="M20">
        <f t="shared" si="6"/>
        <v>2</v>
      </c>
      <c r="N20">
        <f t="shared" si="3"/>
        <v>90</v>
      </c>
      <c r="O20" t="str">
        <f t="shared" si="7"/>
        <v>兄弟江坤宇</v>
      </c>
      <c r="P20" s="9">
        <f t="shared" si="8"/>
        <v>90</v>
      </c>
      <c r="Q20" s="9" t="str">
        <f t="shared" si="9"/>
        <v>兄弟江坤宇</v>
      </c>
    </row>
    <row r="21" spans="1:17" x14ac:dyDescent="0.3">
      <c r="A21">
        <v>7</v>
      </c>
      <c r="B21">
        <f t="shared" si="4"/>
        <v>2</v>
      </c>
      <c r="C21">
        <f t="shared" si="0"/>
        <v>86</v>
      </c>
      <c r="D21" t="str">
        <f t="shared" si="1"/>
        <v>樂天邱丹</v>
      </c>
      <c r="E21" s="9">
        <f t="shared" si="5"/>
        <v>86</v>
      </c>
      <c r="F21" s="9" t="str">
        <f t="shared" si="2"/>
        <v>樂天邱丹</v>
      </c>
      <c r="L21">
        <v>7</v>
      </c>
      <c r="M21">
        <f t="shared" si="6"/>
        <v>5</v>
      </c>
      <c r="N21">
        <f t="shared" si="3"/>
        <v>39</v>
      </c>
      <c r="O21" t="str">
        <f t="shared" si="7"/>
        <v>兄弟詹子賢</v>
      </c>
      <c r="P21" s="9">
        <f t="shared" si="8"/>
        <v>39</v>
      </c>
      <c r="Q21" s="9" t="str">
        <f t="shared" si="9"/>
        <v>兄弟詹子賢</v>
      </c>
    </row>
    <row r="22" spans="1:17" x14ac:dyDescent="0.3">
      <c r="A22">
        <v>8</v>
      </c>
      <c r="B22">
        <f t="shared" si="4"/>
        <v>9</v>
      </c>
      <c r="C22">
        <f t="shared" si="0"/>
        <v>35</v>
      </c>
      <c r="D22" t="str">
        <f t="shared" si="1"/>
        <v>樂天成晉</v>
      </c>
      <c r="E22" s="9">
        <f t="shared" si="5"/>
        <v>35</v>
      </c>
      <c r="F22" s="9" t="str">
        <f t="shared" si="2"/>
        <v>樂天成晉</v>
      </c>
      <c r="L22">
        <v>8</v>
      </c>
      <c r="M22">
        <f t="shared" si="6"/>
        <v>3</v>
      </c>
      <c r="N22">
        <f t="shared" si="3"/>
        <v>4</v>
      </c>
      <c r="O22" t="str">
        <f t="shared" si="7"/>
        <v>兄弟陳文杰</v>
      </c>
      <c r="P22" s="9">
        <f t="shared" si="8"/>
        <v>4</v>
      </c>
      <c r="Q22" s="9" t="str">
        <f t="shared" si="9"/>
        <v>兄弟陳文杰</v>
      </c>
    </row>
    <row r="23" spans="1:17" x14ac:dyDescent="0.3">
      <c r="A23">
        <v>9</v>
      </c>
      <c r="B23">
        <f t="shared" si="4"/>
        <v>1</v>
      </c>
      <c r="C23">
        <f t="shared" si="0"/>
        <v>39</v>
      </c>
      <c r="D23" t="str">
        <f t="shared" si="1"/>
        <v>樂天林立</v>
      </c>
      <c r="E23" s="9">
        <f t="shared" si="5"/>
        <v>39</v>
      </c>
      <c r="F23" s="9" t="str">
        <f t="shared" si="2"/>
        <v>樂天林立</v>
      </c>
      <c r="L23">
        <v>9</v>
      </c>
      <c r="M23">
        <f t="shared" si="6"/>
        <v>4</v>
      </c>
      <c r="N23">
        <f t="shared" si="3"/>
        <v>1</v>
      </c>
      <c r="O23" t="str">
        <f t="shared" si="7"/>
        <v>兄弟陳子豪</v>
      </c>
      <c r="P23" s="9">
        <f t="shared" si="8"/>
        <v>1</v>
      </c>
      <c r="Q23" s="9" t="str">
        <f t="shared" si="9"/>
        <v>兄弟陳子豪</v>
      </c>
    </row>
    <row r="24" spans="1:17" x14ac:dyDescent="0.3">
      <c r="A24">
        <v>10</v>
      </c>
      <c r="B24">
        <f t="shared" si="4"/>
        <v>5</v>
      </c>
      <c r="C24">
        <f t="shared" si="0"/>
        <v>85</v>
      </c>
      <c r="D24" t="str">
        <f t="shared" si="1"/>
        <v>樂天朱育賢</v>
      </c>
      <c r="E24" s="9">
        <f t="shared" si="5"/>
        <v>85</v>
      </c>
      <c r="F24" s="9" t="str">
        <f t="shared" si="2"/>
        <v>樂天朱育賢</v>
      </c>
      <c r="L24">
        <v>10</v>
      </c>
      <c r="M24">
        <f t="shared" si="6"/>
        <v>6</v>
      </c>
      <c r="N24">
        <f t="shared" si="3"/>
        <v>25</v>
      </c>
      <c r="O24" t="str">
        <f t="shared" si="7"/>
        <v>兄弟林智勝</v>
      </c>
      <c r="P24" s="9">
        <f t="shared" si="8"/>
        <v>25</v>
      </c>
      <c r="Q24" s="9" t="str">
        <f t="shared" si="9"/>
        <v>兄弟林智勝</v>
      </c>
    </row>
    <row r="26" spans="1:17" x14ac:dyDescent="0.3">
      <c r="F26" t="s">
        <v>174</v>
      </c>
      <c r="Q26" t="s">
        <v>175</v>
      </c>
    </row>
    <row r="27" spans="1:17" x14ac:dyDescent="0.3">
      <c r="A27" t="str">
        <f t="shared" ref="A27:A36" si="10">A3</f>
        <v>P</v>
      </c>
      <c r="B27">
        <f>VLOOKUP(A27,$B$15:$C$24,2,FALSE)</f>
        <v>0</v>
      </c>
      <c r="C27" t="str">
        <f>VLOOKUP(B27,$C$15:$D$24,2,FALSE)</f>
        <v>樂天陳禹勳</v>
      </c>
      <c r="F27" s="9">
        <v>4</v>
      </c>
      <c r="L27" t="str">
        <f>L3</f>
        <v>P</v>
      </c>
      <c r="M27">
        <f>VLOOKUP(L27,$M$15:$N$24,2,FALSE)</f>
        <v>18</v>
      </c>
      <c r="N27" t="str">
        <f>VLOOKUP(M27,$N$15:$O$24,2,FALSE)</f>
        <v>兄弟官大元</v>
      </c>
      <c r="Q27" s="9">
        <v>3</v>
      </c>
    </row>
    <row r="28" spans="1:17" x14ac:dyDescent="0.3">
      <c r="A28">
        <f t="shared" si="10"/>
        <v>1</v>
      </c>
      <c r="B28">
        <f t="shared" ref="B28:B36" si="11">VLOOKUP(A28,$B$15:$C$24,2,FALSE)</f>
        <v>39</v>
      </c>
      <c r="C28" t="str">
        <f t="shared" ref="C28:C36" si="12">VLOOKUP(B28,$C$15:$D$24,2,FALSE)</f>
        <v>樂天林立</v>
      </c>
      <c r="L28">
        <f t="shared" ref="L28:L36" si="13">L4</f>
        <v>1</v>
      </c>
      <c r="M28">
        <f t="shared" ref="M28:M36" si="14">VLOOKUP(L28,$M$15:$N$24,2,FALSE)</f>
        <v>9</v>
      </c>
      <c r="N28" t="str">
        <f t="shared" ref="N28:N36" si="15">VLOOKUP(M28,$N$15:$O$24,2,FALSE)</f>
        <v>兄弟王威晨</v>
      </c>
    </row>
    <row r="29" spans="1:17" x14ac:dyDescent="0.3">
      <c r="A29">
        <f t="shared" si="10"/>
        <v>2</v>
      </c>
      <c r="B29">
        <f t="shared" si="11"/>
        <v>86</v>
      </c>
      <c r="C29" t="str">
        <f t="shared" si="12"/>
        <v>樂天邱丹</v>
      </c>
      <c r="L29">
        <f t="shared" si="13"/>
        <v>2</v>
      </c>
      <c r="M29">
        <f t="shared" si="14"/>
        <v>90</v>
      </c>
      <c r="N29" t="str">
        <f t="shared" si="15"/>
        <v>兄弟江坤宇</v>
      </c>
    </row>
    <row r="30" spans="1:17" x14ac:dyDescent="0.3">
      <c r="A30">
        <f t="shared" si="10"/>
        <v>3</v>
      </c>
      <c r="B30">
        <f t="shared" si="11"/>
        <v>58</v>
      </c>
      <c r="C30" t="str">
        <f t="shared" si="12"/>
        <v>樂天廖健富</v>
      </c>
      <c r="L30">
        <f t="shared" si="13"/>
        <v>3</v>
      </c>
      <c r="M30">
        <f t="shared" si="14"/>
        <v>4</v>
      </c>
      <c r="N30" t="str">
        <f t="shared" si="15"/>
        <v>兄弟陳文杰</v>
      </c>
    </row>
    <row r="31" spans="1:17" x14ac:dyDescent="0.3">
      <c r="A31">
        <f t="shared" si="10"/>
        <v>4</v>
      </c>
      <c r="B31">
        <f t="shared" si="11"/>
        <v>7</v>
      </c>
      <c r="C31" t="str">
        <f t="shared" si="12"/>
        <v>樂天郭永維</v>
      </c>
      <c r="L31">
        <f t="shared" si="13"/>
        <v>4</v>
      </c>
      <c r="M31">
        <f t="shared" si="14"/>
        <v>1</v>
      </c>
      <c r="N31" t="str">
        <f t="shared" si="15"/>
        <v>兄弟陳子豪</v>
      </c>
    </row>
    <row r="32" spans="1:17" x14ac:dyDescent="0.3">
      <c r="A32">
        <f t="shared" si="10"/>
        <v>5</v>
      </c>
      <c r="B32">
        <f t="shared" si="11"/>
        <v>85</v>
      </c>
      <c r="C32" t="str">
        <f t="shared" si="12"/>
        <v>樂天朱育賢</v>
      </c>
      <c r="L32">
        <f t="shared" si="13"/>
        <v>5</v>
      </c>
      <c r="M32">
        <f t="shared" si="14"/>
        <v>39</v>
      </c>
      <c r="N32" t="str">
        <f t="shared" si="15"/>
        <v>兄弟詹子賢</v>
      </c>
    </row>
    <row r="33" spans="1:14" x14ac:dyDescent="0.3">
      <c r="A33">
        <f t="shared" si="10"/>
        <v>6</v>
      </c>
      <c r="B33">
        <f t="shared" si="11"/>
        <v>5</v>
      </c>
      <c r="C33" t="str">
        <f t="shared" si="12"/>
        <v>樂天梁家榮</v>
      </c>
      <c r="L33">
        <f t="shared" si="13"/>
        <v>6</v>
      </c>
      <c r="M33">
        <f t="shared" si="14"/>
        <v>25</v>
      </c>
      <c r="N33" t="str">
        <f t="shared" si="15"/>
        <v>兄弟林智勝</v>
      </c>
    </row>
    <row r="34" spans="1:14" x14ac:dyDescent="0.3">
      <c r="A34">
        <f t="shared" si="10"/>
        <v>7</v>
      </c>
      <c r="B34">
        <f t="shared" si="11"/>
        <v>94</v>
      </c>
      <c r="C34" t="str">
        <f t="shared" si="12"/>
        <v>樂天馬傑森</v>
      </c>
      <c r="L34">
        <f t="shared" si="13"/>
        <v>7</v>
      </c>
      <c r="M34">
        <f t="shared" si="14"/>
        <v>74</v>
      </c>
      <c r="N34" t="str">
        <f t="shared" si="15"/>
        <v>兄弟許基宏</v>
      </c>
    </row>
    <row r="35" spans="1:14" x14ac:dyDescent="0.3">
      <c r="A35">
        <f t="shared" si="10"/>
        <v>8</v>
      </c>
      <c r="B35">
        <f t="shared" si="11"/>
        <v>6</v>
      </c>
      <c r="C35" t="str">
        <f t="shared" si="12"/>
        <v>樂天林承飛</v>
      </c>
      <c r="L35">
        <f t="shared" si="13"/>
        <v>8</v>
      </c>
      <c r="M35">
        <f t="shared" si="14"/>
        <v>65</v>
      </c>
      <c r="N35" t="str">
        <f t="shared" si="15"/>
        <v>兄弟高宇杰</v>
      </c>
    </row>
    <row r="36" spans="1:14" x14ac:dyDescent="0.3">
      <c r="A36">
        <f t="shared" si="10"/>
        <v>9</v>
      </c>
      <c r="B36">
        <f t="shared" si="11"/>
        <v>35</v>
      </c>
      <c r="C36" t="str">
        <f t="shared" si="12"/>
        <v>樂天成晉</v>
      </c>
      <c r="L36">
        <f t="shared" si="13"/>
        <v>9</v>
      </c>
      <c r="M36">
        <f t="shared" si="14"/>
        <v>63</v>
      </c>
      <c r="N36" t="str">
        <f t="shared" si="15"/>
        <v>兄弟潘志芳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BG2"/>
  <sheetViews>
    <sheetView workbookViewId="0">
      <selection activeCell="A2" sqref="A2"/>
    </sheetView>
  </sheetViews>
  <sheetFormatPr defaultRowHeight="16.2" x14ac:dyDescent="0.3"/>
  <cols>
    <col min="1" max="2" width="11.88671875" customWidth="1"/>
  </cols>
  <sheetData>
    <row r="1" spans="1:59" x14ac:dyDescent="0.3">
      <c r="A1" t="s">
        <v>102</v>
      </c>
      <c r="B1" t="s">
        <v>103</v>
      </c>
      <c r="C1" t="s">
        <v>104</v>
      </c>
      <c r="F1">
        <v>1</v>
      </c>
    </row>
    <row r="2" spans="1:59" x14ac:dyDescent="0.3">
      <c r="A2" t="s">
        <v>105</v>
      </c>
      <c r="B2" t="s">
        <v>106</v>
      </c>
      <c r="C2">
        <v>2015</v>
      </c>
      <c r="BG2" s="14">
        <v>0.64146990740740739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"/>
  <dimension ref="A1:BG39"/>
  <sheetViews>
    <sheetView zoomScaleNormal="100" workbookViewId="0">
      <selection activeCell="A2" sqref="A2"/>
    </sheetView>
  </sheetViews>
  <sheetFormatPr defaultRowHeight="16.2" x14ac:dyDescent="0.3"/>
  <cols>
    <col min="1" max="1" width="12.44140625" bestFit="1" customWidth="1"/>
    <col min="7" max="8" width="9" style="37"/>
    <col min="16" max="16" width="16.44140625" bestFit="1" customWidth="1"/>
    <col min="19" max="19" width="12.44140625" bestFit="1" customWidth="1"/>
    <col min="20" max="20" width="9.44140625" bestFit="1" customWidth="1"/>
  </cols>
  <sheetData>
    <row r="1" spans="1:59" x14ac:dyDescent="0.3">
      <c r="A1" s="69" t="s">
        <v>151</v>
      </c>
      <c r="B1" s="70"/>
      <c r="C1" s="59" t="s">
        <v>111</v>
      </c>
      <c r="D1" s="59" t="s">
        <v>222</v>
      </c>
      <c r="E1" s="59" t="s">
        <v>223</v>
      </c>
      <c r="F1" s="40"/>
      <c r="G1" s="58"/>
      <c r="H1" s="58"/>
      <c r="I1" s="69" t="s">
        <v>224</v>
      </c>
      <c r="J1" s="70"/>
      <c r="K1" s="60" t="s">
        <v>225</v>
      </c>
      <c r="L1" s="60" t="s">
        <v>152</v>
      </c>
      <c r="M1" s="59" t="s">
        <v>223</v>
      </c>
      <c r="N1" s="40"/>
    </row>
    <row r="2" spans="1:59" x14ac:dyDescent="0.3">
      <c r="C2" s="62">
        <v>0</v>
      </c>
      <c r="D2" s="62" t="s">
        <v>291</v>
      </c>
      <c r="E2" s="62" t="s">
        <v>603</v>
      </c>
      <c r="F2" s="58"/>
      <c r="G2" s="58"/>
      <c r="H2" s="58"/>
      <c r="I2" s="18"/>
      <c r="K2" s="62">
        <v>18</v>
      </c>
      <c r="L2" s="62" t="s">
        <v>283</v>
      </c>
      <c r="M2" s="62" t="s">
        <v>603</v>
      </c>
      <c r="BG2" s="14">
        <v>0.93488425925925922</v>
      </c>
    </row>
    <row r="3" spans="1:59" x14ac:dyDescent="0.3">
      <c r="C3" s="62">
        <v>4</v>
      </c>
      <c r="D3" s="62" t="s">
        <v>455</v>
      </c>
      <c r="E3" s="62" t="s">
        <v>603</v>
      </c>
      <c r="F3" s="58"/>
      <c r="G3" s="58"/>
      <c r="H3" s="58"/>
      <c r="I3" s="18"/>
      <c r="J3" s="19"/>
      <c r="K3" s="62">
        <v>19</v>
      </c>
      <c r="L3" s="62" t="s">
        <v>289</v>
      </c>
      <c r="M3" s="62" t="s">
        <v>603</v>
      </c>
      <c r="P3" s="16"/>
    </row>
    <row r="4" spans="1:59" x14ac:dyDescent="0.3">
      <c r="C4" s="62">
        <v>16</v>
      </c>
      <c r="D4" s="62" t="s">
        <v>471</v>
      </c>
      <c r="E4" s="62" t="s">
        <v>603</v>
      </c>
      <c r="F4" s="58"/>
      <c r="G4" s="58"/>
      <c r="H4" s="58"/>
      <c r="I4" s="18"/>
      <c r="J4" s="20"/>
      <c r="K4" s="62">
        <v>34</v>
      </c>
      <c r="L4" s="62" t="s">
        <v>304</v>
      </c>
      <c r="M4" s="62" t="s">
        <v>603</v>
      </c>
    </row>
    <row r="5" spans="1:59" x14ac:dyDescent="0.3">
      <c r="C5" s="62">
        <v>17</v>
      </c>
      <c r="D5" s="62" t="s">
        <v>415</v>
      </c>
      <c r="E5" s="62" t="s">
        <v>603</v>
      </c>
      <c r="F5" s="58"/>
      <c r="G5" s="58"/>
      <c r="H5" s="58"/>
      <c r="I5" s="18"/>
      <c r="J5" s="20"/>
      <c r="K5" s="62">
        <v>50</v>
      </c>
      <c r="L5" s="62" t="s">
        <v>462</v>
      </c>
      <c r="M5" s="62" t="s">
        <v>603</v>
      </c>
    </row>
    <row r="6" spans="1:59" x14ac:dyDescent="0.3">
      <c r="C6" s="62">
        <v>26</v>
      </c>
      <c r="D6" s="62" t="s">
        <v>433</v>
      </c>
      <c r="E6" s="62" t="s">
        <v>604</v>
      </c>
      <c r="F6" s="58"/>
      <c r="G6" s="58"/>
      <c r="H6" s="58"/>
      <c r="I6" s="18"/>
      <c r="J6" s="20"/>
      <c r="K6" s="62">
        <v>54</v>
      </c>
      <c r="L6" s="62" t="s">
        <v>264</v>
      </c>
      <c r="M6" s="62" t="s">
        <v>604</v>
      </c>
    </row>
    <row r="7" spans="1:59" x14ac:dyDescent="0.3">
      <c r="C7" s="62">
        <v>32</v>
      </c>
      <c r="D7" s="62" t="s">
        <v>316</v>
      </c>
      <c r="E7" s="62" t="s">
        <v>604</v>
      </c>
      <c r="F7" s="58"/>
      <c r="G7" s="58"/>
      <c r="H7" s="58"/>
      <c r="I7" s="18"/>
      <c r="J7" s="20"/>
      <c r="K7" s="62">
        <v>64</v>
      </c>
      <c r="L7" s="62" t="s">
        <v>318</v>
      </c>
      <c r="M7" s="62" t="s">
        <v>603</v>
      </c>
    </row>
    <row r="8" spans="1:59" x14ac:dyDescent="0.3">
      <c r="C8" s="62">
        <v>48</v>
      </c>
      <c r="D8" s="62" t="s">
        <v>605</v>
      </c>
      <c r="E8" s="62" t="s">
        <v>604</v>
      </c>
      <c r="F8" s="58"/>
      <c r="G8" s="58"/>
      <c r="H8" s="58"/>
      <c r="I8" s="18"/>
      <c r="J8" s="20"/>
      <c r="K8" s="62">
        <v>79</v>
      </c>
      <c r="L8" s="62" t="s">
        <v>487</v>
      </c>
      <c r="M8" s="62" t="s">
        <v>603</v>
      </c>
      <c r="S8" s="15"/>
    </row>
    <row r="9" spans="1:59" x14ac:dyDescent="0.3">
      <c r="C9" s="62">
        <v>60</v>
      </c>
      <c r="D9" s="62" t="s">
        <v>401</v>
      </c>
      <c r="E9" s="62" t="s">
        <v>603</v>
      </c>
      <c r="F9" s="58"/>
      <c r="G9" s="58"/>
      <c r="H9" s="58"/>
      <c r="I9" s="18"/>
      <c r="J9" s="20"/>
      <c r="K9" s="62">
        <v>94</v>
      </c>
      <c r="L9" s="62" t="s">
        <v>331</v>
      </c>
      <c r="M9" s="62" t="s">
        <v>603</v>
      </c>
    </row>
    <row r="10" spans="1:59" x14ac:dyDescent="0.3">
      <c r="C10" s="62">
        <v>69</v>
      </c>
      <c r="D10" s="62" t="s">
        <v>324</v>
      </c>
      <c r="E10" s="62" t="s">
        <v>603</v>
      </c>
      <c r="F10" s="58"/>
      <c r="G10" s="58"/>
      <c r="H10" s="58"/>
      <c r="I10" s="18"/>
      <c r="J10" s="20"/>
      <c r="K10" s="62">
        <v>55</v>
      </c>
      <c r="L10" s="62" t="s">
        <v>608</v>
      </c>
      <c r="M10" s="62" t="s">
        <v>603</v>
      </c>
    </row>
    <row r="11" spans="1:59" x14ac:dyDescent="0.3">
      <c r="C11" s="62">
        <v>13</v>
      </c>
      <c r="D11" s="62" t="s">
        <v>606</v>
      </c>
      <c r="E11" s="62" t="s">
        <v>604</v>
      </c>
      <c r="F11" s="58"/>
      <c r="G11" s="58"/>
      <c r="H11" s="58"/>
      <c r="I11" s="18"/>
      <c r="J11" s="20"/>
      <c r="K11" s="62">
        <v>35</v>
      </c>
      <c r="L11" s="62" t="s">
        <v>609</v>
      </c>
      <c r="M11" s="62" t="s">
        <v>603</v>
      </c>
    </row>
    <row r="12" spans="1:59" x14ac:dyDescent="0.3">
      <c r="C12" s="62">
        <v>61</v>
      </c>
      <c r="D12" s="62" t="s">
        <v>607</v>
      </c>
      <c r="E12" s="62" t="s">
        <v>603</v>
      </c>
      <c r="F12" s="58"/>
      <c r="G12" s="58"/>
      <c r="H12" s="58"/>
      <c r="I12" s="18"/>
      <c r="J12" s="20"/>
      <c r="K12" s="62">
        <v>1</v>
      </c>
      <c r="L12" s="62" t="s">
        <v>266</v>
      </c>
      <c r="M12" s="62" t="s">
        <v>604</v>
      </c>
    </row>
    <row r="13" spans="1:59" x14ac:dyDescent="0.3">
      <c r="C13" s="62">
        <v>5</v>
      </c>
      <c r="D13" s="62" t="s">
        <v>535</v>
      </c>
      <c r="E13" s="62" t="s">
        <v>604</v>
      </c>
      <c r="F13" s="58"/>
      <c r="G13" s="58"/>
      <c r="H13" s="58"/>
      <c r="I13" s="18"/>
      <c r="J13" s="20"/>
      <c r="K13" s="62">
        <v>4</v>
      </c>
      <c r="L13" s="62" t="s">
        <v>383</v>
      </c>
      <c r="M13" s="62" t="s">
        <v>604</v>
      </c>
    </row>
    <row r="14" spans="1:59" x14ac:dyDescent="0.3">
      <c r="C14" s="62">
        <v>6</v>
      </c>
      <c r="D14" s="62" t="s">
        <v>376</v>
      </c>
      <c r="E14" s="62" t="s">
        <v>603</v>
      </c>
      <c r="F14" s="58"/>
      <c r="G14" s="58"/>
      <c r="H14" s="58"/>
      <c r="I14" s="18"/>
      <c r="J14" s="20"/>
      <c r="K14" s="62">
        <v>9</v>
      </c>
      <c r="L14" s="62" t="s">
        <v>350</v>
      </c>
      <c r="M14" s="62" t="s">
        <v>604</v>
      </c>
    </row>
    <row r="15" spans="1:59" x14ac:dyDescent="0.3">
      <c r="C15" s="62">
        <v>7</v>
      </c>
      <c r="D15" s="62" t="s">
        <v>547</v>
      </c>
      <c r="E15" s="62" t="s">
        <v>603</v>
      </c>
      <c r="F15" s="58"/>
      <c r="G15" s="58"/>
      <c r="H15" s="58"/>
      <c r="I15" s="18"/>
      <c r="J15" s="20"/>
      <c r="K15" s="62">
        <v>12</v>
      </c>
      <c r="L15" s="62" t="s">
        <v>235</v>
      </c>
      <c r="M15" s="62" t="s">
        <v>603</v>
      </c>
    </row>
    <row r="16" spans="1:59" x14ac:dyDescent="0.3">
      <c r="C16" s="62">
        <v>11</v>
      </c>
      <c r="D16" s="62" t="s">
        <v>338</v>
      </c>
      <c r="E16" s="62" t="s">
        <v>603</v>
      </c>
      <c r="F16" s="58"/>
      <c r="G16" s="58"/>
      <c r="H16" s="58"/>
      <c r="I16" s="18"/>
      <c r="J16" s="20"/>
      <c r="K16" s="62">
        <v>16</v>
      </c>
      <c r="L16" s="62" t="s">
        <v>379</v>
      </c>
      <c r="M16" s="62" t="s">
        <v>604</v>
      </c>
    </row>
    <row r="17" spans="1:30" x14ac:dyDescent="0.3">
      <c r="C17" s="62">
        <v>29</v>
      </c>
      <c r="D17" s="62" t="s">
        <v>352</v>
      </c>
      <c r="E17" s="62" t="s">
        <v>603</v>
      </c>
      <c r="F17" s="58"/>
      <c r="G17" s="58"/>
      <c r="H17" s="58"/>
      <c r="I17" s="18"/>
      <c r="J17" s="20"/>
      <c r="K17" s="62">
        <v>25</v>
      </c>
      <c r="L17" s="62" t="s">
        <v>346</v>
      </c>
      <c r="M17" s="62" t="s">
        <v>603</v>
      </c>
    </row>
    <row r="18" spans="1:30" x14ac:dyDescent="0.3">
      <c r="A18" s="20"/>
      <c r="B18" s="20"/>
      <c r="C18" s="62">
        <v>35</v>
      </c>
      <c r="D18" s="62" t="s">
        <v>571</v>
      </c>
      <c r="E18" s="62" t="s">
        <v>603</v>
      </c>
      <c r="F18" s="58"/>
      <c r="G18" s="58"/>
      <c r="H18" s="58"/>
      <c r="I18" s="20"/>
      <c r="J18" s="20"/>
      <c r="K18" s="62">
        <v>32</v>
      </c>
      <c r="L18" s="62" t="s">
        <v>576</v>
      </c>
      <c r="M18" s="62" t="s">
        <v>603</v>
      </c>
    </row>
    <row r="19" spans="1:30" x14ac:dyDescent="0.3">
      <c r="A19" s="20"/>
      <c r="B19" s="20"/>
      <c r="C19" s="62">
        <v>36</v>
      </c>
      <c r="D19" s="62" t="s">
        <v>385</v>
      </c>
      <c r="E19" s="62" t="s">
        <v>603</v>
      </c>
      <c r="F19" s="58"/>
      <c r="G19" s="58"/>
      <c r="H19" s="58"/>
      <c r="I19" s="20"/>
      <c r="J19" s="20"/>
      <c r="K19" s="62">
        <v>39</v>
      </c>
      <c r="L19" s="62" t="s">
        <v>396</v>
      </c>
      <c r="M19" s="62" t="s">
        <v>603</v>
      </c>
    </row>
    <row r="20" spans="1:30" x14ac:dyDescent="0.3">
      <c r="A20" s="20"/>
      <c r="B20" s="20"/>
      <c r="C20" s="62">
        <v>39</v>
      </c>
      <c r="D20" s="62" t="s">
        <v>381</v>
      </c>
      <c r="E20" s="62" t="s">
        <v>603</v>
      </c>
      <c r="F20" s="58"/>
      <c r="G20" s="58"/>
      <c r="H20" s="58"/>
      <c r="I20" s="20"/>
      <c r="J20" s="20"/>
      <c r="K20" s="62">
        <v>42</v>
      </c>
      <c r="L20" s="62" t="s">
        <v>336</v>
      </c>
      <c r="M20" s="62" t="s">
        <v>604</v>
      </c>
    </row>
    <row r="21" spans="1:30" x14ac:dyDescent="0.3">
      <c r="A21" s="20"/>
      <c r="B21" s="20"/>
      <c r="C21" s="62">
        <v>45</v>
      </c>
      <c r="D21" s="62" t="s">
        <v>531</v>
      </c>
      <c r="E21" s="62" t="s">
        <v>603</v>
      </c>
      <c r="F21" s="58"/>
      <c r="G21" s="58"/>
      <c r="H21" s="58"/>
      <c r="I21" s="20"/>
      <c r="J21" s="20"/>
      <c r="K21" s="62">
        <v>63</v>
      </c>
      <c r="L21" s="62" t="s">
        <v>231</v>
      </c>
      <c r="M21" s="62" t="s">
        <v>604</v>
      </c>
    </row>
    <row r="22" spans="1:30" x14ac:dyDescent="0.3">
      <c r="A22" s="20"/>
      <c r="B22" s="20"/>
      <c r="C22" s="62">
        <v>58</v>
      </c>
      <c r="D22" s="62" t="s">
        <v>343</v>
      </c>
      <c r="E22" s="62" t="s">
        <v>604</v>
      </c>
      <c r="F22" s="58"/>
      <c r="G22" s="58"/>
      <c r="H22" s="58"/>
      <c r="I22" s="20"/>
      <c r="J22" s="20"/>
      <c r="K22" s="62">
        <v>65</v>
      </c>
      <c r="L22" s="62" t="s">
        <v>341</v>
      </c>
      <c r="M22" s="62" t="s">
        <v>603</v>
      </c>
    </row>
    <row r="23" spans="1:30" x14ac:dyDescent="0.3">
      <c r="A23" s="20"/>
      <c r="B23" s="20"/>
      <c r="C23" s="62">
        <v>62</v>
      </c>
      <c r="D23" s="62" t="s">
        <v>512</v>
      </c>
      <c r="E23" s="62" t="s">
        <v>604</v>
      </c>
      <c r="F23" s="58"/>
      <c r="G23" s="58"/>
      <c r="H23" s="58"/>
      <c r="I23" s="20"/>
      <c r="J23" s="20"/>
      <c r="K23" s="62">
        <v>69</v>
      </c>
      <c r="L23" s="62" t="s">
        <v>545</v>
      </c>
      <c r="M23" s="62" t="s">
        <v>604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x14ac:dyDescent="0.3">
      <c r="A24" s="20"/>
      <c r="B24" s="20"/>
      <c r="C24" s="62">
        <v>82</v>
      </c>
      <c r="D24" s="62" t="s">
        <v>588</v>
      </c>
      <c r="E24" s="62" t="s">
        <v>604</v>
      </c>
      <c r="F24" s="58"/>
      <c r="G24" s="58"/>
      <c r="H24" s="58"/>
      <c r="I24" s="20"/>
      <c r="J24" s="20"/>
      <c r="K24" s="62">
        <v>74</v>
      </c>
      <c r="L24" s="62" t="s">
        <v>360</v>
      </c>
      <c r="M24" s="62" t="s">
        <v>604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</row>
    <row r="25" spans="1:30" x14ac:dyDescent="0.3">
      <c r="A25" s="20"/>
      <c r="B25" s="20"/>
      <c r="C25" s="62">
        <v>85</v>
      </c>
      <c r="D25" s="62" t="s">
        <v>355</v>
      </c>
      <c r="E25" s="62" t="s">
        <v>604</v>
      </c>
      <c r="F25" s="58"/>
      <c r="G25" s="58"/>
      <c r="H25" s="58"/>
      <c r="I25" s="20"/>
      <c r="J25" s="20"/>
      <c r="K25" s="62">
        <v>88</v>
      </c>
      <c r="L25" s="62" t="s">
        <v>506</v>
      </c>
      <c r="M25" s="62" t="s">
        <v>603</v>
      </c>
    </row>
    <row r="26" spans="1:30" x14ac:dyDescent="0.3">
      <c r="A26" s="20"/>
      <c r="B26" s="20"/>
      <c r="C26" s="62">
        <v>86</v>
      </c>
      <c r="D26" s="62" t="s">
        <v>574</v>
      </c>
      <c r="E26" s="62" t="s">
        <v>604</v>
      </c>
      <c r="G26" s="58"/>
      <c r="H26" s="58"/>
      <c r="I26" s="20"/>
      <c r="J26" s="20"/>
      <c r="K26" s="62">
        <v>90</v>
      </c>
      <c r="L26" s="62" t="s">
        <v>369</v>
      </c>
      <c r="M26" s="62" t="s">
        <v>603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</row>
    <row r="27" spans="1:30" x14ac:dyDescent="0.3">
      <c r="C27" s="62">
        <v>94</v>
      </c>
      <c r="D27" s="62" t="s">
        <v>543</v>
      </c>
      <c r="E27" s="62" t="s">
        <v>603</v>
      </c>
      <c r="G27" s="58"/>
      <c r="H27" s="58"/>
      <c r="K27" s="62">
        <v>98</v>
      </c>
      <c r="L27" s="62" t="s">
        <v>374</v>
      </c>
      <c r="M27" s="62" t="s">
        <v>604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</row>
    <row r="28" spans="1:30" x14ac:dyDescent="0.3">
      <c r="A28" s="63" t="s">
        <v>272</v>
      </c>
      <c r="B28" s="64"/>
      <c r="C28" s="64"/>
      <c r="D28" s="65"/>
      <c r="G28" s="58"/>
      <c r="H28" s="58"/>
      <c r="I28" s="66" t="s">
        <v>273</v>
      </c>
      <c r="J28" s="67"/>
      <c r="K28" s="67"/>
      <c r="L28" s="6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</row>
    <row r="29" spans="1:30" x14ac:dyDescent="0.3">
      <c r="A29" s="10" t="s">
        <v>176</v>
      </c>
      <c r="B29" s="10" t="s">
        <v>274</v>
      </c>
      <c r="C29" s="10" t="s">
        <v>152</v>
      </c>
      <c r="D29" s="57" t="s">
        <v>275</v>
      </c>
      <c r="G29" s="58"/>
      <c r="H29" s="58"/>
      <c r="I29" s="10" t="s">
        <v>276</v>
      </c>
      <c r="J29" s="10" t="s">
        <v>274</v>
      </c>
      <c r="K29" s="10" t="s">
        <v>277</v>
      </c>
      <c r="L29" s="57" t="s">
        <v>275</v>
      </c>
    </row>
    <row r="30" spans="1:30" x14ac:dyDescent="0.3">
      <c r="A30" s="10">
        <v>1</v>
      </c>
      <c r="B30" s="10">
        <v>39</v>
      </c>
      <c r="C30" s="10" t="str">
        <f>VLOOKUP(B30,$C$2:$D$27,2,FALSE)</f>
        <v>樂天林立</v>
      </c>
      <c r="D30" s="41">
        <v>9</v>
      </c>
      <c r="G30" s="42"/>
      <c r="H30" s="42"/>
      <c r="I30" s="10">
        <v>1</v>
      </c>
      <c r="J30" s="10">
        <v>9</v>
      </c>
      <c r="K30" s="10" t="str">
        <f>VLOOKUP(J30,$K$2:$L$27,2,FALSE)</f>
        <v>兄弟王威晨</v>
      </c>
      <c r="L30" s="41">
        <v>5</v>
      </c>
    </row>
    <row r="31" spans="1:30" x14ac:dyDescent="0.3">
      <c r="A31" s="11">
        <v>2</v>
      </c>
      <c r="B31" s="10">
        <v>86</v>
      </c>
      <c r="C31" s="10" t="str">
        <f t="shared" ref="C31:C39" si="0">VLOOKUP(B31,$C$2:$D$27,2,FALSE)</f>
        <v>樂天邱丹</v>
      </c>
      <c r="D31" s="12">
        <v>7</v>
      </c>
      <c r="G31" s="42"/>
      <c r="H31" s="42"/>
      <c r="I31" s="11">
        <v>2</v>
      </c>
      <c r="J31" s="10">
        <v>90</v>
      </c>
      <c r="K31" s="10" t="str">
        <f t="shared" ref="K31:K39" si="1">VLOOKUP(J31,$K$2:$L$27,2,FALSE)</f>
        <v>兄弟江坤宇</v>
      </c>
      <c r="L31" s="12">
        <v>6</v>
      </c>
    </row>
    <row r="32" spans="1:30" x14ac:dyDescent="0.3">
      <c r="A32" s="10">
        <v>3</v>
      </c>
      <c r="B32" s="10">
        <v>58</v>
      </c>
      <c r="C32" s="10" t="str">
        <f t="shared" si="0"/>
        <v>樂天廖健富</v>
      </c>
      <c r="D32" s="41">
        <v>2</v>
      </c>
      <c r="G32" s="42"/>
      <c r="H32" s="42"/>
      <c r="I32" s="10">
        <v>3</v>
      </c>
      <c r="J32" s="10">
        <v>4</v>
      </c>
      <c r="K32" s="10" t="str">
        <f t="shared" si="1"/>
        <v>兄弟陳文杰</v>
      </c>
      <c r="L32" s="41">
        <v>8</v>
      </c>
    </row>
    <row r="33" spans="1:12" x14ac:dyDescent="0.3">
      <c r="A33" s="11">
        <v>4</v>
      </c>
      <c r="B33" s="10">
        <v>29</v>
      </c>
      <c r="C33" s="10" t="str">
        <f t="shared" si="0"/>
        <v>樂天陳俊秀</v>
      </c>
      <c r="D33" s="12">
        <v>3</v>
      </c>
      <c r="G33" s="42"/>
      <c r="H33" s="42"/>
      <c r="I33" s="11">
        <v>4</v>
      </c>
      <c r="J33" s="10">
        <v>1</v>
      </c>
      <c r="K33" s="10" t="str">
        <f t="shared" si="1"/>
        <v>兄弟陳子豪</v>
      </c>
      <c r="L33" s="12">
        <v>9</v>
      </c>
    </row>
    <row r="34" spans="1:12" x14ac:dyDescent="0.3">
      <c r="A34" s="10">
        <v>5</v>
      </c>
      <c r="B34" s="10">
        <v>85</v>
      </c>
      <c r="C34" s="10" t="str">
        <f t="shared" si="0"/>
        <v>樂天朱育賢</v>
      </c>
      <c r="D34" s="41">
        <v>10</v>
      </c>
      <c r="G34" s="42"/>
      <c r="H34" s="42"/>
      <c r="I34" s="10">
        <v>5</v>
      </c>
      <c r="J34" s="10">
        <v>39</v>
      </c>
      <c r="K34" s="10" t="str">
        <f t="shared" si="1"/>
        <v>兄弟詹子賢</v>
      </c>
      <c r="L34" s="41">
        <v>7</v>
      </c>
    </row>
    <row r="35" spans="1:12" x14ac:dyDescent="0.3">
      <c r="A35" s="11">
        <v>6</v>
      </c>
      <c r="B35" s="10">
        <v>5</v>
      </c>
      <c r="C35" s="10" t="str">
        <f t="shared" si="0"/>
        <v>樂天梁家榮</v>
      </c>
      <c r="D35" s="12">
        <v>5</v>
      </c>
      <c r="G35" s="42"/>
      <c r="H35" s="42"/>
      <c r="I35" s="11">
        <v>6</v>
      </c>
      <c r="J35" s="10">
        <v>25</v>
      </c>
      <c r="K35" s="10" t="str">
        <f t="shared" si="1"/>
        <v>兄弟林智勝</v>
      </c>
      <c r="L35" s="12">
        <v>10</v>
      </c>
    </row>
    <row r="36" spans="1:12" x14ac:dyDescent="0.3">
      <c r="A36" s="10">
        <v>7</v>
      </c>
      <c r="B36" s="10">
        <v>94</v>
      </c>
      <c r="C36" s="10" t="str">
        <f t="shared" si="0"/>
        <v>樂天馬傑森</v>
      </c>
      <c r="D36" s="41">
        <v>4</v>
      </c>
      <c r="G36" s="42"/>
      <c r="H36" s="42"/>
      <c r="I36" s="10">
        <v>7</v>
      </c>
      <c r="J36" s="10">
        <v>74</v>
      </c>
      <c r="K36" s="10" t="str">
        <f t="shared" si="1"/>
        <v>兄弟許基宏</v>
      </c>
      <c r="L36" s="41">
        <v>3</v>
      </c>
    </row>
    <row r="37" spans="1:12" x14ac:dyDescent="0.3">
      <c r="A37" s="11">
        <v>8</v>
      </c>
      <c r="B37" s="10">
        <v>6</v>
      </c>
      <c r="C37" s="10" t="str">
        <f t="shared" si="0"/>
        <v>樂天林承飛</v>
      </c>
      <c r="D37" s="12">
        <v>6</v>
      </c>
      <c r="G37" s="42"/>
      <c r="H37" s="42"/>
      <c r="I37" s="11">
        <v>8</v>
      </c>
      <c r="J37" s="10">
        <v>65</v>
      </c>
      <c r="K37" s="10" t="str">
        <f t="shared" si="1"/>
        <v>兄弟高宇杰</v>
      </c>
      <c r="L37" s="12">
        <v>2</v>
      </c>
    </row>
    <row r="38" spans="1:12" x14ac:dyDescent="0.3">
      <c r="A38" s="10">
        <v>9</v>
      </c>
      <c r="B38" s="10">
        <v>35</v>
      </c>
      <c r="C38" s="10" t="str">
        <f t="shared" si="0"/>
        <v>樂天成晉</v>
      </c>
      <c r="D38" s="41">
        <v>8</v>
      </c>
      <c r="G38" s="42"/>
      <c r="H38" s="42"/>
      <c r="I38" s="10">
        <v>9</v>
      </c>
      <c r="J38" s="10">
        <v>63</v>
      </c>
      <c r="K38" s="10" t="str">
        <f t="shared" si="1"/>
        <v>兄弟潘志芳</v>
      </c>
      <c r="L38" s="41">
        <v>4</v>
      </c>
    </row>
    <row r="39" spans="1:12" x14ac:dyDescent="0.3">
      <c r="A39" s="11" t="s">
        <v>177</v>
      </c>
      <c r="B39" s="10">
        <v>13</v>
      </c>
      <c r="C39" s="10" t="str">
        <f t="shared" si="0"/>
        <v>樂天歐飛登</v>
      </c>
      <c r="D39" s="12">
        <v>1</v>
      </c>
      <c r="G39" s="42"/>
      <c r="H39" s="42"/>
      <c r="I39" s="11" t="s">
        <v>177</v>
      </c>
      <c r="J39" s="10">
        <v>55</v>
      </c>
      <c r="K39" s="10" t="str">
        <f t="shared" si="1"/>
        <v>兄弟加百利</v>
      </c>
      <c r="L39" s="12">
        <v>1</v>
      </c>
    </row>
  </sheetData>
  <mergeCells count="4">
    <mergeCell ref="A28:D28"/>
    <mergeCell ref="I28:L28"/>
    <mergeCell ref="A1:B1"/>
    <mergeCell ref="I1:J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4" r:id="rId4" name="CommandButton1">
          <controlPr defaultSize="0" autoLine="0" r:id="rId5">
            <anchor moveWithCells="1">
              <from>
                <xdr:col>5</xdr:col>
                <xdr:colOff>0</xdr:colOff>
                <xdr:row>32</xdr:row>
                <xdr:rowOff>152400</xdr:rowOff>
              </from>
              <to>
                <xdr:col>7</xdr:col>
                <xdr:colOff>533400</xdr:colOff>
                <xdr:row>35</xdr:row>
                <xdr:rowOff>137160</xdr:rowOff>
              </to>
            </anchor>
          </controlPr>
        </control>
      </mc:Choice>
      <mc:Fallback>
        <control shapeId="23554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00000000-0002-0000-0A00-000000000000}">
          <x14:formula1>
            <xm:f>Everyone!$B$2:$B$396</xm:f>
          </x14:formula1>
          <xm:sqref>D2 D3:D27 L2:L27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F2:BG29"/>
  <sheetViews>
    <sheetView topLeftCell="A10" workbookViewId="0">
      <selection activeCell="F6" sqref="F6:O6"/>
    </sheetView>
  </sheetViews>
  <sheetFormatPr defaultRowHeight="16.2" x14ac:dyDescent="0.3"/>
  <cols>
    <col min="8" max="8" width="13.44140625" bestFit="1" customWidth="1"/>
  </cols>
  <sheetData>
    <row r="2" spans="6:59" x14ac:dyDescent="0.3">
      <c r="BG2" s="14">
        <v>0.91577546296296297</v>
      </c>
    </row>
    <row r="4" spans="6:59" x14ac:dyDescent="0.3">
      <c r="F4" s="71" t="s">
        <v>153</v>
      </c>
      <c r="G4" s="71"/>
      <c r="H4" s="71"/>
      <c r="I4" s="71"/>
      <c r="J4" s="71"/>
      <c r="K4" s="71"/>
      <c r="L4" s="71"/>
      <c r="M4" s="71"/>
      <c r="N4" s="71"/>
      <c r="O4" s="71"/>
    </row>
    <row r="5" spans="6:59" x14ac:dyDescent="0.3">
      <c r="F5" s="71"/>
      <c r="G5" s="71"/>
      <c r="H5" s="71"/>
      <c r="I5" s="71"/>
      <c r="J5" s="71"/>
      <c r="K5" s="71"/>
      <c r="L5" s="71"/>
      <c r="M5" s="71"/>
      <c r="N5" s="71"/>
      <c r="O5" s="71"/>
    </row>
    <row r="6" spans="6:59" x14ac:dyDescent="0.3">
      <c r="F6" s="73" t="s">
        <v>203</v>
      </c>
      <c r="G6" s="73"/>
      <c r="H6" s="73"/>
      <c r="I6" s="73"/>
      <c r="J6" s="73"/>
      <c r="K6" s="73"/>
      <c r="L6" s="73"/>
      <c r="M6" s="73"/>
      <c r="N6" s="73"/>
      <c r="O6" s="73"/>
      <c r="P6" t="str">
        <f>""""&amp;F6&amp;""""</f>
        <v>"C:\Program Files\VideoLAN\VLC\vlc.exe"</v>
      </c>
    </row>
    <row r="8" spans="6:59" x14ac:dyDescent="0.3">
      <c r="F8" s="71" t="s">
        <v>150</v>
      </c>
      <c r="G8" s="71"/>
      <c r="H8" s="71"/>
      <c r="I8" s="71"/>
      <c r="J8" s="71"/>
      <c r="K8" s="71"/>
      <c r="L8" s="71"/>
      <c r="M8" s="71"/>
      <c r="N8" s="71"/>
      <c r="O8" s="71"/>
    </row>
    <row r="9" spans="6:59" x14ac:dyDescent="0.3">
      <c r="F9" s="71"/>
      <c r="G9" s="71"/>
      <c r="H9" s="71"/>
      <c r="I9" s="71"/>
      <c r="J9" s="71"/>
      <c r="K9" s="71"/>
      <c r="L9" s="71"/>
      <c r="M9" s="71"/>
      <c r="N9" s="71"/>
      <c r="O9" s="71"/>
    </row>
    <row r="10" spans="6:59" x14ac:dyDescent="0.3">
      <c r="F10" s="73" t="s">
        <v>181</v>
      </c>
      <c r="G10" s="73"/>
      <c r="H10" s="73"/>
      <c r="I10" s="73"/>
      <c r="J10" s="73"/>
      <c r="K10" s="73"/>
      <c r="L10" s="73"/>
      <c r="M10" s="73"/>
      <c r="N10" s="73"/>
      <c r="O10" s="73"/>
      <c r="P10" t="str">
        <f>""""&amp;F10&amp;""""</f>
        <v>"C:\Users\JH\Downloads\C0068.MP4"</v>
      </c>
    </row>
    <row r="12" spans="6:59" x14ac:dyDescent="0.3">
      <c r="F12" s="73" t="s">
        <v>149</v>
      </c>
      <c r="G12" s="73"/>
      <c r="H12" s="73"/>
      <c r="I12" s="73"/>
      <c r="J12" s="73"/>
      <c r="K12" s="73"/>
      <c r="L12" s="73"/>
      <c r="M12" s="73"/>
      <c r="N12" s="73"/>
      <c r="O12" s="73"/>
    </row>
    <row r="13" spans="6:59" x14ac:dyDescent="0.3">
      <c r="F13" s="74" t="s">
        <v>182</v>
      </c>
      <c r="G13" s="74"/>
      <c r="H13" s="74"/>
      <c r="I13" s="74"/>
      <c r="J13" s="74"/>
      <c r="K13" s="74"/>
      <c r="L13" s="74"/>
      <c r="M13" s="74"/>
      <c r="N13" s="74"/>
      <c r="O13" s="74"/>
    </row>
    <row r="15" spans="6:59" x14ac:dyDescent="0.3">
      <c r="F15" s="71" t="s">
        <v>201</v>
      </c>
      <c r="G15" s="71"/>
      <c r="H15" s="71"/>
      <c r="I15" s="71"/>
      <c r="J15" s="71"/>
      <c r="K15" s="71"/>
      <c r="L15" s="71"/>
      <c r="M15" s="71"/>
      <c r="N15" s="71"/>
      <c r="O15" s="71"/>
    </row>
    <row r="16" spans="6:59" x14ac:dyDescent="0.3">
      <c r="F16" s="71"/>
      <c r="G16" s="71"/>
      <c r="H16" s="71"/>
      <c r="I16" s="71"/>
      <c r="J16" s="71"/>
      <c r="K16" s="71"/>
      <c r="L16" s="71"/>
      <c r="M16" s="71"/>
      <c r="N16" s="71"/>
      <c r="O16" s="71"/>
    </row>
    <row r="17" spans="6:16" x14ac:dyDescent="0.3">
      <c r="F17" s="72" t="s">
        <v>217</v>
      </c>
      <c r="G17" s="73"/>
      <c r="H17" s="73"/>
      <c r="I17" s="73"/>
      <c r="J17" s="73"/>
      <c r="K17" s="73"/>
      <c r="L17" s="73"/>
      <c r="M17" s="73"/>
      <c r="N17" s="73"/>
      <c r="O17" s="73"/>
    </row>
    <row r="19" spans="6:16" ht="16.5" customHeight="1" x14ac:dyDescent="0.3">
      <c r="F19" s="71" t="s">
        <v>200</v>
      </c>
      <c r="G19" s="71"/>
      <c r="H19" s="71"/>
      <c r="I19" s="71"/>
      <c r="J19" s="71"/>
      <c r="K19" s="71"/>
      <c r="L19" s="71"/>
      <c r="M19" s="71"/>
      <c r="N19" s="71"/>
      <c r="O19" s="71"/>
      <c r="P19" s="47" t="s">
        <v>199</v>
      </c>
    </row>
    <row r="20" spans="6:16" ht="16.5" customHeight="1" x14ac:dyDescent="0.3">
      <c r="F20" s="71"/>
      <c r="G20" s="71"/>
      <c r="H20" s="71"/>
      <c r="I20" s="71"/>
      <c r="J20" s="71"/>
      <c r="K20" s="71"/>
      <c r="L20" s="71"/>
      <c r="M20" s="71"/>
      <c r="N20" s="71"/>
      <c r="O20" s="71"/>
    </row>
    <row r="21" spans="6:16" x14ac:dyDescent="0.3">
      <c r="F21" s="74" t="s">
        <v>206</v>
      </c>
      <c r="G21" s="74"/>
      <c r="H21" s="74"/>
      <c r="I21" s="74"/>
      <c r="J21" s="74"/>
      <c r="K21" s="74"/>
      <c r="L21" s="74"/>
      <c r="M21" s="74"/>
      <c r="N21" s="74"/>
      <c r="O21" s="74"/>
    </row>
    <row r="23" spans="6:16" x14ac:dyDescent="0.3">
      <c r="F23" s="71" t="s">
        <v>204</v>
      </c>
      <c r="G23" s="71"/>
      <c r="H23" s="71"/>
      <c r="I23" s="71"/>
      <c r="J23" s="71"/>
      <c r="K23" s="71"/>
      <c r="L23" s="71"/>
      <c r="M23" s="71"/>
      <c r="N23" s="71"/>
      <c r="O23" s="71"/>
      <c r="P23" s="47" t="s">
        <v>202</v>
      </c>
    </row>
    <row r="24" spans="6:16" x14ac:dyDescent="0.3">
      <c r="F24" s="71"/>
      <c r="G24" s="71"/>
      <c r="H24" s="71"/>
      <c r="I24" s="71"/>
      <c r="J24" s="71"/>
      <c r="K24" s="71"/>
      <c r="L24" s="71"/>
      <c r="M24" s="71"/>
      <c r="N24" s="71"/>
      <c r="O24" s="71"/>
    </row>
    <row r="25" spans="6:16" x14ac:dyDescent="0.3">
      <c r="F25" s="72" t="s">
        <v>217</v>
      </c>
      <c r="G25" s="73"/>
      <c r="H25" s="73"/>
      <c r="I25" s="73"/>
      <c r="J25" s="73"/>
      <c r="K25" s="73"/>
      <c r="L25" s="73"/>
      <c r="M25" s="73"/>
      <c r="N25" s="73"/>
      <c r="O25" s="73"/>
    </row>
    <row r="27" spans="6:16" x14ac:dyDescent="0.3">
      <c r="F27" s="71" t="s">
        <v>205</v>
      </c>
      <c r="G27" s="71"/>
      <c r="H27" s="71"/>
      <c r="I27" s="71"/>
      <c r="J27" s="71"/>
      <c r="K27" s="71"/>
      <c r="L27" s="71"/>
      <c r="M27" s="71"/>
      <c r="N27" s="71"/>
      <c r="O27" s="71"/>
      <c r="P27" s="47" t="s">
        <v>202</v>
      </c>
    </row>
    <row r="28" spans="6:16" x14ac:dyDescent="0.3">
      <c r="F28" s="71"/>
      <c r="G28" s="71"/>
      <c r="H28" s="71"/>
      <c r="I28" s="71"/>
      <c r="J28" s="71"/>
      <c r="K28" s="71"/>
      <c r="L28" s="71"/>
      <c r="M28" s="71"/>
      <c r="N28" s="71"/>
      <c r="O28" s="71"/>
    </row>
    <row r="29" spans="6:16" x14ac:dyDescent="0.3">
      <c r="F29" s="72" t="s">
        <v>217</v>
      </c>
      <c r="G29" s="73"/>
      <c r="H29" s="73"/>
      <c r="I29" s="73"/>
      <c r="J29" s="73"/>
      <c r="K29" s="73"/>
      <c r="L29" s="73"/>
      <c r="M29" s="73"/>
      <c r="N29" s="73"/>
      <c r="O29" s="73"/>
    </row>
  </sheetData>
  <mergeCells count="14">
    <mergeCell ref="F27:O28"/>
    <mergeCell ref="F29:O29"/>
    <mergeCell ref="F4:O5"/>
    <mergeCell ref="F6:O6"/>
    <mergeCell ref="F25:O25"/>
    <mergeCell ref="F19:O20"/>
    <mergeCell ref="F15:O16"/>
    <mergeCell ref="F17:O17"/>
    <mergeCell ref="F23:O24"/>
    <mergeCell ref="F21:O21"/>
    <mergeCell ref="F8:O9"/>
    <mergeCell ref="F10:O10"/>
    <mergeCell ref="F12:O12"/>
    <mergeCell ref="F13:O13"/>
  </mergeCells>
  <phoneticPr fontId="1" type="noConversion"/>
  <hyperlinks>
    <hyperlink ref="F29" r:id="rId1" xr:uid="{00000000-0004-0000-0B00-000000000000}"/>
    <hyperlink ref="F17" r:id="rId2" xr:uid="{00000000-0004-0000-0B00-000001000000}"/>
    <hyperlink ref="F25" r:id="rId3" xr:uid="{00000000-0004-0000-0B00-000002000000}"/>
  </hyperlinks>
  <pageMargins left="0.7" right="0.7" top="0.75" bottom="0.75" header="0.3" footer="0.3"/>
  <pageSetup paperSize="9" orientation="portrait" horizontalDpi="1200" verticalDpi="12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7" name="Button 1">
              <controlPr defaultSize="0" print="0" autoFill="0" autoPict="0" macro="[0]!資料查詢">
                <anchor moveWithCells="1" sizeWithCells="1">
                  <from>
                    <xdr:col>1</xdr:col>
                    <xdr:colOff>0</xdr:colOff>
                    <xdr:row>1</xdr:row>
                    <xdr:rowOff>198120</xdr:rowOff>
                  </from>
                  <to>
                    <xdr:col>2</xdr:col>
                    <xdr:colOff>678180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G2"/>
  <sheetViews>
    <sheetView workbookViewId="0"/>
  </sheetViews>
  <sheetFormatPr defaultRowHeight="16.2" x14ac:dyDescent="0.3"/>
  <sheetData>
    <row r="2" spans="59:59" x14ac:dyDescent="0.3">
      <c r="BG2" s="14">
        <v>0.93494212962962964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8" r:id="rId3" name="CommandButton1">
          <controlPr defaultSize="0" autoLine="0" r:id="rId4">
            <anchor moveWithCells="1">
              <from>
                <xdr:col>3</xdr:col>
                <xdr:colOff>45720</xdr:colOff>
                <xdr:row>1</xdr:row>
                <xdr:rowOff>30480</xdr:rowOff>
              </from>
              <to>
                <xdr:col>6</xdr:col>
                <xdr:colOff>457200</xdr:colOff>
                <xdr:row>5</xdr:row>
                <xdr:rowOff>114300</xdr:rowOff>
              </to>
            </anchor>
          </controlPr>
        </control>
      </mc:Choice>
      <mc:Fallback>
        <control shapeId="24578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2"/>
  <dimension ref="I1:BG2"/>
  <sheetViews>
    <sheetView workbookViewId="0"/>
  </sheetViews>
  <sheetFormatPr defaultRowHeight="16.2" x14ac:dyDescent="0.3"/>
  <sheetData>
    <row r="1" spans="9:59" x14ac:dyDescent="0.3">
      <c r="I1" t="s">
        <v>211</v>
      </c>
      <c r="J1">
        <v>1</v>
      </c>
      <c r="K1" t="s">
        <v>210</v>
      </c>
      <c r="L1" s="56">
        <v>20</v>
      </c>
    </row>
    <row r="2" spans="9:59" x14ac:dyDescent="0.3">
      <c r="BG2" s="14">
        <v>0.32498842592592592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R396"/>
  <sheetViews>
    <sheetView workbookViewId="0">
      <selection sqref="A1:B1"/>
    </sheetView>
  </sheetViews>
  <sheetFormatPr defaultRowHeight="16.2" x14ac:dyDescent="0.3"/>
  <cols>
    <col min="2" max="2" width="13.88671875" bestFit="1" customWidth="1"/>
    <col min="3" max="3" width="7.6640625" customWidth="1"/>
    <col min="5" max="5" width="13.88671875" bestFit="1" customWidth="1"/>
    <col min="8" max="8" width="13.88671875" bestFit="1" customWidth="1"/>
    <col min="11" max="11" width="11.6640625" bestFit="1" customWidth="1"/>
    <col min="14" max="14" width="11.6640625" bestFit="1" customWidth="1"/>
  </cols>
  <sheetData>
    <row r="1" spans="1:18" x14ac:dyDescent="0.3">
      <c r="A1" s="76" t="s">
        <v>592</v>
      </c>
      <c r="B1" s="76"/>
      <c r="C1" s="31"/>
      <c r="D1" s="77" t="s">
        <v>278</v>
      </c>
      <c r="E1" s="77"/>
      <c r="F1" s="77"/>
      <c r="G1" s="78" t="s">
        <v>279</v>
      </c>
      <c r="H1" s="78"/>
      <c r="I1" s="78"/>
      <c r="J1" s="79" t="s">
        <v>280</v>
      </c>
      <c r="K1" s="79"/>
      <c r="L1" s="79"/>
      <c r="M1" s="80" t="s">
        <v>281</v>
      </c>
      <c r="N1" s="80"/>
      <c r="O1" s="80"/>
      <c r="P1" s="75" t="s">
        <v>282</v>
      </c>
      <c r="Q1" s="75"/>
      <c r="R1" s="75"/>
    </row>
    <row r="2" spans="1:18" x14ac:dyDescent="0.3">
      <c r="A2">
        <f>IF(D2&lt;&gt;"-",D2,"")</f>
        <v>18</v>
      </c>
      <c r="B2" t="str">
        <f>IF(E2&lt;&gt;"-",E2,"")</f>
        <v>兄弟官大元</v>
      </c>
      <c r="D2" s="58">
        <v>18</v>
      </c>
      <c r="E2" s="58" t="s">
        <v>283</v>
      </c>
      <c r="F2" s="58" t="s">
        <v>284</v>
      </c>
      <c r="G2" s="58">
        <v>12</v>
      </c>
      <c r="H2" s="58" t="s">
        <v>285</v>
      </c>
      <c r="I2" s="58" t="s">
        <v>286</v>
      </c>
      <c r="J2" s="58">
        <v>100</v>
      </c>
      <c r="K2" s="58" t="s">
        <v>287</v>
      </c>
      <c r="L2" s="58" t="s">
        <v>284</v>
      </c>
      <c r="M2" s="58">
        <v>11</v>
      </c>
      <c r="N2" s="58" t="s">
        <v>288</v>
      </c>
      <c r="O2" s="58" t="s">
        <v>284</v>
      </c>
      <c r="P2" s="58">
        <v>0</v>
      </c>
      <c r="Q2" s="58" t="s">
        <v>270</v>
      </c>
      <c r="R2" s="58" t="s">
        <v>286</v>
      </c>
    </row>
    <row r="3" spans="1:18" x14ac:dyDescent="0.3">
      <c r="A3">
        <f t="shared" ref="A3:A66" si="0">IF(D3&lt;&gt;"-",D3,"")</f>
        <v>19</v>
      </c>
      <c r="B3" t="str">
        <f t="shared" ref="B3:B66" si="1">IF(E3&lt;&gt;"-",E3,"")</f>
        <v>兄弟鄭凱文</v>
      </c>
      <c r="D3" s="58">
        <v>19</v>
      </c>
      <c r="E3" s="58" t="s">
        <v>289</v>
      </c>
      <c r="F3" s="58" t="s">
        <v>286</v>
      </c>
      <c r="G3" s="58">
        <v>18</v>
      </c>
      <c r="H3" s="58" t="s">
        <v>290</v>
      </c>
      <c r="I3" s="58" t="s">
        <v>286</v>
      </c>
      <c r="J3" s="58">
        <v>0</v>
      </c>
      <c r="K3" s="58" t="s">
        <v>291</v>
      </c>
      <c r="L3" s="58" t="s">
        <v>286</v>
      </c>
      <c r="M3" s="58">
        <v>12</v>
      </c>
      <c r="N3" s="58" t="s">
        <v>292</v>
      </c>
      <c r="O3" s="58" t="s">
        <v>286</v>
      </c>
      <c r="P3" s="58">
        <v>7</v>
      </c>
      <c r="Q3" s="58" t="s">
        <v>230</v>
      </c>
      <c r="R3" s="58" t="s">
        <v>286</v>
      </c>
    </row>
    <row r="4" spans="1:18" x14ac:dyDescent="0.3">
      <c r="A4">
        <f t="shared" si="0"/>
        <v>21</v>
      </c>
      <c r="B4" t="str">
        <f t="shared" si="1"/>
        <v>兄弟彭識穎</v>
      </c>
      <c r="D4" s="58">
        <v>21</v>
      </c>
      <c r="E4" s="58" t="s">
        <v>293</v>
      </c>
      <c r="F4" s="58" t="s">
        <v>294</v>
      </c>
      <c r="G4" s="58">
        <v>23</v>
      </c>
      <c r="H4" s="58" t="s">
        <v>295</v>
      </c>
      <c r="I4" s="58" t="s">
        <v>286</v>
      </c>
      <c r="J4" s="58">
        <v>16</v>
      </c>
      <c r="K4" s="58" t="s">
        <v>296</v>
      </c>
      <c r="L4" s="58" t="s">
        <v>286</v>
      </c>
      <c r="M4" s="58">
        <v>13</v>
      </c>
      <c r="N4" s="58" t="s">
        <v>297</v>
      </c>
      <c r="O4" s="58" t="s">
        <v>286</v>
      </c>
      <c r="P4" s="58">
        <v>11</v>
      </c>
      <c r="Q4" s="58" t="s">
        <v>298</v>
      </c>
      <c r="R4" s="58" t="s">
        <v>286</v>
      </c>
    </row>
    <row r="5" spans="1:18" x14ac:dyDescent="0.3">
      <c r="A5">
        <f t="shared" si="0"/>
        <v>28</v>
      </c>
      <c r="B5" t="str">
        <f t="shared" si="1"/>
        <v>兄弟米蘭達</v>
      </c>
      <c r="D5" s="58">
        <v>28</v>
      </c>
      <c r="E5" s="58" t="s">
        <v>299</v>
      </c>
      <c r="F5" s="58" t="s">
        <v>300</v>
      </c>
      <c r="G5" s="58">
        <v>26</v>
      </c>
      <c r="H5" s="58" t="s">
        <v>301</v>
      </c>
      <c r="I5" s="58" t="s">
        <v>286</v>
      </c>
      <c r="J5" s="58">
        <v>20</v>
      </c>
      <c r="K5" s="58" t="s">
        <v>302</v>
      </c>
      <c r="L5" s="58" t="s">
        <v>286</v>
      </c>
      <c r="M5" s="58">
        <v>14</v>
      </c>
      <c r="N5" s="58" t="s">
        <v>303</v>
      </c>
      <c r="O5" s="58" t="s">
        <v>300</v>
      </c>
      <c r="P5" s="58">
        <v>14</v>
      </c>
      <c r="Q5" s="58" t="s">
        <v>234</v>
      </c>
      <c r="R5" s="58" t="s">
        <v>284</v>
      </c>
    </row>
    <row r="6" spans="1:18" x14ac:dyDescent="0.3">
      <c r="A6">
        <f t="shared" si="0"/>
        <v>34</v>
      </c>
      <c r="B6" t="str">
        <f t="shared" si="1"/>
        <v>兄弟李振昌</v>
      </c>
      <c r="D6" s="58">
        <v>34</v>
      </c>
      <c r="E6" s="58" t="s">
        <v>304</v>
      </c>
      <c r="F6" s="58" t="s">
        <v>284</v>
      </c>
      <c r="G6" s="58">
        <v>40</v>
      </c>
      <c r="H6" s="58" t="s">
        <v>305</v>
      </c>
      <c r="I6" s="58" t="s">
        <v>284</v>
      </c>
      <c r="J6" s="58">
        <v>22</v>
      </c>
      <c r="K6" s="58" t="s">
        <v>306</v>
      </c>
      <c r="L6" s="58" t="s">
        <v>294</v>
      </c>
      <c r="M6" s="58">
        <v>39</v>
      </c>
      <c r="N6" s="58" t="s">
        <v>307</v>
      </c>
      <c r="O6" s="58" t="s">
        <v>286</v>
      </c>
      <c r="P6" s="58">
        <v>15</v>
      </c>
      <c r="Q6" s="58" t="s">
        <v>308</v>
      </c>
      <c r="R6" s="58" t="s">
        <v>286</v>
      </c>
    </row>
    <row r="7" spans="1:18" x14ac:dyDescent="0.3">
      <c r="A7">
        <f t="shared" si="0"/>
        <v>46</v>
      </c>
      <c r="B7" t="str">
        <f t="shared" si="1"/>
        <v>兄弟德保拉</v>
      </c>
      <c r="D7" s="58">
        <v>46</v>
      </c>
      <c r="E7" s="58" t="s">
        <v>309</v>
      </c>
      <c r="F7" s="58" t="s">
        <v>294</v>
      </c>
      <c r="G7" s="58">
        <v>41</v>
      </c>
      <c r="H7" s="58" t="s">
        <v>310</v>
      </c>
      <c r="I7" s="58" t="s">
        <v>284</v>
      </c>
      <c r="J7" s="58">
        <v>24</v>
      </c>
      <c r="K7" s="58" t="s">
        <v>311</v>
      </c>
      <c r="L7" s="58" t="s">
        <v>284</v>
      </c>
      <c r="M7" s="58">
        <v>44</v>
      </c>
      <c r="N7" s="58" t="s">
        <v>312</v>
      </c>
      <c r="O7" s="58" t="s">
        <v>286</v>
      </c>
      <c r="P7" s="58">
        <v>16</v>
      </c>
      <c r="Q7" s="58" t="s">
        <v>313</v>
      </c>
      <c r="R7" s="58" t="s">
        <v>300</v>
      </c>
    </row>
    <row r="8" spans="1:18" x14ac:dyDescent="0.3">
      <c r="A8">
        <f t="shared" si="0"/>
        <v>60</v>
      </c>
      <c r="B8" t="str">
        <f t="shared" si="1"/>
        <v>兄弟雷艾斯</v>
      </c>
      <c r="D8" s="58">
        <v>60</v>
      </c>
      <c r="E8" s="58" t="s">
        <v>314</v>
      </c>
      <c r="F8" s="58" t="s">
        <v>286</v>
      </c>
      <c r="G8" s="58">
        <v>45</v>
      </c>
      <c r="H8" s="58" t="s">
        <v>315</v>
      </c>
      <c r="I8" s="58" t="s">
        <v>286</v>
      </c>
      <c r="J8" s="58">
        <v>32</v>
      </c>
      <c r="K8" s="58" t="s">
        <v>316</v>
      </c>
      <c r="L8" s="58" t="s">
        <v>300</v>
      </c>
      <c r="M8" s="58">
        <v>48</v>
      </c>
      <c r="N8" s="58" t="s">
        <v>317</v>
      </c>
      <c r="O8" s="58" t="s">
        <v>300</v>
      </c>
      <c r="P8" s="58">
        <v>17</v>
      </c>
      <c r="Q8" s="58" t="s">
        <v>236</v>
      </c>
      <c r="R8" s="58" t="s">
        <v>286</v>
      </c>
    </row>
    <row r="9" spans="1:18" x14ac:dyDescent="0.3">
      <c r="A9">
        <f t="shared" si="0"/>
        <v>64</v>
      </c>
      <c r="B9" t="str">
        <f t="shared" si="1"/>
        <v>兄弟黃恩賜</v>
      </c>
      <c r="D9" s="58">
        <v>64</v>
      </c>
      <c r="E9" s="58" t="s">
        <v>318</v>
      </c>
      <c r="F9" s="58" t="s">
        <v>286</v>
      </c>
      <c r="G9" s="58">
        <v>50</v>
      </c>
      <c r="H9" s="58" t="s">
        <v>319</v>
      </c>
      <c r="I9" s="58" t="s">
        <v>286</v>
      </c>
      <c r="J9" s="58">
        <v>68</v>
      </c>
      <c r="K9" s="58" t="s">
        <v>320</v>
      </c>
      <c r="L9" s="58" t="s">
        <v>286</v>
      </c>
      <c r="M9" s="58">
        <v>57</v>
      </c>
      <c r="N9" s="58" t="s">
        <v>321</v>
      </c>
      <c r="O9" s="58" t="s">
        <v>284</v>
      </c>
      <c r="P9" s="58">
        <v>18</v>
      </c>
      <c r="Q9" s="58" t="s">
        <v>322</v>
      </c>
      <c r="R9" s="58" t="s">
        <v>286</v>
      </c>
    </row>
    <row r="10" spans="1:18" x14ac:dyDescent="0.3">
      <c r="A10">
        <f t="shared" si="0"/>
        <v>88</v>
      </c>
      <c r="B10" t="str">
        <f t="shared" si="1"/>
        <v>兄弟李吳永勤</v>
      </c>
      <c r="D10" s="58">
        <v>88</v>
      </c>
      <c r="E10" s="58" t="s">
        <v>256</v>
      </c>
      <c r="F10" s="58" t="s">
        <v>294</v>
      </c>
      <c r="G10" s="58">
        <v>54</v>
      </c>
      <c r="H10" s="58" t="s">
        <v>323</v>
      </c>
      <c r="I10" s="58" t="s">
        <v>286</v>
      </c>
      <c r="J10" s="58">
        <v>69</v>
      </c>
      <c r="K10" s="58" t="s">
        <v>324</v>
      </c>
      <c r="L10" s="58" t="s">
        <v>286</v>
      </c>
      <c r="M10" s="58">
        <v>82</v>
      </c>
      <c r="N10" s="58" t="s">
        <v>325</v>
      </c>
      <c r="O10" s="58" t="s">
        <v>286</v>
      </c>
      <c r="P10" s="58">
        <v>19</v>
      </c>
      <c r="Q10" s="58" t="s">
        <v>238</v>
      </c>
      <c r="R10" s="58" t="s">
        <v>286</v>
      </c>
    </row>
    <row r="11" spans="1:18" x14ac:dyDescent="0.3">
      <c r="A11">
        <f t="shared" si="0"/>
        <v>93</v>
      </c>
      <c r="B11" t="str">
        <f t="shared" si="1"/>
        <v>兄弟吳哲源</v>
      </c>
      <c r="D11" s="58">
        <v>93</v>
      </c>
      <c r="E11" s="58" t="s">
        <v>326</v>
      </c>
      <c r="F11" s="58" t="s">
        <v>286</v>
      </c>
      <c r="G11" s="58">
        <v>60</v>
      </c>
      <c r="H11" s="58" t="s">
        <v>327</v>
      </c>
      <c r="I11" s="58" t="s">
        <v>286</v>
      </c>
      <c r="J11" s="58">
        <v>70</v>
      </c>
      <c r="K11" s="58" t="s">
        <v>328</v>
      </c>
      <c r="L11" s="58" t="s">
        <v>300</v>
      </c>
      <c r="M11" s="58">
        <v>94</v>
      </c>
      <c r="N11" s="58" t="s">
        <v>329</v>
      </c>
      <c r="O11" s="58" t="s">
        <v>286</v>
      </c>
      <c r="P11" s="58">
        <v>20</v>
      </c>
      <c r="Q11" s="58" t="s">
        <v>330</v>
      </c>
      <c r="R11" s="58" t="s">
        <v>286</v>
      </c>
    </row>
    <row r="12" spans="1:18" x14ac:dyDescent="0.3">
      <c r="A12">
        <f t="shared" si="0"/>
        <v>94</v>
      </c>
      <c r="B12" t="str">
        <f t="shared" si="1"/>
        <v>兄弟吳俊偉</v>
      </c>
      <c r="D12" s="58">
        <v>94</v>
      </c>
      <c r="E12" s="58" t="s">
        <v>331</v>
      </c>
      <c r="F12" s="58" t="s">
        <v>286</v>
      </c>
      <c r="G12" s="58">
        <v>95</v>
      </c>
      <c r="H12" s="58" t="s">
        <v>332</v>
      </c>
      <c r="I12" s="58" t="s">
        <v>286</v>
      </c>
      <c r="J12" s="58">
        <v>81</v>
      </c>
      <c r="K12" s="58" t="s">
        <v>333</v>
      </c>
      <c r="L12" s="58" t="s">
        <v>286</v>
      </c>
      <c r="M12" s="58">
        <v>96</v>
      </c>
      <c r="N12" s="58" t="s">
        <v>334</v>
      </c>
      <c r="O12" s="58" t="s">
        <v>286</v>
      </c>
      <c r="P12" s="58">
        <v>26</v>
      </c>
      <c r="Q12" s="58" t="s">
        <v>335</v>
      </c>
      <c r="R12" s="58" t="s">
        <v>286</v>
      </c>
    </row>
    <row r="13" spans="1:18" x14ac:dyDescent="0.3">
      <c r="A13">
        <f t="shared" si="0"/>
        <v>42</v>
      </c>
      <c r="B13" t="str">
        <f t="shared" si="1"/>
        <v>兄弟陳家駒</v>
      </c>
      <c r="D13" s="58">
        <v>42</v>
      </c>
      <c r="E13" s="58" t="s">
        <v>336</v>
      </c>
      <c r="F13" s="58" t="s">
        <v>300</v>
      </c>
      <c r="G13" s="58">
        <v>31</v>
      </c>
      <c r="H13" s="58" t="s">
        <v>337</v>
      </c>
      <c r="I13" s="58" t="s">
        <v>286</v>
      </c>
      <c r="J13" s="58">
        <v>11</v>
      </c>
      <c r="K13" s="58" t="s">
        <v>338</v>
      </c>
      <c r="L13" s="58" t="s">
        <v>286</v>
      </c>
      <c r="M13" s="58">
        <v>20</v>
      </c>
      <c r="N13" s="58" t="s">
        <v>339</v>
      </c>
      <c r="O13" s="58" t="s">
        <v>286</v>
      </c>
      <c r="P13" s="58">
        <v>29</v>
      </c>
      <c r="Q13" s="58" t="s">
        <v>340</v>
      </c>
      <c r="R13" s="58" t="s">
        <v>286</v>
      </c>
    </row>
    <row r="14" spans="1:18" x14ac:dyDescent="0.3">
      <c r="A14">
        <f t="shared" si="0"/>
        <v>65</v>
      </c>
      <c r="B14" t="str">
        <f t="shared" si="1"/>
        <v>兄弟高宇杰</v>
      </c>
      <c r="D14" s="58">
        <v>65</v>
      </c>
      <c r="E14" s="58" t="s">
        <v>341</v>
      </c>
      <c r="F14" s="58" t="s">
        <v>286</v>
      </c>
      <c r="G14" s="58">
        <v>46</v>
      </c>
      <c r="H14" s="58" t="s">
        <v>342</v>
      </c>
      <c r="I14" s="58" t="s">
        <v>300</v>
      </c>
      <c r="J14" s="58">
        <v>58</v>
      </c>
      <c r="K14" s="58" t="s">
        <v>343</v>
      </c>
      <c r="L14" s="58" t="s">
        <v>300</v>
      </c>
      <c r="M14" s="58">
        <v>69</v>
      </c>
      <c r="N14" s="58" t="s">
        <v>344</v>
      </c>
      <c r="O14" s="58" t="s">
        <v>300</v>
      </c>
      <c r="P14" s="58">
        <v>30</v>
      </c>
      <c r="Q14" s="58" t="s">
        <v>345</v>
      </c>
      <c r="R14" s="58" t="s">
        <v>286</v>
      </c>
    </row>
    <row r="15" spans="1:18" x14ac:dyDescent="0.3">
      <c r="A15">
        <f t="shared" si="0"/>
        <v>3</v>
      </c>
      <c r="B15" t="str">
        <f t="shared" si="1"/>
        <v>兄弟林智勝</v>
      </c>
      <c r="D15" s="58">
        <v>3</v>
      </c>
      <c r="E15" s="58" t="s">
        <v>346</v>
      </c>
      <c r="F15" s="58" t="s">
        <v>286</v>
      </c>
      <c r="G15" s="58">
        <v>65</v>
      </c>
      <c r="H15" s="58" t="s">
        <v>347</v>
      </c>
      <c r="I15" s="58" t="s">
        <v>286</v>
      </c>
      <c r="J15" s="58">
        <v>60</v>
      </c>
      <c r="K15" s="58" t="s">
        <v>348</v>
      </c>
      <c r="L15" s="58" t="s">
        <v>300</v>
      </c>
      <c r="M15" s="58">
        <v>95</v>
      </c>
      <c r="N15" s="58" t="s">
        <v>349</v>
      </c>
      <c r="O15" s="58" t="s">
        <v>300</v>
      </c>
      <c r="P15" s="58">
        <v>31</v>
      </c>
      <c r="Q15" s="58" t="s">
        <v>178</v>
      </c>
      <c r="R15" s="58" t="s">
        <v>300</v>
      </c>
    </row>
    <row r="16" spans="1:18" x14ac:dyDescent="0.3">
      <c r="A16">
        <f t="shared" si="0"/>
        <v>9</v>
      </c>
      <c r="B16" t="str">
        <f t="shared" si="1"/>
        <v>兄弟王威晨</v>
      </c>
      <c r="D16" s="58">
        <v>9</v>
      </c>
      <c r="E16" s="58" t="s">
        <v>350</v>
      </c>
      <c r="F16" s="58" t="s">
        <v>300</v>
      </c>
      <c r="G16" s="58">
        <v>68</v>
      </c>
      <c r="H16" s="58" t="s">
        <v>351</v>
      </c>
      <c r="I16" s="58" t="s">
        <v>286</v>
      </c>
      <c r="J16" s="58">
        <v>29</v>
      </c>
      <c r="K16" s="58" t="s">
        <v>352</v>
      </c>
      <c r="L16" s="58" t="s">
        <v>286</v>
      </c>
      <c r="M16" s="58">
        <v>9</v>
      </c>
      <c r="N16" s="58" t="s">
        <v>353</v>
      </c>
      <c r="O16" s="58" t="s">
        <v>300</v>
      </c>
      <c r="P16" s="58">
        <v>32</v>
      </c>
      <c r="Q16" s="58" t="s">
        <v>245</v>
      </c>
      <c r="R16" s="58" t="s">
        <v>286</v>
      </c>
    </row>
    <row r="17" spans="1:18" x14ac:dyDescent="0.3">
      <c r="A17">
        <f t="shared" si="0"/>
        <v>63</v>
      </c>
      <c r="B17" t="str">
        <f t="shared" si="1"/>
        <v>兄弟潘志芳</v>
      </c>
      <c r="D17" s="58">
        <v>63</v>
      </c>
      <c r="E17" s="58" t="s">
        <v>231</v>
      </c>
      <c r="F17" s="58" t="s">
        <v>300</v>
      </c>
      <c r="G17" s="58">
        <v>35</v>
      </c>
      <c r="H17" s="58" t="s">
        <v>354</v>
      </c>
      <c r="I17" s="58" t="s">
        <v>300</v>
      </c>
      <c r="J17" s="58">
        <v>85</v>
      </c>
      <c r="K17" s="58" t="s">
        <v>355</v>
      </c>
      <c r="L17" s="58" t="s">
        <v>300</v>
      </c>
      <c r="M17" s="58">
        <v>46</v>
      </c>
      <c r="N17" s="58" t="s">
        <v>356</v>
      </c>
      <c r="O17" s="58" t="s">
        <v>286</v>
      </c>
      <c r="P17" s="58">
        <v>37</v>
      </c>
      <c r="Q17" s="58" t="s">
        <v>251</v>
      </c>
      <c r="R17" s="58" t="s">
        <v>286</v>
      </c>
    </row>
    <row r="18" spans="1:18" x14ac:dyDescent="0.3">
      <c r="A18">
        <f t="shared" si="0"/>
        <v>71</v>
      </c>
      <c r="B18" t="str">
        <f t="shared" si="1"/>
        <v>兄弟杜家明</v>
      </c>
      <c r="D18" s="58">
        <v>71</v>
      </c>
      <c r="E18" s="58" t="s">
        <v>243</v>
      </c>
      <c r="F18" s="58" t="s">
        <v>286</v>
      </c>
      <c r="G18" s="58">
        <v>64</v>
      </c>
      <c r="H18" s="58" t="s">
        <v>357</v>
      </c>
      <c r="I18" s="58" t="s">
        <v>286</v>
      </c>
      <c r="J18" s="58">
        <v>21</v>
      </c>
      <c r="K18" s="58" t="s">
        <v>358</v>
      </c>
      <c r="L18" s="58" t="s">
        <v>300</v>
      </c>
      <c r="M18" s="58">
        <v>5</v>
      </c>
      <c r="N18" s="58" t="s">
        <v>359</v>
      </c>
      <c r="O18" s="58" t="s">
        <v>300</v>
      </c>
      <c r="P18" s="58">
        <v>39</v>
      </c>
      <c r="Q18" s="58" t="s">
        <v>253</v>
      </c>
      <c r="R18" s="58" t="s">
        <v>286</v>
      </c>
    </row>
    <row r="19" spans="1:18" x14ac:dyDescent="0.3">
      <c r="A19">
        <f t="shared" si="0"/>
        <v>74</v>
      </c>
      <c r="B19" t="str">
        <f t="shared" si="1"/>
        <v>兄弟許基宏</v>
      </c>
      <c r="D19" s="58">
        <v>74</v>
      </c>
      <c r="E19" s="58" t="s">
        <v>360</v>
      </c>
      <c r="F19" s="58" t="s">
        <v>300</v>
      </c>
      <c r="G19" s="58">
        <v>5</v>
      </c>
      <c r="H19" s="58" t="s">
        <v>361</v>
      </c>
      <c r="I19" s="58" t="s">
        <v>286</v>
      </c>
      <c r="J19" s="58">
        <v>46</v>
      </c>
      <c r="K19" s="58" t="s">
        <v>362</v>
      </c>
      <c r="L19" s="58" t="s">
        <v>300</v>
      </c>
      <c r="M19" s="58">
        <v>22</v>
      </c>
      <c r="N19" s="58" t="s">
        <v>363</v>
      </c>
      <c r="O19" s="58" t="s">
        <v>286</v>
      </c>
      <c r="P19" s="58">
        <v>40</v>
      </c>
      <c r="Q19" s="58" t="s">
        <v>364</v>
      </c>
      <c r="R19" s="58" t="s">
        <v>286</v>
      </c>
    </row>
    <row r="20" spans="1:18" x14ac:dyDescent="0.3">
      <c r="A20">
        <f t="shared" si="0"/>
        <v>61</v>
      </c>
      <c r="B20" t="str">
        <f t="shared" si="1"/>
        <v>兄弟吳東融</v>
      </c>
      <c r="D20" s="58">
        <v>61</v>
      </c>
      <c r="E20" s="58" t="s">
        <v>365</v>
      </c>
      <c r="F20" s="58" t="s">
        <v>286</v>
      </c>
      <c r="G20" s="58">
        <v>13</v>
      </c>
      <c r="H20" s="58" t="s">
        <v>366</v>
      </c>
      <c r="I20" s="58" t="s">
        <v>286</v>
      </c>
      <c r="J20" s="58">
        <v>98</v>
      </c>
      <c r="K20" s="58" t="s">
        <v>367</v>
      </c>
      <c r="L20" s="58" t="s">
        <v>300</v>
      </c>
      <c r="M20" s="58">
        <v>67</v>
      </c>
      <c r="N20" s="58" t="s">
        <v>368</v>
      </c>
      <c r="O20" s="58" t="s">
        <v>286</v>
      </c>
      <c r="P20" s="58">
        <v>41</v>
      </c>
      <c r="Q20" s="58" t="s">
        <v>255</v>
      </c>
      <c r="R20" s="58" t="s">
        <v>286</v>
      </c>
    </row>
    <row r="21" spans="1:18" x14ac:dyDescent="0.3">
      <c r="A21">
        <f t="shared" si="0"/>
        <v>90</v>
      </c>
      <c r="B21" t="str">
        <f t="shared" si="1"/>
        <v>兄弟江坤宇</v>
      </c>
      <c r="D21" s="58">
        <v>90</v>
      </c>
      <c r="E21" s="58" t="s">
        <v>369</v>
      </c>
      <c r="F21" s="58" t="s">
        <v>286</v>
      </c>
      <c r="G21" s="58">
        <v>39</v>
      </c>
      <c r="H21" s="58" t="s">
        <v>370</v>
      </c>
      <c r="I21" s="58" t="s">
        <v>286</v>
      </c>
      <c r="J21" s="58">
        <v>79</v>
      </c>
      <c r="K21" s="58" t="s">
        <v>371</v>
      </c>
      <c r="L21" s="58" t="s">
        <v>286</v>
      </c>
      <c r="M21" s="58">
        <v>24</v>
      </c>
      <c r="N21" s="58" t="s">
        <v>372</v>
      </c>
      <c r="O21" s="58" t="s">
        <v>286</v>
      </c>
      <c r="P21" s="58">
        <v>42</v>
      </c>
      <c r="Q21" s="58" t="s">
        <v>373</v>
      </c>
      <c r="R21" s="58" t="s">
        <v>286</v>
      </c>
    </row>
    <row r="22" spans="1:18" x14ac:dyDescent="0.3">
      <c r="A22">
        <f t="shared" si="0"/>
        <v>98</v>
      </c>
      <c r="B22" t="str">
        <f t="shared" si="1"/>
        <v>兄弟岳東華</v>
      </c>
      <c r="D22" s="58">
        <v>98</v>
      </c>
      <c r="E22" s="58" t="s">
        <v>374</v>
      </c>
      <c r="F22" s="58" t="s">
        <v>300</v>
      </c>
      <c r="G22" s="58">
        <v>66</v>
      </c>
      <c r="H22" s="58" t="s">
        <v>375</v>
      </c>
      <c r="I22" s="58" t="s">
        <v>286</v>
      </c>
      <c r="J22" s="58">
        <v>6</v>
      </c>
      <c r="K22" s="58" t="s">
        <v>376</v>
      </c>
      <c r="L22" s="58" t="s">
        <v>286</v>
      </c>
      <c r="M22" s="58">
        <v>6</v>
      </c>
      <c r="N22" s="58" t="s">
        <v>377</v>
      </c>
      <c r="O22" s="58" t="s">
        <v>300</v>
      </c>
      <c r="P22" s="58">
        <v>45</v>
      </c>
      <c r="Q22" s="58" t="s">
        <v>378</v>
      </c>
      <c r="R22" s="58" t="s">
        <v>286</v>
      </c>
    </row>
    <row r="23" spans="1:18" x14ac:dyDescent="0.3">
      <c r="A23">
        <f t="shared" si="0"/>
        <v>16</v>
      </c>
      <c r="B23" t="str">
        <f t="shared" si="1"/>
        <v>兄弟周思齊</v>
      </c>
      <c r="D23" s="58">
        <v>16</v>
      </c>
      <c r="E23" s="58" t="s">
        <v>379</v>
      </c>
      <c r="F23" s="58" t="s">
        <v>300</v>
      </c>
      <c r="G23" s="58">
        <v>24</v>
      </c>
      <c r="H23" s="58" t="s">
        <v>380</v>
      </c>
      <c r="I23" s="58" t="s">
        <v>300</v>
      </c>
      <c r="J23" s="58">
        <v>39</v>
      </c>
      <c r="K23" s="58" t="s">
        <v>381</v>
      </c>
      <c r="L23" s="58" t="s">
        <v>286</v>
      </c>
      <c r="M23" s="58">
        <v>28</v>
      </c>
      <c r="N23" s="58" t="s">
        <v>382</v>
      </c>
      <c r="O23" s="58" t="s">
        <v>284</v>
      </c>
      <c r="P23" s="58">
        <v>47</v>
      </c>
      <c r="Q23" s="58" t="s">
        <v>179</v>
      </c>
      <c r="R23" s="58" t="s">
        <v>300</v>
      </c>
    </row>
    <row r="24" spans="1:18" x14ac:dyDescent="0.3">
      <c r="A24">
        <f t="shared" si="0"/>
        <v>4</v>
      </c>
      <c r="B24" t="str">
        <f t="shared" si="1"/>
        <v>兄弟陳文杰</v>
      </c>
      <c r="D24" s="58">
        <v>4</v>
      </c>
      <c r="E24" s="58" t="s">
        <v>383</v>
      </c>
      <c r="F24" s="58" t="s">
        <v>300</v>
      </c>
      <c r="G24" s="58">
        <v>32</v>
      </c>
      <c r="H24" s="58" t="s">
        <v>384</v>
      </c>
      <c r="I24" s="58" t="s">
        <v>300</v>
      </c>
      <c r="J24" s="58">
        <v>36</v>
      </c>
      <c r="K24" s="58" t="s">
        <v>385</v>
      </c>
      <c r="L24" s="58" t="s">
        <v>286</v>
      </c>
      <c r="M24" s="58">
        <v>1</v>
      </c>
      <c r="N24" s="58" t="s">
        <v>386</v>
      </c>
      <c r="O24" s="58" t="s">
        <v>286</v>
      </c>
      <c r="P24" s="58">
        <v>48</v>
      </c>
      <c r="Q24" s="58" t="s">
        <v>387</v>
      </c>
      <c r="R24" s="58" t="s">
        <v>286</v>
      </c>
    </row>
    <row r="25" spans="1:18" x14ac:dyDescent="0.3">
      <c r="A25">
        <f t="shared" si="0"/>
        <v>7</v>
      </c>
      <c r="B25" t="str">
        <f t="shared" si="1"/>
        <v>兄弟張志豪</v>
      </c>
      <c r="D25" s="58">
        <v>7</v>
      </c>
      <c r="E25" s="58" t="s">
        <v>388</v>
      </c>
      <c r="F25" s="58" t="s">
        <v>300</v>
      </c>
      <c r="G25" s="58">
        <v>6</v>
      </c>
      <c r="H25" s="58" t="s">
        <v>389</v>
      </c>
      <c r="I25" s="58" t="s">
        <v>300</v>
      </c>
      <c r="J25" s="58">
        <v>8</v>
      </c>
      <c r="K25" s="58" t="s">
        <v>390</v>
      </c>
      <c r="L25" s="58" t="s">
        <v>300</v>
      </c>
      <c r="M25" s="58">
        <v>29</v>
      </c>
      <c r="N25" s="58" t="s">
        <v>391</v>
      </c>
      <c r="O25" s="58" t="s">
        <v>286</v>
      </c>
      <c r="P25" s="58">
        <v>51</v>
      </c>
      <c r="Q25" s="58" t="s">
        <v>392</v>
      </c>
      <c r="R25" s="58" t="s">
        <v>286</v>
      </c>
    </row>
    <row r="26" spans="1:18" x14ac:dyDescent="0.3">
      <c r="A26">
        <f t="shared" si="0"/>
        <v>92</v>
      </c>
      <c r="B26" t="str">
        <f t="shared" si="1"/>
        <v>兄弟岳政華</v>
      </c>
      <c r="D26" s="58">
        <v>92</v>
      </c>
      <c r="E26" s="58" t="s">
        <v>271</v>
      </c>
      <c r="F26" s="58" t="s">
        <v>300</v>
      </c>
      <c r="G26" s="58">
        <v>8</v>
      </c>
      <c r="H26" s="58" t="s">
        <v>393</v>
      </c>
      <c r="I26" s="58" t="s">
        <v>286</v>
      </c>
      <c r="J26" s="58">
        <v>1</v>
      </c>
      <c r="K26" s="58" t="s">
        <v>394</v>
      </c>
      <c r="L26" s="58" t="s">
        <v>300</v>
      </c>
      <c r="M26" s="58">
        <v>98</v>
      </c>
      <c r="N26" s="58" t="s">
        <v>395</v>
      </c>
      <c r="O26" s="58" t="s">
        <v>286</v>
      </c>
      <c r="P26" s="58">
        <v>56</v>
      </c>
      <c r="Q26" s="58" t="s">
        <v>259</v>
      </c>
      <c r="R26" s="58" t="s">
        <v>286</v>
      </c>
    </row>
    <row r="27" spans="1:18" x14ac:dyDescent="0.3">
      <c r="A27">
        <f t="shared" si="0"/>
        <v>39</v>
      </c>
      <c r="B27" t="str">
        <f t="shared" si="1"/>
        <v>兄弟詹子賢</v>
      </c>
      <c r="D27" s="58">
        <v>39</v>
      </c>
      <c r="E27" s="58" t="s">
        <v>396</v>
      </c>
      <c r="F27" s="58" t="s">
        <v>286</v>
      </c>
      <c r="G27" s="58">
        <v>77</v>
      </c>
      <c r="H27" s="58" t="s">
        <v>397</v>
      </c>
      <c r="I27" s="58" t="s">
        <v>300</v>
      </c>
      <c r="J27" s="58">
        <v>88</v>
      </c>
      <c r="K27" s="58" t="s">
        <v>398</v>
      </c>
      <c r="L27" s="58" t="s">
        <v>300</v>
      </c>
      <c r="M27" s="58">
        <v>16</v>
      </c>
      <c r="N27" s="58" t="s">
        <v>399</v>
      </c>
      <c r="O27" s="58" t="s">
        <v>286</v>
      </c>
      <c r="P27" s="58">
        <v>59</v>
      </c>
      <c r="Q27" s="58" t="s">
        <v>265</v>
      </c>
      <c r="R27" s="58" t="s">
        <v>286</v>
      </c>
    </row>
    <row r="28" spans="1:18" x14ac:dyDescent="0.3">
      <c r="A28">
        <f t="shared" si="0"/>
        <v>10</v>
      </c>
      <c r="B28" t="str">
        <f t="shared" si="1"/>
        <v>兄弟張凱倫</v>
      </c>
      <c r="D28" s="58">
        <v>10</v>
      </c>
      <c r="E28" s="58" t="s">
        <v>246</v>
      </c>
      <c r="F28" s="58" t="s">
        <v>286</v>
      </c>
      <c r="G28" s="58">
        <v>4</v>
      </c>
      <c r="H28" s="58" t="s">
        <v>400</v>
      </c>
      <c r="I28" s="58" t="s">
        <v>286</v>
      </c>
      <c r="J28" s="58">
        <v>12</v>
      </c>
      <c r="K28" s="58" t="s">
        <v>401</v>
      </c>
      <c r="L28" s="58" t="s">
        <v>286</v>
      </c>
      <c r="M28" s="58">
        <v>17</v>
      </c>
      <c r="N28" s="58" t="s">
        <v>402</v>
      </c>
      <c r="O28" s="58" t="s">
        <v>286</v>
      </c>
      <c r="P28" s="58">
        <v>61</v>
      </c>
      <c r="Q28" s="58" t="s">
        <v>403</v>
      </c>
      <c r="R28" s="58" t="s">
        <v>300</v>
      </c>
    </row>
    <row r="29" spans="1:18" x14ac:dyDescent="0.3">
      <c r="A29">
        <f t="shared" si="0"/>
        <v>11</v>
      </c>
      <c r="B29" t="str">
        <f t="shared" si="1"/>
        <v>兄弟廖乙忠</v>
      </c>
      <c r="D29" s="58">
        <v>11</v>
      </c>
      <c r="E29" s="58" t="s">
        <v>404</v>
      </c>
      <c r="F29" s="58" t="s">
        <v>286</v>
      </c>
      <c r="G29" s="58">
        <v>10</v>
      </c>
      <c r="H29" s="58" t="s">
        <v>405</v>
      </c>
      <c r="I29" s="58" t="s">
        <v>286</v>
      </c>
      <c r="J29" s="58">
        <v>14</v>
      </c>
      <c r="K29" s="58" t="s">
        <v>406</v>
      </c>
      <c r="L29" s="58" t="s">
        <v>286</v>
      </c>
      <c r="M29" s="58">
        <v>18</v>
      </c>
      <c r="N29" s="58" t="s">
        <v>407</v>
      </c>
      <c r="O29" s="58" t="s">
        <v>286</v>
      </c>
      <c r="P29" s="58">
        <v>68</v>
      </c>
      <c r="Q29" s="58" t="s">
        <v>156</v>
      </c>
      <c r="R29" s="58" t="s">
        <v>300</v>
      </c>
    </row>
    <row r="30" spans="1:18" x14ac:dyDescent="0.3">
      <c r="A30">
        <f t="shared" si="0"/>
        <v>15</v>
      </c>
      <c r="B30" t="str">
        <f t="shared" si="1"/>
        <v>兄弟王凱程</v>
      </c>
      <c r="D30" s="58">
        <v>15</v>
      </c>
      <c r="E30" s="58" t="s">
        <v>408</v>
      </c>
      <c r="F30" s="58" t="s">
        <v>286</v>
      </c>
      <c r="G30" s="58">
        <v>16</v>
      </c>
      <c r="H30" s="58" t="s">
        <v>409</v>
      </c>
      <c r="I30" s="58" t="s">
        <v>300</v>
      </c>
      <c r="J30" s="58">
        <v>15</v>
      </c>
      <c r="K30" s="58" t="s">
        <v>410</v>
      </c>
      <c r="L30" s="58" t="s">
        <v>286</v>
      </c>
      <c r="M30" s="58">
        <v>19</v>
      </c>
      <c r="N30" s="58" t="s">
        <v>411</v>
      </c>
      <c r="O30" s="58" t="s">
        <v>286</v>
      </c>
      <c r="P30" s="58">
        <v>71</v>
      </c>
      <c r="Q30" s="58" t="s">
        <v>412</v>
      </c>
      <c r="R30" s="58" t="s">
        <v>286</v>
      </c>
    </row>
    <row r="31" spans="1:18" x14ac:dyDescent="0.3">
      <c r="A31">
        <f t="shared" si="0"/>
        <v>17</v>
      </c>
      <c r="B31" t="str">
        <f t="shared" si="1"/>
        <v>兄弟洪宸宇</v>
      </c>
      <c r="D31" s="58">
        <v>17</v>
      </c>
      <c r="E31" s="58" t="s">
        <v>413</v>
      </c>
      <c r="F31" s="58" t="s">
        <v>300</v>
      </c>
      <c r="G31" s="58">
        <v>17</v>
      </c>
      <c r="H31" s="58" t="s">
        <v>414</v>
      </c>
      <c r="I31" s="58" t="s">
        <v>300</v>
      </c>
      <c r="J31" s="58">
        <v>17</v>
      </c>
      <c r="K31" s="58" t="s">
        <v>415</v>
      </c>
      <c r="L31" s="58" t="s">
        <v>286</v>
      </c>
      <c r="M31" s="58">
        <v>21</v>
      </c>
      <c r="N31" s="58" t="s">
        <v>416</v>
      </c>
      <c r="O31" s="58" t="s">
        <v>300</v>
      </c>
      <c r="P31" s="58">
        <v>76</v>
      </c>
      <c r="Q31" s="58" t="s">
        <v>417</v>
      </c>
      <c r="R31" s="58" t="s">
        <v>286</v>
      </c>
    </row>
    <row r="32" spans="1:18" x14ac:dyDescent="0.3">
      <c r="A32">
        <f t="shared" si="0"/>
        <v>20</v>
      </c>
      <c r="B32" t="str">
        <f t="shared" si="1"/>
        <v>兄弟江忠城</v>
      </c>
      <c r="D32" s="58">
        <v>20</v>
      </c>
      <c r="E32" s="58" t="s">
        <v>418</v>
      </c>
      <c r="F32" s="58" t="s">
        <v>286</v>
      </c>
      <c r="G32" s="58">
        <v>19</v>
      </c>
      <c r="H32" s="58" t="s">
        <v>419</v>
      </c>
      <c r="I32" s="58" t="s">
        <v>286</v>
      </c>
      <c r="J32" s="58">
        <v>18</v>
      </c>
      <c r="K32" s="58" t="s">
        <v>420</v>
      </c>
      <c r="L32" s="58" t="s">
        <v>286</v>
      </c>
      <c r="M32" s="58">
        <v>30</v>
      </c>
      <c r="N32" s="58" t="s">
        <v>421</v>
      </c>
      <c r="O32" s="58" t="s">
        <v>300</v>
      </c>
      <c r="P32" s="58">
        <v>9</v>
      </c>
      <c r="Q32" s="58" t="s">
        <v>422</v>
      </c>
      <c r="R32" s="58" t="s">
        <v>286</v>
      </c>
    </row>
    <row r="33" spans="1:18" x14ac:dyDescent="0.3">
      <c r="A33">
        <f t="shared" si="0"/>
        <v>22</v>
      </c>
      <c r="B33" t="str">
        <f t="shared" si="1"/>
        <v>兄弟吳蔚驊</v>
      </c>
      <c r="D33" s="58">
        <v>22</v>
      </c>
      <c r="E33" s="58" t="s">
        <v>233</v>
      </c>
      <c r="F33" s="58" t="s">
        <v>284</v>
      </c>
      <c r="G33" s="58">
        <v>20</v>
      </c>
      <c r="H33" s="58" t="s">
        <v>423</v>
      </c>
      <c r="I33" s="58" t="s">
        <v>286</v>
      </c>
      <c r="J33" s="58">
        <v>19</v>
      </c>
      <c r="K33" s="58" t="s">
        <v>424</v>
      </c>
      <c r="L33" s="58" t="s">
        <v>300</v>
      </c>
      <c r="M33" s="58">
        <v>36</v>
      </c>
      <c r="N33" s="58" t="s">
        <v>425</v>
      </c>
      <c r="O33" s="58" t="s">
        <v>300</v>
      </c>
      <c r="P33" s="58">
        <v>12</v>
      </c>
      <c r="Q33" s="58" t="s">
        <v>426</v>
      </c>
      <c r="R33" s="58" t="s">
        <v>300</v>
      </c>
    </row>
    <row r="34" spans="1:18" x14ac:dyDescent="0.3">
      <c r="A34">
        <f t="shared" si="0"/>
        <v>30</v>
      </c>
      <c r="B34" t="str">
        <f t="shared" si="1"/>
        <v>兄弟楊子亦</v>
      </c>
      <c r="D34" s="58">
        <v>30</v>
      </c>
      <c r="E34" s="58" t="s">
        <v>248</v>
      </c>
      <c r="F34" s="58" t="s">
        <v>286</v>
      </c>
      <c r="G34" s="58">
        <v>21</v>
      </c>
      <c r="H34" s="58" t="s">
        <v>427</v>
      </c>
      <c r="I34" s="58" t="s">
        <v>300</v>
      </c>
      <c r="J34" s="58">
        <v>23</v>
      </c>
      <c r="K34" s="58" t="s">
        <v>428</v>
      </c>
      <c r="L34" s="58" t="s">
        <v>286</v>
      </c>
      <c r="M34" s="58">
        <v>37</v>
      </c>
      <c r="N34" s="58" t="s">
        <v>429</v>
      </c>
      <c r="O34" s="58" t="s">
        <v>286</v>
      </c>
      <c r="P34" s="58">
        <v>22</v>
      </c>
      <c r="Q34" s="58" t="s">
        <v>430</v>
      </c>
      <c r="R34" s="58" t="s">
        <v>286</v>
      </c>
    </row>
    <row r="35" spans="1:18" x14ac:dyDescent="0.3">
      <c r="A35">
        <f t="shared" si="0"/>
        <v>33</v>
      </c>
      <c r="B35" t="str">
        <f t="shared" si="1"/>
        <v>兄弟王則鈞</v>
      </c>
      <c r="D35" s="58">
        <v>33</v>
      </c>
      <c r="E35" s="58" t="s">
        <v>431</v>
      </c>
      <c r="F35" s="58" t="s">
        <v>286</v>
      </c>
      <c r="G35" s="58">
        <v>29</v>
      </c>
      <c r="H35" s="58" t="s">
        <v>432</v>
      </c>
      <c r="I35" s="58" t="s">
        <v>300</v>
      </c>
      <c r="J35" s="58">
        <v>26</v>
      </c>
      <c r="K35" s="58" t="s">
        <v>433</v>
      </c>
      <c r="L35" s="58" t="s">
        <v>300</v>
      </c>
      <c r="M35" s="58">
        <v>38</v>
      </c>
      <c r="N35" s="58" t="s">
        <v>434</v>
      </c>
      <c r="O35" s="58" t="s">
        <v>286</v>
      </c>
      <c r="P35" s="58">
        <v>50</v>
      </c>
      <c r="Q35" s="58" t="s">
        <v>435</v>
      </c>
      <c r="R35" s="58" t="s">
        <v>286</v>
      </c>
    </row>
    <row r="36" spans="1:18" x14ac:dyDescent="0.3">
      <c r="A36">
        <f t="shared" si="0"/>
        <v>35</v>
      </c>
      <c r="B36" t="str">
        <f t="shared" si="1"/>
        <v>兄弟羅傑斯</v>
      </c>
      <c r="D36" s="58">
        <v>35</v>
      </c>
      <c r="E36" s="58" t="s">
        <v>436</v>
      </c>
      <c r="F36" s="58" t="s">
        <v>286</v>
      </c>
      <c r="G36" s="58">
        <v>30</v>
      </c>
      <c r="H36" s="58" t="s">
        <v>437</v>
      </c>
      <c r="I36" s="58" t="s">
        <v>286</v>
      </c>
      <c r="J36" s="58">
        <v>31</v>
      </c>
      <c r="K36" s="58" t="s">
        <v>438</v>
      </c>
      <c r="L36" s="58" t="s">
        <v>286</v>
      </c>
      <c r="M36" s="58">
        <v>40</v>
      </c>
      <c r="N36" s="58" t="s">
        <v>439</v>
      </c>
      <c r="O36" s="58" t="s">
        <v>286</v>
      </c>
      <c r="P36" s="58">
        <v>63</v>
      </c>
      <c r="Q36" s="58" t="s">
        <v>440</v>
      </c>
      <c r="R36" s="58" t="s">
        <v>286</v>
      </c>
    </row>
    <row r="37" spans="1:18" x14ac:dyDescent="0.3">
      <c r="A37">
        <f t="shared" si="0"/>
        <v>37</v>
      </c>
      <c r="B37" t="str">
        <f t="shared" si="1"/>
        <v>兄弟王梓安</v>
      </c>
      <c r="D37" s="58">
        <v>37</v>
      </c>
      <c r="E37" s="58" t="s">
        <v>250</v>
      </c>
      <c r="F37" s="58" t="s">
        <v>286</v>
      </c>
      <c r="G37" s="58">
        <v>37</v>
      </c>
      <c r="H37" s="58" t="s">
        <v>441</v>
      </c>
      <c r="I37" s="58" t="s">
        <v>286</v>
      </c>
      <c r="J37" s="58">
        <v>37</v>
      </c>
      <c r="K37" s="58" t="s">
        <v>442</v>
      </c>
      <c r="L37" s="58" t="s">
        <v>300</v>
      </c>
      <c r="M37" s="58">
        <v>45</v>
      </c>
      <c r="N37" s="58" t="s">
        <v>443</v>
      </c>
      <c r="O37" s="58" t="s">
        <v>286</v>
      </c>
      <c r="P37" s="58">
        <v>98</v>
      </c>
      <c r="Q37" s="58" t="s">
        <v>444</v>
      </c>
      <c r="R37" s="58" t="s">
        <v>286</v>
      </c>
    </row>
    <row r="38" spans="1:18" x14ac:dyDescent="0.3">
      <c r="A38">
        <f t="shared" si="0"/>
        <v>38</v>
      </c>
      <c r="B38" t="str">
        <f t="shared" si="1"/>
        <v>兄弟林丞軒</v>
      </c>
      <c r="D38" s="58">
        <v>38</v>
      </c>
      <c r="E38" s="58" t="s">
        <v>252</v>
      </c>
      <c r="F38" s="58" t="s">
        <v>286</v>
      </c>
      <c r="G38" s="58">
        <v>42</v>
      </c>
      <c r="H38" s="58" t="s">
        <v>445</v>
      </c>
      <c r="I38" s="58" t="s">
        <v>286</v>
      </c>
      <c r="J38" s="58">
        <v>40</v>
      </c>
      <c r="K38" s="58" t="s">
        <v>446</v>
      </c>
      <c r="L38" s="58" t="s">
        <v>286</v>
      </c>
      <c r="M38" s="58">
        <v>47</v>
      </c>
      <c r="N38" s="58" t="s">
        <v>447</v>
      </c>
      <c r="O38" s="58" t="s">
        <v>286</v>
      </c>
      <c r="P38" s="58">
        <v>99</v>
      </c>
      <c r="Q38" s="58" t="s">
        <v>448</v>
      </c>
      <c r="R38" s="58" t="s">
        <v>286</v>
      </c>
    </row>
    <row r="39" spans="1:18" x14ac:dyDescent="0.3">
      <c r="A39">
        <f t="shared" si="0"/>
        <v>41</v>
      </c>
      <c r="B39" t="str">
        <f t="shared" si="1"/>
        <v>兄弟鄭佳彥</v>
      </c>
      <c r="D39" s="58">
        <v>41</v>
      </c>
      <c r="E39" s="58" t="s">
        <v>449</v>
      </c>
      <c r="F39" s="58" t="s">
        <v>300</v>
      </c>
      <c r="G39" s="58">
        <v>43</v>
      </c>
      <c r="H39" s="58" t="s">
        <v>450</v>
      </c>
      <c r="I39" s="58" t="s">
        <v>286</v>
      </c>
      <c r="J39" s="58">
        <v>41</v>
      </c>
      <c r="K39" s="58" t="s">
        <v>451</v>
      </c>
      <c r="L39" s="58" t="s">
        <v>286</v>
      </c>
      <c r="M39" s="58">
        <v>54</v>
      </c>
      <c r="N39" s="58" t="s">
        <v>452</v>
      </c>
      <c r="O39" s="58" t="s">
        <v>286</v>
      </c>
      <c r="P39" s="58">
        <v>3</v>
      </c>
      <c r="Q39" s="58" t="s">
        <v>453</v>
      </c>
      <c r="R39" s="58" t="s">
        <v>300</v>
      </c>
    </row>
    <row r="40" spans="1:18" x14ac:dyDescent="0.3">
      <c r="A40">
        <f t="shared" si="0"/>
        <v>48</v>
      </c>
      <c r="B40" t="str">
        <f t="shared" si="1"/>
        <v>兄弟邱品睿</v>
      </c>
      <c r="D40" s="58">
        <v>48</v>
      </c>
      <c r="E40" s="58" t="s">
        <v>254</v>
      </c>
      <c r="F40" s="58" t="s">
        <v>300</v>
      </c>
      <c r="G40" s="58">
        <v>47</v>
      </c>
      <c r="H40" s="58" t="s">
        <v>454</v>
      </c>
      <c r="I40" s="58" t="s">
        <v>286</v>
      </c>
      <c r="J40" s="58">
        <v>44</v>
      </c>
      <c r="K40" s="58" t="s">
        <v>455</v>
      </c>
      <c r="L40" s="58" t="s">
        <v>286</v>
      </c>
      <c r="M40" s="58">
        <v>56</v>
      </c>
      <c r="N40" s="58" t="s">
        <v>456</v>
      </c>
      <c r="O40" s="58" t="s">
        <v>284</v>
      </c>
      <c r="P40" s="58">
        <v>10</v>
      </c>
      <c r="Q40" s="58" t="s">
        <v>232</v>
      </c>
      <c r="R40" s="58" t="s">
        <v>300</v>
      </c>
    </row>
    <row r="41" spans="1:18" x14ac:dyDescent="0.3">
      <c r="A41">
        <f t="shared" si="0"/>
        <v>49</v>
      </c>
      <c r="B41" t="str">
        <f t="shared" si="1"/>
        <v>兄弟余謙</v>
      </c>
      <c r="D41" s="58">
        <v>49</v>
      </c>
      <c r="E41" s="58" t="s">
        <v>457</v>
      </c>
      <c r="F41" s="58" t="s">
        <v>286</v>
      </c>
      <c r="G41" s="58">
        <v>48</v>
      </c>
      <c r="H41" s="58" t="s">
        <v>458</v>
      </c>
      <c r="I41" s="58" t="s">
        <v>300</v>
      </c>
      <c r="J41" s="58">
        <v>49</v>
      </c>
      <c r="K41" s="58" t="s">
        <v>459</v>
      </c>
      <c r="L41" s="58" t="s">
        <v>286</v>
      </c>
      <c r="M41" s="58">
        <v>59</v>
      </c>
      <c r="N41" s="58" t="s">
        <v>460</v>
      </c>
      <c r="O41" s="58" t="s">
        <v>286</v>
      </c>
      <c r="P41" s="58">
        <v>53</v>
      </c>
      <c r="Q41" s="58" t="s">
        <v>461</v>
      </c>
      <c r="R41" s="58" t="s">
        <v>300</v>
      </c>
    </row>
    <row r="42" spans="1:18" x14ac:dyDescent="0.3">
      <c r="A42">
        <f t="shared" si="0"/>
        <v>50</v>
      </c>
      <c r="B42" t="str">
        <f t="shared" si="1"/>
        <v>兄弟蔡齊哲</v>
      </c>
      <c r="D42" s="58">
        <v>50</v>
      </c>
      <c r="E42" s="58" t="s">
        <v>462</v>
      </c>
      <c r="F42" s="58" t="s">
        <v>286</v>
      </c>
      <c r="G42" s="58">
        <v>51</v>
      </c>
      <c r="H42" s="58" t="s">
        <v>463</v>
      </c>
      <c r="I42" s="58" t="s">
        <v>286</v>
      </c>
      <c r="J42" s="58">
        <v>54</v>
      </c>
      <c r="K42" s="58" t="s">
        <v>464</v>
      </c>
      <c r="L42" s="58" t="s">
        <v>300</v>
      </c>
      <c r="M42" s="58">
        <v>60</v>
      </c>
      <c r="N42" s="58" t="s">
        <v>465</v>
      </c>
      <c r="O42" s="58" t="s">
        <v>286</v>
      </c>
      <c r="P42" s="58">
        <v>13</v>
      </c>
      <c r="Q42" s="58" t="s">
        <v>180</v>
      </c>
      <c r="R42" s="58" t="s">
        <v>300</v>
      </c>
    </row>
    <row r="43" spans="1:18" x14ac:dyDescent="0.3">
      <c r="A43">
        <f t="shared" si="0"/>
        <v>53</v>
      </c>
      <c r="B43" t="str">
        <f t="shared" si="1"/>
        <v>兄弟劉劭威</v>
      </c>
      <c r="D43" s="58">
        <v>53</v>
      </c>
      <c r="E43" s="58" t="s">
        <v>466</v>
      </c>
      <c r="F43" s="58" t="s">
        <v>286</v>
      </c>
      <c r="G43" s="58">
        <v>57</v>
      </c>
      <c r="H43" s="58" t="s">
        <v>467</v>
      </c>
      <c r="I43" s="58" t="s">
        <v>286</v>
      </c>
      <c r="J43" s="58">
        <v>55</v>
      </c>
      <c r="K43" s="58" t="s">
        <v>468</v>
      </c>
      <c r="L43" s="58" t="s">
        <v>286</v>
      </c>
      <c r="M43" s="58">
        <v>63</v>
      </c>
      <c r="N43" s="58" t="s">
        <v>469</v>
      </c>
      <c r="O43" s="58" t="s">
        <v>286</v>
      </c>
      <c r="P43" s="58">
        <v>57</v>
      </c>
      <c r="Q43" s="58" t="s">
        <v>261</v>
      </c>
      <c r="R43" s="58" t="s">
        <v>286</v>
      </c>
    </row>
    <row r="44" spans="1:18" x14ac:dyDescent="0.3">
      <c r="A44">
        <f t="shared" si="0"/>
        <v>54</v>
      </c>
      <c r="B44" t="str">
        <f t="shared" si="1"/>
        <v>兄弟王奕凱</v>
      </c>
      <c r="D44" s="58">
        <v>54</v>
      </c>
      <c r="E44" s="58" t="s">
        <v>264</v>
      </c>
      <c r="F44" s="58" t="s">
        <v>300</v>
      </c>
      <c r="G44" s="58">
        <v>63</v>
      </c>
      <c r="H44" s="58" t="s">
        <v>470</v>
      </c>
      <c r="I44" s="58" t="s">
        <v>286</v>
      </c>
      <c r="J44" s="58">
        <v>61</v>
      </c>
      <c r="K44" s="58" t="s">
        <v>471</v>
      </c>
      <c r="L44" s="58" t="s">
        <v>286</v>
      </c>
      <c r="M44" s="58">
        <v>70</v>
      </c>
      <c r="N44" s="58" t="s">
        <v>472</v>
      </c>
      <c r="O44" s="58" t="s">
        <v>300</v>
      </c>
      <c r="P44" s="58">
        <v>25</v>
      </c>
      <c r="Q44" s="58" t="s">
        <v>242</v>
      </c>
      <c r="R44" s="58" t="s">
        <v>300</v>
      </c>
    </row>
    <row r="45" spans="1:18" x14ac:dyDescent="0.3">
      <c r="A45">
        <f t="shared" si="0"/>
        <v>56</v>
      </c>
      <c r="B45" t="str">
        <f t="shared" si="1"/>
        <v>兄弟楊志龍</v>
      </c>
      <c r="D45" s="58">
        <v>56</v>
      </c>
      <c r="E45" s="58" t="s">
        <v>473</v>
      </c>
      <c r="F45" s="58" t="s">
        <v>286</v>
      </c>
      <c r="G45" s="58">
        <v>69</v>
      </c>
      <c r="H45" s="58" t="s">
        <v>474</v>
      </c>
      <c r="I45" s="58" t="s">
        <v>286</v>
      </c>
      <c r="J45" s="58">
        <v>64</v>
      </c>
      <c r="K45" s="58" t="s">
        <v>475</v>
      </c>
      <c r="L45" s="58" t="s">
        <v>300</v>
      </c>
      <c r="M45" s="58">
        <v>72</v>
      </c>
      <c r="N45" s="58" t="s">
        <v>476</v>
      </c>
      <c r="O45" s="58" t="s">
        <v>300</v>
      </c>
      <c r="P45" s="58">
        <v>35</v>
      </c>
      <c r="Q45" s="58" t="s">
        <v>477</v>
      </c>
      <c r="R45" s="58" t="s">
        <v>286</v>
      </c>
    </row>
    <row r="46" spans="1:18" x14ac:dyDescent="0.3">
      <c r="A46">
        <f t="shared" si="0"/>
        <v>59</v>
      </c>
      <c r="B46" t="str">
        <f t="shared" si="1"/>
        <v>兄弟曾家鋐</v>
      </c>
      <c r="D46" s="58">
        <v>59</v>
      </c>
      <c r="E46" s="58" t="s">
        <v>478</v>
      </c>
      <c r="F46" s="58" t="s">
        <v>286</v>
      </c>
      <c r="G46" s="58">
        <v>75</v>
      </c>
      <c r="H46" s="58" t="s">
        <v>479</v>
      </c>
      <c r="I46" s="58" t="s">
        <v>286</v>
      </c>
      <c r="J46" s="58">
        <v>71</v>
      </c>
      <c r="K46" s="58" t="s">
        <v>480</v>
      </c>
      <c r="L46" s="58" t="s">
        <v>286</v>
      </c>
      <c r="M46" s="58">
        <v>74</v>
      </c>
      <c r="N46" s="58" t="s">
        <v>481</v>
      </c>
      <c r="O46" s="58" t="s">
        <v>286</v>
      </c>
      <c r="P46" s="58">
        <v>46</v>
      </c>
      <c r="Q46" s="58" t="s">
        <v>257</v>
      </c>
      <c r="R46" s="58" t="s">
        <v>286</v>
      </c>
    </row>
    <row r="47" spans="1:18" x14ac:dyDescent="0.3">
      <c r="A47">
        <f t="shared" si="0"/>
        <v>62</v>
      </c>
      <c r="B47" t="str">
        <f t="shared" si="1"/>
        <v>兄弟陳琥</v>
      </c>
      <c r="D47" s="58">
        <v>62</v>
      </c>
      <c r="E47" s="58" t="s">
        <v>482</v>
      </c>
      <c r="F47" s="58" t="s">
        <v>286</v>
      </c>
      <c r="G47" s="58">
        <v>78</v>
      </c>
      <c r="H47" s="58" t="s">
        <v>483</v>
      </c>
      <c r="I47" s="58" t="s">
        <v>286</v>
      </c>
      <c r="J47" s="58">
        <v>76</v>
      </c>
      <c r="K47" s="58" t="s">
        <v>484</v>
      </c>
      <c r="L47" s="58" t="s">
        <v>286</v>
      </c>
      <c r="M47" s="58">
        <v>78</v>
      </c>
      <c r="N47" s="58" t="s">
        <v>485</v>
      </c>
      <c r="O47" s="58" t="s">
        <v>286</v>
      </c>
      <c r="P47" s="58">
        <v>6</v>
      </c>
      <c r="Q47" s="58" t="s">
        <v>486</v>
      </c>
      <c r="R47" s="58" t="s">
        <v>286</v>
      </c>
    </row>
    <row r="48" spans="1:18" x14ac:dyDescent="0.3">
      <c r="A48">
        <f t="shared" si="0"/>
        <v>79</v>
      </c>
      <c r="B48" t="str">
        <f t="shared" si="1"/>
        <v>兄弟謝榮豪</v>
      </c>
      <c r="D48" s="58">
        <v>79</v>
      </c>
      <c r="E48" s="58" t="s">
        <v>487</v>
      </c>
      <c r="F48" s="58" t="s">
        <v>286</v>
      </c>
      <c r="G48" s="58">
        <v>79</v>
      </c>
      <c r="H48" s="58" t="s">
        <v>488</v>
      </c>
      <c r="I48" s="58" t="s">
        <v>286</v>
      </c>
      <c r="J48" s="58">
        <v>77</v>
      </c>
      <c r="K48" s="58" t="s">
        <v>489</v>
      </c>
      <c r="L48" s="58" t="s">
        <v>286</v>
      </c>
      <c r="M48" s="58">
        <v>79</v>
      </c>
      <c r="N48" s="58" t="s">
        <v>490</v>
      </c>
      <c r="O48" s="58" t="s">
        <v>286</v>
      </c>
      <c r="P48" s="58">
        <v>21</v>
      </c>
      <c r="Q48" s="58" t="s">
        <v>240</v>
      </c>
      <c r="R48" s="58" t="s">
        <v>300</v>
      </c>
    </row>
    <row r="49" spans="1:18" x14ac:dyDescent="0.3">
      <c r="A49">
        <f t="shared" si="0"/>
        <v>80</v>
      </c>
      <c r="B49" t="str">
        <f t="shared" si="1"/>
        <v>兄弟魏碩成</v>
      </c>
      <c r="D49" s="58">
        <v>80</v>
      </c>
      <c r="E49" s="58" t="s">
        <v>491</v>
      </c>
      <c r="F49" s="58" t="s">
        <v>300</v>
      </c>
      <c r="G49" s="58">
        <v>104</v>
      </c>
      <c r="H49" s="58" t="s">
        <v>492</v>
      </c>
      <c r="I49" s="58" t="s">
        <v>286</v>
      </c>
      <c r="J49" s="58">
        <v>89</v>
      </c>
      <c r="K49" s="58" t="s">
        <v>493</v>
      </c>
      <c r="L49" s="58" t="s">
        <v>286</v>
      </c>
      <c r="M49" s="58">
        <v>80</v>
      </c>
      <c r="N49" s="58" t="s">
        <v>494</v>
      </c>
      <c r="O49" s="58" t="s">
        <v>286</v>
      </c>
      <c r="P49" s="58">
        <v>33</v>
      </c>
      <c r="Q49" s="58" t="s">
        <v>247</v>
      </c>
      <c r="R49" s="58" t="s">
        <v>300</v>
      </c>
    </row>
    <row r="50" spans="1:18" x14ac:dyDescent="0.3">
      <c r="A50">
        <f t="shared" si="0"/>
        <v>82</v>
      </c>
      <c r="B50" t="str">
        <f t="shared" si="1"/>
        <v>兄弟楊達翔</v>
      </c>
      <c r="D50" s="58">
        <v>82</v>
      </c>
      <c r="E50" s="58" t="s">
        <v>260</v>
      </c>
      <c r="F50" s="58" t="s">
        <v>286</v>
      </c>
      <c r="G50" s="58">
        <v>105</v>
      </c>
      <c r="H50" s="58" t="s">
        <v>495</v>
      </c>
      <c r="I50" s="58" t="s">
        <v>300</v>
      </c>
      <c r="J50" s="58">
        <v>92</v>
      </c>
      <c r="K50" s="58" t="s">
        <v>496</v>
      </c>
      <c r="L50" s="58" t="s">
        <v>286</v>
      </c>
      <c r="M50" s="58">
        <v>81</v>
      </c>
      <c r="N50" s="58" t="s">
        <v>497</v>
      </c>
      <c r="O50" s="58" t="s">
        <v>300</v>
      </c>
      <c r="P50" s="58">
        <v>54</v>
      </c>
      <c r="Q50" s="58" t="s">
        <v>157</v>
      </c>
      <c r="R50" s="58" t="s">
        <v>286</v>
      </c>
    </row>
    <row r="51" spans="1:18" x14ac:dyDescent="0.3">
      <c r="A51">
        <f t="shared" si="0"/>
        <v>83</v>
      </c>
      <c r="B51" t="str">
        <f t="shared" si="1"/>
        <v>兄弟陳柏豪</v>
      </c>
      <c r="D51" s="58">
        <v>83</v>
      </c>
      <c r="E51" s="58" t="s">
        <v>498</v>
      </c>
      <c r="F51" s="58" t="s">
        <v>286</v>
      </c>
      <c r="G51" s="58">
        <v>15</v>
      </c>
      <c r="H51" s="58" t="s">
        <v>499</v>
      </c>
      <c r="I51" s="58" t="s">
        <v>286</v>
      </c>
      <c r="J51" s="58">
        <v>96</v>
      </c>
      <c r="K51" s="58" t="s">
        <v>500</v>
      </c>
      <c r="L51" s="58" t="s">
        <v>286</v>
      </c>
      <c r="M51" s="58">
        <v>99</v>
      </c>
      <c r="N51" s="58" t="s">
        <v>501</v>
      </c>
      <c r="O51" s="58" t="s">
        <v>286</v>
      </c>
      <c r="P51" s="58">
        <v>5</v>
      </c>
      <c r="Q51" s="58" t="s">
        <v>502</v>
      </c>
      <c r="R51" s="58" t="s">
        <v>300</v>
      </c>
    </row>
    <row r="52" spans="1:18" x14ac:dyDescent="0.3">
      <c r="A52">
        <f t="shared" si="0"/>
        <v>84</v>
      </c>
      <c r="B52" t="str">
        <f t="shared" si="1"/>
        <v>兄弟黃弘毅</v>
      </c>
      <c r="D52" s="58">
        <v>84</v>
      </c>
      <c r="E52" s="58" t="s">
        <v>258</v>
      </c>
      <c r="F52" s="58" t="s">
        <v>286</v>
      </c>
      <c r="G52" s="58">
        <v>36</v>
      </c>
      <c r="H52" s="58" t="s">
        <v>503</v>
      </c>
      <c r="I52" s="58" t="s">
        <v>286</v>
      </c>
      <c r="J52" s="58">
        <v>97</v>
      </c>
      <c r="K52" s="58" t="s">
        <v>504</v>
      </c>
      <c r="L52" s="58" t="s">
        <v>286</v>
      </c>
      <c r="M52" s="58">
        <v>8</v>
      </c>
      <c r="N52" s="58" t="s">
        <v>505</v>
      </c>
      <c r="O52" s="58" t="s">
        <v>286</v>
      </c>
      <c r="P52" s="58">
        <v>62</v>
      </c>
      <c r="Q52" s="58" t="s">
        <v>158</v>
      </c>
      <c r="R52" s="58" t="s">
        <v>300</v>
      </c>
    </row>
    <row r="53" spans="1:18" x14ac:dyDescent="0.3">
      <c r="A53">
        <f t="shared" si="0"/>
        <v>89</v>
      </c>
      <c r="B53" t="str">
        <f t="shared" si="1"/>
        <v>兄弟宋晟睿</v>
      </c>
      <c r="D53" s="58">
        <v>89</v>
      </c>
      <c r="E53" s="58" t="s">
        <v>506</v>
      </c>
      <c r="F53" s="58" t="s">
        <v>286</v>
      </c>
      <c r="G53" s="58">
        <v>74</v>
      </c>
      <c r="H53" s="58" t="s">
        <v>507</v>
      </c>
      <c r="I53" s="58" t="s">
        <v>286</v>
      </c>
      <c r="J53" s="58">
        <v>47</v>
      </c>
      <c r="K53" s="58" t="s">
        <v>508</v>
      </c>
      <c r="L53" s="58" t="s">
        <v>286</v>
      </c>
      <c r="M53" s="58">
        <v>10</v>
      </c>
      <c r="N53" s="58" t="s">
        <v>509</v>
      </c>
      <c r="O53" s="58" t="s">
        <v>286</v>
      </c>
      <c r="P53" s="58">
        <v>88</v>
      </c>
      <c r="Q53" s="58" t="s">
        <v>268</v>
      </c>
      <c r="R53" s="58" t="s">
        <v>300</v>
      </c>
    </row>
    <row r="54" spans="1:18" x14ac:dyDescent="0.3">
      <c r="A54">
        <f t="shared" si="0"/>
        <v>97</v>
      </c>
      <c r="B54" t="str">
        <f t="shared" si="1"/>
        <v>兄弟萊福力</v>
      </c>
      <c r="D54" s="58">
        <v>97</v>
      </c>
      <c r="E54" s="58" t="s">
        <v>510</v>
      </c>
      <c r="F54" s="58" t="s">
        <v>286</v>
      </c>
      <c r="G54" s="58">
        <v>88</v>
      </c>
      <c r="H54" s="58" t="s">
        <v>511</v>
      </c>
      <c r="I54" s="58" t="s">
        <v>286</v>
      </c>
      <c r="J54" s="58">
        <v>62</v>
      </c>
      <c r="K54" s="58" t="s">
        <v>512</v>
      </c>
      <c r="L54" s="58" t="s">
        <v>300</v>
      </c>
      <c r="M54" s="58">
        <v>61</v>
      </c>
      <c r="N54" s="58" t="s">
        <v>513</v>
      </c>
      <c r="O54" s="58" t="s">
        <v>286</v>
      </c>
      <c r="P54" s="58">
        <v>2</v>
      </c>
      <c r="Q54" s="58" t="s">
        <v>228</v>
      </c>
      <c r="R54" s="58" t="s">
        <v>300</v>
      </c>
    </row>
    <row r="55" spans="1:18" x14ac:dyDescent="0.3">
      <c r="A55">
        <f t="shared" si="0"/>
        <v>99</v>
      </c>
      <c r="B55" t="str">
        <f t="shared" si="1"/>
        <v>兄弟周磊</v>
      </c>
      <c r="D55" s="58">
        <v>99</v>
      </c>
      <c r="E55" s="58" t="s">
        <v>262</v>
      </c>
      <c r="F55" s="58" t="s">
        <v>286</v>
      </c>
      <c r="G55" s="58">
        <v>3</v>
      </c>
      <c r="H55" s="58" t="s">
        <v>514</v>
      </c>
      <c r="I55" s="58" t="s">
        <v>286</v>
      </c>
      <c r="J55" s="58">
        <v>74</v>
      </c>
      <c r="K55" s="58" t="s">
        <v>515</v>
      </c>
      <c r="L55" s="58" t="s">
        <v>286</v>
      </c>
      <c r="M55" s="58">
        <v>89</v>
      </c>
      <c r="N55" s="58" t="s">
        <v>516</v>
      </c>
      <c r="O55" s="58" t="s">
        <v>300</v>
      </c>
      <c r="P55" s="58">
        <v>28</v>
      </c>
      <c r="Q55" s="58" t="s">
        <v>244</v>
      </c>
      <c r="R55" s="58" t="s">
        <v>300</v>
      </c>
    </row>
    <row r="56" spans="1:18" x14ac:dyDescent="0.3">
      <c r="A56">
        <f t="shared" si="0"/>
        <v>12</v>
      </c>
      <c r="B56" t="str">
        <f t="shared" si="1"/>
        <v>兄弟林明杰</v>
      </c>
      <c r="D56" s="58">
        <v>12</v>
      </c>
      <c r="E56" s="58" t="s">
        <v>235</v>
      </c>
      <c r="F56" s="58" t="s">
        <v>286</v>
      </c>
      <c r="G56" s="58">
        <v>25</v>
      </c>
      <c r="H56" s="58" t="s">
        <v>517</v>
      </c>
      <c r="I56" s="58" t="s">
        <v>300</v>
      </c>
      <c r="J56" s="58">
        <v>25</v>
      </c>
      <c r="K56" s="58" t="s">
        <v>518</v>
      </c>
      <c r="L56" s="58" t="s">
        <v>286</v>
      </c>
      <c r="M56" s="58">
        <v>31</v>
      </c>
      <c r="N56" s="58" t="s">
        <v>519</v>
      </c>
      <c r="O56" s="58" t="s">
        <v>286</v>
      </c>
      <c r="P56" s="58">
        <v>34</v>
      </c>
      <c r="Q56" s="58" t="s">
        <v>249</v>
      </c>
      <c r="R56" s="58" t="s">
        <v>300</v>
      </c>
    </row>
    <row r="57" spans="1:18" x14ac:dyDescent="0.3">
      <c r="A57">
        <f t="shared" si="0"/>
        <v>26</v>
      </c>
      <c r="B57" t="str">
        <f t="shared" si="1"/>
        <v>兄弟黃鈞聲</v>
      </c>
      <c r="D57" s="58">
        <v>26</v>
      </c>
      <c r="E57" s="58" t="s">
        <v>241</v>
      </c>
      <c r="F57" s="58" t="s">
        <v>286</v>
      </c>
      <c r="G57" s="58">
        <v>53</v>
      </c>
      <c r="H57" s="58" t="s">
        <v>520</v>
      </c>
      <c r="I57" s="58" t="s">
        <v>300</v>
      </c>
      <c r="J57" s="58">
        <v>33</v>
      </c>
      <c r="K57" s="58" t="s">
        <v>521</v>
      </c>
      <c r="L57" s="58" t="s">
        <v>300</v>
      </c>
      <c r="M57" s="58">
        <v>84</v>
      </c>
      <c r="N57" s="58" t="s">
        <v>522</v>
      </c>
      <c r="O57" s="58" t="s">
        <v>300</v>
      </c>
      <c r="P57" s="58">
        <v>55</v>
      </c>
      <c r="Q57" s="58" t="s">
        <v>523</v>
      </c>
      <c r="R57" s="58" t="s">
        <v>300</v>
      </c>
    </row>
    <row r="58" spans="1:18" x14ac:dyDescent="0.3">
      <c r="A58">
        <f t="shared" si="0"/>
        <v>52</v>
      </c>
      <c r="B58" t="str">
        <f t="shared" si="1"/>
        <v>兄弟張聖豪</v>
      </c>
      <c r="D58" s="58">
        <v>52</v>
      </c>
      <c r="E58" s="58" t="s">
        <v>524</v>
      </c>
      <c r="F58" s="58" t="s">
        <v>300</v>
      </c>
      <c r="G58" s="58">
        <v>67</v>
      </c>
      <c r="H58" s="58" t="s">
        <v>525</v>
      </c>
      <c r="I58" s="58" t="s">
        <v>300</v>
      </c>
      <c r="J58" s="58">
        <v>4</v>
      </c>
      <c r="K58" s="58" t="s">
        <v>526</v>
      </c>
      <c r="L58" s="58" t="s">
        <v>286</v>
      </c>
      <c r="M58" s="58">
        <v>23</v>
      </c>
      <c r="N58" s="58" t="s">
        <v>527</v>
      </c>
      <c r="O58" s="58" t="s">
        <v>300</v>
      </c>
      <c r="P58" s="58">
        <v>77</v>
      </c>
      <c r="Q58" s="58" t="s">
        <v>528</v>
      </c>
      <c r="R58" s="58" t="s">
        <v>286</v>
      </c>
    </row>
    <row r="59" spans="1:18" x14ac:dyDescent="0.3">
      <c r="A59">
        <f t="shared" si="0"/>
        <v>81</v>
      </c>
      <c r="B59" t="str">
        <f t="shared" si="1"/>
        <v>兄弟吳明鴻</v>
      </c>
      <c r="D59" s="58">
        <v>81</v>
      </c>
      <c r="E59" s="58" t="s">
        <v>529</v>
      </c>
      <c r="F59" s="58" t="s">
        <v>286</v>
      </c>
      <c r="G59" s="58">
        <v>44</v>
      </c>
      <c r="H59" s="58" t="s">
        <v>530</v>
      </c>
      <c r="I59" s="58" t="s">
        <v>300</v>
      </c>
      <c r="J59" s="58">
        <v>45</v>
      </c>
      <c r="K59" s="58" t="s">
        <v>531</v>
      </c>
      <c r="L59" s="58" t="s">
        <v>286</v>
      </c>
      <c r="M59" s="58">
        <v>35</v>
      </c>
      <c r="N59" s="58" t="s">
        <v>532</v>
      </c>
      <c r="O59" s="58" t="s">
        <v>300</v>
      </c>
      <c r="P59" s="58">
        <v>1</v>
      </c>
      <c r="Q59" s="58" t="s">
        <v>226</v>
      </c>
      <c r="R59" s="58" t="s">
        <v>300</v>
      </c>
    </row>
    <row r="60" spans="1:18" x14ac:dyDescent="0.3">
      <c r="A60">
        <f t="shared" si="0"/>
        <v>73</v>
      </c>
      <c r="B60" t="str">
        <f t="shared" si="1"/>
        <v>兄弟陳子鴻</v>
      </c>
      <c r="D60" s="58">
        <v>73</v>
      </c>
      <c r="E60" s="58" t="s">
        <v>533</v>
      </c>
      <c r="F60" s="58" t="s">
        <v>286</v>
      </c>
      <c r="G60" s="58">
        <v>62</v>
      </c>
      <c r="H60" s="58" t="s">
        <v>534</v>
      </c>
      <c r="I60" s="58" t="s">
        <v>286</v>
      </c>
      <c r="J60" s="58">
        <v>5</v>
      </c>
      <c r="K60" s="58" t="s">
        <v>535</v>
      </c>
      <c r="L60" s="58" t="s">
        <v>300</v>
      </c>
      <c r="M60" s="58">
        <v>64</v>
      </c>
      <c r="N60" s="58" t="s">
        <v>536</v>
      </c>
      <c r="O60" s="58" t="s">
        <v>286</v>
      </c>
      <c r="P60" s="58">
        <v>58</v>
      </c>
      <c r="Q60" s="58" t="s">
        <v>263</v>
      </c>
      <c r="R60" s="58" t="s">
        <v>286</v>
      </c>
    </row>
    <row r="61" spans="1:18" x14ac:dyDescent="0.3">
      <c r="A61">
        <f t="shared" si="0"/>
        <v>96</v>
      </c>
      <c r="B61" t="str">
        <f t="shared" si="1"/>
        <v>兄弟蘇緯達</v>
      </c>
      <c r="D61" s="58">
        <v>96</v>
      </c>
      <c r="E61" s="58" t="s">
        <v>537</v>
      </c>
      <c r="F61" s="58" t="s">
        <v>300</v>
      </c>
      <c r="G61" s="58">
        <v>2</v>
      </c>
      <c r="H61" s="58" t="s">
        <v>538</v>
      </c>
      <c r="I61" s="58" t="s">
        <v>300</v>
      </c>
      <c r="J61" s="58">
        <v>28</v>
      </c>
      <c r="K61" s="58" t="s">
        <v>539</v>
      </c>
      <c r="L61" s="58" t="s">
        <v>300</v>
      </c>
      <c r="M61" s="58">
        <v>76</v>
      </c>
      <c r="N61" s="58" t="s">
        <v>540</v>
      </c>
      <c r="O61" s="58" t="s">
        <v>300</v>
      </c>
      <c r="P61" s="61" t="s">
        <v>593</v>
      </c>
      <c r="Q61" s="61" t="s">
        <v>593</v>
      </c>
      <c r="R61" s="61" t="s">
        <v>595</v>
      </c>
    </row>
    <row r="62" spans="1:18" x14ac:dyDescent="0.3">
      <c r="A62">
        <f t="shared" si="0"/>
        <v>66</v>
      </c>
      <c r="B62" t="str">
        <f t="shared" si="1"/>
        <v>兄弟黃韋盛</v>
      </c>
      <c r="D62" s="58">
        <v>66</v>
      </c>
      <c r="E62" s="58" t="s">
        <v>541</v>
      </c>
      <c r="F62" s="58" t="s">
        <v>286</v>
      </c>
      <c r="G62" s="58">
        <v>22</v>
      </c>
      <c r="H62" s="58" t="s">
        <v>542</v>
      </c>
      <c r="I62" s="58" t="s">
        <v>286</v>
      </c>
      <c r="J62" s="58">
        <v>94</v>
      </c>
      <c r="K62" s="58" t="s">
        <v>543</v>
      </c>
      <c r="L62" s="58" t="s">
        <v>286</v>
      </c>
      <c r="M62" s="58">
        <v>51</v>
      </c>
      <c r="N62" s="58" t="s">
        <v>544</v>
      </c>
      <c r="O62" s="58" t="s">
        <v>300</v>
      </c>
      <c r="P62" s="61" t="s">
        <v>593</v>
      </c>
      <c r="Q62" s="61" t="s">
        <v>593</v>
      </c>
      <c r="R62" s="61" t="s">
        <v>595</v>
      </c>
    </row>
    <row r="63" spans="1:18" x14ac:dyDescent="0.3">
      <c r="A63">
        <f t="shared" si="0"/>
        <v>69</v>
      </c>
      <c r="B63" t="str">
        <f t="shared" si="1"/>
        <v>兄弟張志強</v>
      </c>
      <c r="D63" s="58">
        <v>69</v>
      </c>
      <c r="E63" s="58" t="s">
        <v>545</v>
      </c>
      <c r="F63" s="58" t="s">
        <v>300</v>
      </c>
      <c r="G63" s="58">
        <v>90</v>
      </c>
      <c r="H63" s="58" t="s">
        <v>546</v>
      </c>
      <c r="I63" s="58" t="s">
        <v>286</v>
      </c>
      <c r="J63" s="58">
        <v>7</v>
      </c>
      <c r="K63" s="58" t="s">
        <v>547</v>
      </c>
      <c r="L63" s="58" t="s">
        <v>286</v>
      </c>
      <c r="M63" s="58">
        <v>4</v>
      </c>
      <c r="N63" s="58" t="s">
        <v>548</v>
      </c>
      <c r="O63" s="58" t="s">
        <v>300</v>
      </c>
      <c r="P63" s="61" t="s">
        <v>593</v>
      </c>
      <c r="Q63" s="61" t="s">
        <v>593</v>
      </c>
      <c r="R63" s="61" t="s">
        <v>595</v>
      </c>
    </row>
    <row r="64" spans="1:18" x14ac:dyDescent="0.3">
      <c r="A64">
        <f t="shared" si="0"/>
        <v>75</v>
      </c>
      <c r="B64" t="str">
        <f t="shared" si="1"/>
        <v>兄弟林瑞鈞</v>
      </c>
      <c r="D64" s="58">
        <v>75</v>
      </c>
      <c r="E64" s="58" t="s">
        <v>267</v>
      </c>
      <c r="F64" s="58" t="s">
        <v>300</v>
      </c>
      <c r="G64" s="58">
        <v>7</v>
      </c>
      <c r="H64" s="58" t="s">
        <v>549</v>
      </c>
      <c r="I64" s="58" t="s">
        <v>286</v>
      </c>
      <c r="J64" s="58">
        <v>27</v>
      </c>
      <c r="K64" s="58" t="s">
        <v>550</v>
      </c>
      <c r="L64" s="58" t="s">
        <v>300</v>
      </c>
      <c r="M64" s="58">
        <v>7</v>
      </c>
      <c r="N64" s="58" t="s">
        <v>551</v>
      </c>
      <c r="O64" s="58" t="s">
        <v>286</v>
      </c>
      <c r="P64" s="61" t="s">
        <v>593</v>
      </c>
      <c r="Q64" s="61" t="s">
        <v>593</v>
      </c>
      <c r="R64" s="61" t="s">
        <v>595</v>
      </c>
    </row>
    <row r="65" spans="1:18" x14ac:dyDescent="0.3">
      <c r="A65">
        <f t="shared" si="0"/>
        <v>0</v>
      </c>
      <c r="B65" t="str">
        <f t="shared" si="1"/>
        <v>兄弟林吳晉瑋</v>
      </c>
      <c r="D65" s="58">
        <v>0</v>
      </c>
      <c r="E65" s="58" t="s">
        <v>552</v>
      </c>
      <c r="F65" s="58" t="s">
        <v>300</v>
      </c>
      <c r="G65" s="58">
        <v>38</v>
      </c>
      <c r="H65" s="58" t="s">
        <v>553</v>
      </c>
      <c r="I65" s="58" t="s">
        <v>286</v>
      </c>
      <c r="J65" s="58">
        <v>99</v>
      </c>
      <c r="K65" s="58" t="s">
        <v>554</v>
      </c>
      <c r="L65" s="58" t="s">
        <v>300</v>
      </c>
      <c r="M65" s="58">
        <v>43</v>
      </c>
      <c r="N65" s="58" t="s">
        <v>555</v>
      </c>
      <c r="O65" s="58" t="s">
        <v>284</v>
      </c>
      <c r="P65" s="61" t="s">
        <v>593</v>
      </c>
      <c r="Q65" s="61" t="s">
        <v>593</v>
      </c>
      <c r="R65" s="61" t="s">
        <v>595</v>
      </c>
    </row>
    <row r="66" spans="1:18" x14ac:dyDescent="0.3">
      <c r="A66">
        <f t="shared" si="0"/>
        <v>5</v>
      </c>
      <c r="B66" t="str">
        <f t="shared" si="1"/>
        <v>兄弟王政順</v>
      </c>
      <c r="D66" s="58">
        <v>5</v>
      </c>
      <c r="E66" s="58" t="s">
        <v>237</v>
      </c>
      <c r="F66" s="58" t="s">
        <v>300</v>
      </c>
      <c r="G66" s="58">
        <v>28</v>
      </c>
      <c r="H66" s="58" t="s">
        <v>556</v>
      </c>
      <c r="I66" s="58" t="s">
        <v>286</v>
      </c>
      <c r="J66" s="58">
        <v>102</v>
      </c>
      <c r="K66" s="58" t="s">
        <v>557</v>
      </c>
      <c r="L66" s="58" t="s">
        <v>300</v>
      </c>
      <c r="M66" s="58">
        <v>49</v>
      </c>
      <c r="N66" s="58" t="s">
        <v>558</v>
      </c>
      <c r="O66" s="58" t="s">
        <v>286</v>
      </c>
      <c r="P66" s="61" t="s">
        <v>593</v>
      </c>
      <c r="Q66" s="61" t="s">
        <v>593</v>
      </c>
      <c r="R66" s="61" t="s">
        <v>595</v>
      </c>
    </row>
    <row r="67" spans="1:18" x14ac:dyDescent="0.3">
      <c r="A67">
        <f t="shared" ref="A67:A80" si="2">IF(D67&lt;&gt;"-",D67,"")</f>
        <v>47</v>
      </c>
      <c r="B67" t="str">
        <f t="shared" ref="B67:B80" si="3">IF(E67&lt;&gt;"-",E67,"")</f>
        <v>兄弟林志綱</v>
      </c>
      <c r="D67" s="58">
        <v>47</v>
      </c>
      <c r="E67" s="58" t="s">
        <v>559</v>
      </c>
      <c r="F67" s="58" t="s">
        <v>300</v>
      </c>
      <c r="G67" s="58">
        <v>33</v>
      </c>
      <c r="H67" s="58" t="s">
        <v>560</v>
      </c>
      <c r="I67" s="58" t="s">
        <v>300</v>
      </c>
      <c r="J67" s="58">
        <v>13</v>
      </c>
      <c r="K67" s="58" t="s">
        <v>561</v>
      </c>
      <c r="L67" s="58" t="s">
        <v>286</v>
      </c>
      <c r="M67" s="58">
        <v>15</v>
      </c>
      <c r="N67" s="58" t="s">
        <v>562</v>
      </c>
      <c r="O67" s="58" t="s">
        <v>286</v>
      </c>
      <c r="P67" s="61" t="s">
        <v>593</v>
      </c>
      <c r="Q67" s="61" t="s">
        <v>593</v>
      </c>
      <c r="R67" s="61" t="s">
        <v>595</v>
      </c>
    </row>
    <row r="68" spans="1:18" x14ac:dyDescent="0.3">
      <c r="A68">
        <f t="shared" si="2"/>
        <v>68</v>
      </c>
      <c r="B68" t="str">
        <f t="shared" si="3"/>
        <v>兄弟馬鋼</v>
      </c>
      <c r="D68" s="58">
        <v>68</v>
      </c>
      <c r="E68" s="58" t="s">
        <v>563</v>
      </c>
      <c r="F68" s="58" t="s">
        <v>286</v>
      </c>
      <c r="G68" s="58">
        <v>52</v>
      </c>
      <c r="H68" s="58" t="s">
        <v>564</v>
      </c>
      <c r="I68" s="58" t="s">
        <v>300</v>
      </c>
      <c r="J68" s="58">
        <v>30</v>
      </c>
      <c r="K68" s="58" t="s">
        <v>565</v>
      </c>
      <c r="L68" s="58" t="s">
        <v>286</v>
      </c>
      <c r="M68" s="58">
        <v>33</v>
      </c>
      <c r="N68" s="58" t="s">
        <v>566</v>
      </c>
      <c r="O68" s="58" t="s">
        <v>300</v>
      </c>
      <c r="P68" s="61" t="s">
        <v>593</v>
      </c>
      <c r="Q68" s="61" t="s">
        <v>593</v>
      </c>
      <c r="R68" s="61" t="s">
        <v>595</v>
      </c>
    </row>
    <row r="69" spans="1:18" x14ac:dyDescent="0.3">
      <c r="A69">
        <f t="shared" si="2"/>
        <v>13</v>
      </c>
      <c r="B69" t="str">
        <f t="shared" si="3"/>
        <v>兄弟陳偉漢</v>
      </c>
      <c r="D69" s="58">
        <v>13</v>
      </c>
      <c r="E69" s="58" t="s">
        <v>227</v>
      </c>
      <c r="F69" s="58" t="s">
        <v>286</v>
      </c>
      <c r="G69" s="58">
        <v>55</v>
      </c>
      <c r="H69" s="58" t="s">
        <v>567</v>
      </c>
      <c r="I69" s="58" t="s">
        <v>300</v>
      </c>
      <c r="J69" s="58">
        <v>93</v>
      </c>
      <c r="K69" s="58" t="s">
        <v>568</v>
      </c>
      <c r="L69" s="58" t="s">
        <v>300</v>
      </c>
      <c r="M69" s="58">
        <v>41</v>
      </c>
      <c r="N69" s="58" t="s">
        <v>569</v>
      </c>
      <c r="O69" s="58" t="s">
        <v>300</v>
      </c>
      <c r="P69" s="61" t="s">
        <v>593</v>
      </c>
      <c r="Q69" s="61" t="s">
        <v>593</v>
      </c>
      <c r="R69" s="61" t="s">
        <v>595</v>
      </c>
    </row>
    <row r="70" spans="1:18" x14ac:dyDescent="0.3">
      <c r="A70">
        <f t="shared" si="2"/>
        <v>14</v>
      </c>
      <c r="B70" t="str">
        <f t="shared" si="3"/>
        <v>兄弟王勝偉</v>
      </c>
      <c r="D70" s="58">
        <v>14</v>
      </c>
      <c r="E70" s="58" t="s">
        <v>239</v>
      </c>
      <c r="F70" s="58" t="s">
        <v>286</v>
      </c>
      <c r="G70" s="58">
        <v>27</v>
      </c>
      <c r="H70" s="58" t="s">
        <v>570</v>
      </c>
      <c r="I70" s="58" t="s">
        <v>286</v>
      </c>
      <c r="J70" s="58">
        <v>35</v>
      </c>
      <c r="K70" s="58" t="s">
        <v>571</v>
      </c>
      <c r="L70" s="58" t="s">
        <v>286</v>
      </c>
      <c r="M70" s="58">
        <v>66</v>
      </c>
      <c r="N70" s="58" t="s">
        <v>572</v>
      </c>
      <c r="O70" s="58" t="s">
        <v>286</v>
      </c>
      <c r="P70" s="61" t="s">
        <v>593</v>
      </c>
      <c r="Q70" s="61" t="s">
        <v>593</v>
      </c>
      <c r="R70" s="61" t="s">
        <v>595</v>
      </c>
    </row>
    <row r="71" spans="1:18" x14ac:dyDescent="0.3">
      <c r="A71">
        <f t="shared" si="2"/>
        <v>27</v>
      </c>
      <c r="B71" t="str">
        <f t="shared" si="3"/>
        <v>兄弟黃稚峰</v>
      </c>
      <c r="D71" s="58">
        <v>27</v>
      </c>
      <c r="E71" s="58" t="s">
        <v>229</v>
      </c>
      <c r="F71" s="58" t="s">
        <v>286</v>
      </c>
      <c r="G71" s="58">
        <v>9</v>
      </c>
      <c r="H71" s="58" t="s">
        <v>573</v>
      </c>
      <c r="I71" s="58" t="s">
        <v>286</v>
      </c>
      <c r="J71" s="58">
        <v>48</v>
      </c>
      <c r="K71" s="58" t="s">
        <v>574</v>
      </c>
      <c r="L71" s="58" t="s">
        <v>300</v>
      </c>
      <c r="M71" s="58">
        <v>62</v>
      </c>
      <c r="N71" s="58" t="s">
        <v>575</v>
      </c>
      <c r="O71" s="58" t="s">
        <v>300</v>
      </c>
      <c r="P71" s="61" t="s">
        <v>593</v>
      </c>
      <c r="Q71" s="61" t="s">
        <v>593</v>
      </c>
      <c r="R71" s="61" t="s">
        <v>595</v>
      </c>
    </row>
    <row r="72" spans="1:18" x14ac:dyDescent="0.3">
      <c r="A72">
        <f t="shared" si="2"/>
        <v>32</v>
      </c>
      <c r="B72" t="str">
        <f t="shared" si="3"/>
        <v>兄弟曾頌恩</v>
      </c>
      <c r="D72" s="58">
        <v>32</v>
      </c>
      <c r="E72" s="58" t="s">
        <v>576</v>
      </c>
      <c r="F72" s="58" t="s">
        <v>286</v>
      </c>
      <c r="G72" s="58">
        <v>14</v>
      </c>
      <c r="H72" s="58" t="s">
        <v>577</v>
      </c>
      <c r="I72" s="58" t="s">
        <v>300</v>
      </c>
      <c r="J72" s="58">
        <v>51</v>
      </c>
      <c r="K72" s="58" t="s">
        <v>578</v>
      </c>
      <c r="L72" s="58" t="s">
        <v>300</v>
      </c>
      <c r="M72" s="58">
        <v>83</v>
      </c>
      <c r="N72" s="58" t="s">
        <v>579</v>
      </c>
      <c r="O72" s="58" t="s">
        <v>286</v>
      </c>
      <c r="P72" s="61" t="s">
        <v>593</v>
      </c>
      <c r="Q72" s="61" t="s">
        <v>593</v>
      </c>
      <c r="R72" s="61" t="s">
        <v>595</v>
      </c>
    </row>
    <row r="73" spans="1:18" x14ac:dyDescent="0.3">
      <c r="A73">
        <f t="shared" si="2"/>
        <v>43</v>
      </c>
      <c r="B73" t="str">
        <f t="shared" si="3"/>
        <v>兄弟林書逸</v>
      </c>
      <c r="D73" s="58">
        <v>43</v>
      </c>
      <c r="E73" s="58" t="s">
        <v>580</v>
      </c>
      <c r="F73" s="58" t="s">
        <v>300</v>
      </c>
      <c r="G73" s="58">
        <v>49</v>
      </c>
      <c r="H73" s="58" t="s">
        <v>581</v>
      </c>
      <c r="I73" s="58" t="s">
        <v>286</v>
      </c>
      <c r="J73" s="58">
        <v>65</v>
      </c>
      <c r="K73" s="58" t="s">
        <v>582</v>
      </c>
      <c r="L73" s="58" t="s">
        <v>300</v>
      </c>
      <c r="M73" s="58">
        <v>32</v>
      </c>
      <c r="N73" s="58" t="s">
        <v>583</v>
      </c>
      <c r="O73" s="58" t="s">
        <v>286</v>
      </c>
      <c r="P73" s="61" t="s">
        <v>593</v>
      </c>
      <c r="Q73" s="61" t="s">
        <v>593</v>
      </c>
      <c r="R73" s="61" t="s">
        <v>595</v>
      </c>
    </row>
    <row r="74" spans="1:18" x14ac:dyDescent="0.3">
      <c r="A74">
        <f t="shared" si="2"/>
        <v>55</v>
      </c>
      <c r="B74" t="str">
        <f t="shared" si="3"/>
        <v>兄弟邱志恆</v>
      </c>
      <c r="D74" s="58">
        <v>55</v>
      </c>
      <c r="E74" s="58" t="s">
        <v>269</v>
      </c>
      <c r="F74" s="58" t="s">
        <v>286</v>
      </c>
      <c r="G74" s="58">
        <v>59</v>
      </c>
      <c r="H74" s="58" t="s">
        <v>584</v>
      </c>
      <c r="I74" s="58" t="s">
        <v>286</v>
      </c>
      <c r="J74" s="58">
        <v>73</v>
      </c>
      <c r="K74" s="58" t="s">
        <v>585</v>
      </c>
      <c r="L74" s="58" t="s">
        <v>286</v>
      </c>
      <c r="M74" s="58">
        <v>50</v>
      </c>
      <c r="N74" s="58" t="s">
        <v>586</v>
      </c>
      <c r="O74" s="58" t="s">
        <v>300</v>
      </c>
      <c r="P74" s="61" t="s">
        <v>593</v>
      </c>
      <c r="Q74" s="61" t="s">
        <v>593</v>
      </c>
      <c r="R74" s="61" t="s">
        <v>595</v>
      </c>
    </row>
    <row r="75" spans="1:18" x14ac:dyDescent="0.3">
      <c r="A75">
        <f t="shared" si="2"/>
        <v>58</v>
      </c>
      <c r="B75" t="str">
        <f t="shared" si="3"/>
        <v>兄弟劉貴元</v>
      </c>
      <c r="D75" s="58">
        <v>58</v>
      </c>
      <c r="E75" s="58" t="s">
        <v>587</v>
      </c>
      <c r="F75" s="58" t="s">
        <v>300</v>
      </c>
      <c r="G75" s="61" t="s">
        <v>597</v>
      </c>
      <c r="H75" s="61" t="s">
        <v>593</v>
      </c>
      <c r="I75" s="61" t="s">
        <v>594</v>
      </c>
      <c r="J75" s="58">
        <v>82</v>
      </c>
      <c r="K75" s="58" t="s">
        <v>588</v>
      </c>
      <c r="L75" s="58" t="s">
        <v>300</v>
      </c>
      <c r="M75" s="58">
        <v>65</v>
      </c>
      <c r="N75" s="58" t="s">
        <v>589</v>
      </c>
      <c r="O75" s="58" t="s">
        <v>286</v>
      </c>
      <c r="P75" s="61" t="s">
        <v>593</v>
      </c>
      <c r="Q75" s="61" t="s">
        <v>593</v>
      </c>
      <c r="R75" s="61" t="s">
        <v>595</v>
      </c>
    </row>
    <row r="76" spans="1:18" x14ac:dyDescent="0.3">
      <c r="A76">
        <f t="shared" si="2"/>
        <v>101</v>
      </c>
      <c r="B76" t="str">
        <f t="shared" si="3"/>
        <v>兄弟李聖裕</v>
      </c>
      <c r="D76" s="58">
        <v>101</v>
      </c>
      <c r="E76" s="58" t="s">
        <v>590</v>
      </c>
      <c r="F76" s="58" t="s">
        <v>300</v>
      </c>
      <c r="G76" s="61" t="s">
        <v>593</v>
      </c>
      <c r="H76" s="61" t="s">
        <v>593</v>
      </c>
      <c r="I76" s="61" t="s">
        <v>594</v>
      </c>
      <c r="J76" s="61" t="s">
        <v>595</v>
      </c>
      <c r="K76" s="61" t="s">
        <v>593</v>
      </c>
      <c r="L76" s="61" t="s">
        <v>596</v>
      </c>
      <c r="M76" s="58">
        <v>93</v>
      </c>
      <c r="N76" s="58" t="s">
        <v>591</v>
      </c>
      <c r="O76" s="58" t="s">
        <v>300</v>
      </c>
      <c r="P76" s="61" t="s">
        <v>593</v>
      </c>
      <c r="Q76" s="61" t="s">
        <v>593</v>
      </c>
      <c r="R76" s="61" t="s">
        <v>595</v>
      </c>
    </row>
    <row r="77" spans="1:18" x14ac:dyDescent="0.3">
      <c r="A77">
        <f>IF(D77&lt;&gt;"-",D77,"")</f>
        <v>1</v>
      </c>
      <c r="B77" t="str">
        <f t="shared" si="3"/>
        <v>兄弟陳子豪</v>
      </c>
      <c r="D77" s="58">
        <v>1</v>
      </c>
      <c r="E77" s="58" t="s">
        <v>266</v>
      </c>
      <c r="F77" s="58" t="s">
        <v>300</v>
      </c>
      <c r="G77" s="61" t="s">
        <v>597</v>
      </c>
      <c r="H77" s="61" t="s">
        <v>593</v>
      </c>
      <c r="I77" s="61" t="s">
        <v>594</v>
      </c>
      <c r="J77" s="61" t="s">
        <v>593</v>
      </c>
      <c r="K77" s="61" t="s">
        <v>593</v>
      </c>
      <c r="L77" s="61" t="s">
        <v>596</v>
      </c>
      <c r="M77" s="61" t="s">
        <v>593</v>
      </c>
      <c r="N77" s="61" t="s">
        <v>595</v>
      </c>
      <c r="O77" s="61" t="s">
        <v>594</v>
      </c>
      <c r="P77" s="61" t="s">
        <v>593</v>
      </c>
      <c r="Q77" s="61" t="s">
        <v>593</v>
      </c>
      <c r="R77" s="61" t="s">
        <v>595</v>
      </c>
    </row>
    <row r="78" spans="1:18" x14ac:dyDescent="0.3">
      <c r="A78" t="str">
        <f t="shared" si="2"/>
        <v/>
      </c>
      <c r="B78" t="str">
        <f t="shared" si="3"/>
        <v/>
      </c>
      <c r="D78" s="61" t="s">
        <v>593</v>
      </c>
      <c r="E78" s="61" t="s">
        <v>594</v>
      </c>
      <c r="F78" s="61" t="s">
        <v>593</v>
      </c>
      <c r="G78" s="61" t="s">
        <v>597</v>
      </c>
      <c r="H78" s="61" t="s">
        <v>593</v>
      </c>
      <c r="I78" s="61" t="s">
        <v>594</v>
      </c>
      <c r="J78" s="61" t="s">
        <v>593</v>
      </c>
      <c r="K78" s="61" t="s">
        <v>593</v>
      </c>
      <c r="L78" s="61" t="s">
        <v>596</v>
      </c>
      <c r="M78" s="61" t="s">
        <v>593</v>
      </c>
      <c r="N78" s="61" t="s">
        <v>595</v>
      </c>
      <c r="O78" s="61" t="s">
        <v>594</v>
      </c>
      <c r="P78" s="61" t="s">
        <v>593</v>
      </c>
      <c r="Q78" s="61" t="s">
        <v>593</v>
      </c>
      <c r="R78" s="61" t="s">
        <v>595</v>
      </c>
    </row>
    <row r="79" spans="1:18" x14ac:dyDescent="0.3">
      <c r="A79" t="str">
        <f t="shared" si="2"/>
        <v/>
      </c>
      <c r="B79" t="str">
        <f t="shared" si="3"/>
        <v/>
      </c>
      <c r="D79" s="61" t="s">
        <v>593</v>
      </c>
      <c r="E79" s="61" t="s">
        <v>593</v>
      </c>
      <c r="F79" s="61" t="s">
        <v>593</v>
      </c>
      <c r="G79" s="61" t="s">
        <v>598</v>
      </c>
      <c r="H79" s="61" t="s">
        <v>593</v>
      </c>
      <c r="I79" s="61" t="s">
        <v>594</v>
      </c>
      <c r="J79" s="61" t="s">
        <v>593</v>
      </c>
      <c r="K79" s="61" t="s">
        <v>593</v>
      </c>
      <c r="L79" s="61" t="s">
        <v>596</v>
      </c>
      <c r="M79" s="61" t="s">
        <v>593</v>
      </c>
      <c r="N79" s="61" t="s">
        <v>595</v>
      </c>
      <c r="O79" s="61" t="s">
        <v>594</v>
      </c>
      <c r="P79" s="61" t="s">
        <v>593</v>
      </c>
      <c r="Q79" s="61" t="s">
        <v>593</v>
      </c>
      <c r="R79" s="61" t="s">
        <v>595</v>
      </c>
    </row>
    <row r="80" spans="1:18" x14ac:dyDescent="0.3">
      <c r="A80" t="str">
        <f t="shared" si="2"/>
        <v/>
      </c>
      <c r="B80" t="str">
        <f t="shared" si="3"/>
        <v/>
      </c>
      <c r="D80" s="61" t="s">
        <v>593</v>
      </c>
      <c r="E80" s="61" t="s">
        <v>593</v>
      </c>
      <c r="F80" s="61" t="s">
        <v>594</v>
      </c>
      <c r="G80" s="61" t="s">
        <v>598</v>
      </c>
      <c r="H80" s="61" t="s">
        <v>593</v>
      </c>
      <c r="I80" s="61" t="s">
        <v>594</v>
      </c>
      <c r="J80" s="61" t="s">
        <v>593</v>
      </c>
      <c r="K80" s="61" t="s">
        <v>593</v>
      </c>
      <c r="L80" s="61" t="s">
        <v>596</v>
      </c>
      <c r="M80" s="61" t="s">
        <v>593</v>
      </c>
      <c r="N80" s="61" t="s">
        <v>595</v>
      </c>
      <c r="O80" s="61" t="s">
        <v>594</v>
      </c>
      <c r="P80" s="61" t="s">
        <v>593</v>
      </c>
      <c r="Q80" s="61" t="s">
        <v>593</v>
      </c>
      <c r="R80" s="61" t="s">
        <v>595</v>
      </c>
    </row>
    <row r="81" spans="1:7" x14ac:dyDescent="0.3">
      <c r="A81">
        <f>IF(G2&lt;&gt;"-",G2,"")</f>
        <v>12</v>
      </c>
      <c r="B81" t="str">
        <f>IF(H2&lt;&gt;"-",H2,"")</f>
        <v>統一陳韻文</v>
      </c>
      <c r="G81" s="61"/>
    </row>
    <row r="82" spans="1:7" x14ac:dyDescent="0.3">
      <c r="A82">
        <f t="shared" ref="A82:B82" si="4">IF(G3&lt;&gt;"-",G3,"")</f>
        <v>18</v>
      </c>
      <c r="B82" t="str">
        <f t="shared" si="4"/>
        <v>統一潘威倫</v>
      </c>
    </row>
    <row r="83" spans="1:7" x14ac:dyDescent="0.3">
      <c r="A83">
        <f t="shared" ref="A83:B83" si="5">IF(G4&lt;&gt;"-",G4,"")</f>
        <v>23</v>
      </c>
      <c r="B83" t="str">
        <f t="shared" si="5"/>
        <v>統一劉軒荅</v>
      </c>
    </row>
    <row r="84" spans="1:7" x14ac:dyDescent="0.3">
      <c r="A84">
        <f t="shared" ref="A84:B84" si="6">IF(G5&lt;&gt;"-",G5,"")</f>
        <v>26</v>
      </c>
      <c r="B84" t="str">
        <f t="shared" si="6"/>
        <v>統一泰迪</v>
      </c>
    </row>
    <row r="85" spans="1:7" x14ac:dyDescent="0.3">
      <c r="A85">
        <f t="shared" ref="A85:B85" si="7">IF(G6&lt;&gt;"-",G6,"")</f>
        <v>40</v>
      </c>
      <c r="B85" t="str">
        <f t="shared" si="7"/>
        <v>統一黃竣彥</v>
      </c>
    </row>
    <row r="86" spans="1:7" x14ac:dyDescent="0.3">
      <c r="A86">
        <f t="shared" ref="A86:B86" si="8">IF(G7&lt;&gt;"-",G7,"")</f>
        <v>41</v>
      </c>
      <c r="B86" t="str">
        <f t="shared" si="8"/>
        <v>統一王鏡銘</v>
      </c>
    </row>
    <row r="87" spans="1:7" x14ac:dyDescent="0.3">
      <c r="A87">
        <f t="shared" ref="A87:B87" si="9">IF(G8&lt;&gt;"-",G8,"")</f>
        <v>45</v>
      </c>
      <c r="B87" t="str">
        <f t="shared" si="9"/>
        <v>統一施子謙</v>
      </c>
    </row>
    <row r="88" spans="1:7" x14ac:dyDescent="0.3">
      <c r="A88">
        <f t="shared" ref="A88:B88" si="10">IF(G9&lt;&gt;"-",G9,"")</f>
        <v>50</v>
      </c>
      <c r="B88" t="str">
        <f t="shared" si="10"/>
        <v>統一布雷克</v>
      </c>
    </row>
    <row r="89" spans="1:7" x14ac:dyDescent="0.3">
      <c r="A89">
        <f t="shared" ref="A89:B89" si="11">IF(G10&lt;&gt;"-",G10,"")</f>
        <v>54</v>
      </c>
      <c r="B89" t="str">
        <f t="shared" si="11"/>
        <v>統一猛威爾</v>
      </c>
    </row>
    <row r="90" spans="1:7" x14ac:dyDescent="0.3">
      <c r="A90">
        <f t="shared" ref="A90:B90" si="12">IF(G11&lt;&gt;"-",G11,"")</f>
        <v>60</v>
      </c>
      <c r="B90" t="str">
        <f t="shared" si="12"/>
        <v>統一鄭鈞仁</v>
      </c>
    </row>
    <row r="91" spans="1:7" x14ac:dyDescent="0.3">
      <c r="A91">
        <f t="shared" ref="A91:B91" si="13">IF(G12&lt;&gt;"-",G12,"")</f>
        <v>95</v>
      </c>
      <c r="B91" t="str">
        <f t="shared" si="13"/>
        <v>統一江承峰</v>
      </c>
    </row>
    <row r="92" spans="1:7" x14ac:dyDescent="0.3">
      <c r="A92">
        <f t="shared" ref="A92:B92" si="14">IF(G13&lt;&gt;"-",G13,"")</f>
        <v>31</v>
      </c>
      <c r="B92" t="str">
        <f t="shared" si="14"/>
        <v>統一林祐樂</v>
      </c>
    </row>
    <row r="93" spans="1:7" x14ac:dyDescent="0.3">
      <c r="A93">
        <f t="shared" ref="A93:B93" si="15">IF(G14&lt;&gt;"-",G14,"")</f>
        <v>46</v>
      </c>
      <c r="B93" t="str">
        <f t="shared" si="15"/>
        <v>統一羅暐捷</v>
      </c>
    </row>
    <row r="94" spans="1:7" x14ac:dyDescent="0.3">
      <c r="A94">
        <f t="shared" ref="A94:B94" si="16">IF(G15&lt;&gt;"-",G15,"")</f>
        <v>65</v>
      </c>
      <c r="B94" t="str">
        <f t="shared" si="16"/>
        <v>統一陳重羽</v>
      </c>
    </row>
    <row r="95" spans="1:7" x14ac:dyDescent="0.3">
      <c r="A95">
        <f t="shared" ref="A95:B95" si="17">IF(G16&lt;&gt;"-",G16,"")</f>
        <v>68</v>
      </c>
      <c r="B95" t="str">
        <f t="shared" si="17"/>
        <v>統一高國慶</v>
      </c>
    </row>
    <row r="96" spans="1:7" x14ac:dyDescent="0.3">
      <c r="A96">
        <f t="shared" ref="A96:B96" si="18">IF(G17&lt;&gt;"-",G17,"")</f>
        <v>35</v>
      </c>
      <c r="B96" t="str">
        <f t="shared" si="18"/>
        <v>統一潘傑楷</v>
      </c>
    </row>
    <row r="97" spans="1:2" x14ac:dyDescent="0.3">
      <c r="A97">
        <f t="shared" ref="A97:B97" si="19">IF(G18&lt;&gt;"-",G18,"")</f>
        <v>64</v>
      </c>
      <c r="B97" t="str">
        <f t="shared" si="19"/>
        <v>統一林靖凱</v>
      </c>
    </row>
    <row r="98" spans="1:2" x14ac:dyDescent="0.3">
      <c r="A98">
        <f t="shared" ref="A98:B98" si="20">IF(G19&lt;&gt;"-",G19,"")</f>
        <v>5</v>
      </c>
      <c r="B98" t="str">
        <f t="shared" si="20"/>
        <v>統一郭阜林</v>
      </c>
    </row>
    <row r="99" spans="1:2" x14ac:dyDescent="0.3">
      <c r="A99">
        <f t="shared" ref="A99:B99" si="21">IF(G20&lt;&gt;"-",G20,"")</f>
        <v>13</v>
      </c>
      <c r="B99" t="str">
        <f t="shared" si="21"/>
        <v>統一陳鏞基</v>
      </c>
    </row>
    <row r="100" spans="1:2" x14ac:dyDescent="0.3">
      <c r="A100">
        <f t="shared" ref="A100:B100" si="22">IF(G21&lt;&gt;"-",G21,"")</f>
        <v>39</v>
      </c>
      <c r="B100" t="str">
        <f t="shared" si="22"/>
        <v>統一林祖傑</v>
      </c>
    </row>
    <row r="101" spans="1:2" x14ac:dyDescent="0.3">
      <c r="A101">
        <f t="shared" ref="A101:B101" si="23">IF(G22&lt;&gt;"-",G22,"")</f>
        <v>66</v>
      </c>
      <c r="B101" t="str">
        <f t="shared" si="23"/>
        <v>統一陳重廷</v>
      </c>
    </row>
    <row r="102" spans="1:2" x14ac:dyDescent="0.3">
      <c r="A102">
        <f t="shared" ref="A102:B102" si="24">IF(G23&lt;&gt;"-",G23,"")</f>
        <v>24</v>
      </c>
      <c r="B102" t="str">
        <f t="shared" si="24"/>
        <v>統一陳傑憲</v>
      </c>
    </row>
    <row r="103" spans="1:2" x14ac:dyDescent="0.3">
      <c r="A103">
        <f t="shared" ref="A103:B103" si="25">IF(G24&lt;&gt;"-",G24,"")</f>
        <v>32</v>
      </c>
      <c r="B103" t="str">
        <f t="shared" si="25"/>
        <v>統一蘇智傑</v>
      </c>
    </row>
    <row r="104" spans="1:2" x14ac:dyDescent="0.3">
      <c r="A104">
        <f t="shared" ref="A104:B104" si="26">IF(G25&lt;&gt;"-",G25,"")</f>
        <v>6</v>
      </c>
      <c r="B104" t="str">
        <f t="shared" si="26"/>
        <v>統一唐肇廷</v>
      </c>
    </row>
    <row r="105" spans="1:2" x14ac:dyDescent="0.3">
      <c r="A105">
        <f t="shared" ref="A105:B105" si="27">IF(G26&lt;&gt;"-",G26,"")</f>
        <v>8</v>
      </c>
      <c r="B105" t="str">
        <f t="shared" si="27"/>
        <v>統一羅國龍</v>
      </c>
    </row>
    <row r="106" spans="1:2" x14ac:dyDescent="0.3">
      <c r="A106">
        <f t="shared" ref="A106:B106" si="28">IF(G27&lt;&gt;"-",G27,"")</f>
        <v>77</v>
      </c>
      <c r="B106" t="str">
        <f t="shared" si="28"/>
        <v>統一林安可</v>
      </c>
    </row>
    <row r="107" spans="1:2" x14ac:dyDescent="0.3">
      <c r="A107">
        <f t="shared" ref="A107:B107" si="29">IF(G28&lt;&gt;"-",G28,"")</f>
        <v>4</v>
      </c>
      <c r="B107" t="str">
        <f t="shared" si="29"/>
        <v>統一劉予承</v>
      </c>
    </row>
    <row r="108" spans="1:2" x14ac:dyDescent="0.3">
      <c r="A108">
        <f t="shared" ref="A108:B108" si="30">IF(G29&lt;&gt;"-",G29,"")</f>
        <v>10</v>
      </c>
      <c r="B108" t="str">
        <f t="shared" si="30"/>
        <v>統一林煜清</v>
      </c>
    </row>
    <row r="109" spans="1:2" x14ac:dyDescent="0.3">
      <c r="A109">
        <f t="shared" ref="A109:B109" si="31">IF(G30&lt;&gt;"-",G30,"")</f>
        <v>16</v>
      </c>
      <c r="B109" t="str">
        <f t="shared" si="31"/>
        <v>統一江辰晏</v>
      </c>
    </row>
    <row r="110" spans="1:2" x14ac:dyDescent="0.3">
      <c r="A110">
        <f t="shared" ref="A110:B110" si="32">IF(G31&lt;&gt;"-",G31,"")</f>
        <v>17</v>
      </c>
      <c r="B110" t="str">
        <f t="shared" si="32"/>
        <v>統一林子崴</v>
      </c>
    </row>
    <row r="111" spans="1:2" x14ac:dyDescent="0.3">
      <c r="A111">
        <f t="shared" ref="A111:B111" si="33">IF(G32&lt;&gt;"-",G32,"")</f>
        <v>19</v>
      </c>
      <c r="B111" t="str">
        <f t="shared" si="33"/>
        <v>統一古林睿煬</v>
      </c>
    </row>
    <row r="112" spans="1:2" x14ac:dyDescent="0.3">
      <c r="A112">
        <f t="shared" ref="A112:B112" si="34">IF(G33&lt;&gt;"-",G33,"")</f>
        <v>20</v>
      </c>
      <c r="B112" t="str">
        <f t="shared" si="34"/>
        <v>統一陳育軒</v>
      </c>
    </row>
    <row r="113" spans="1:2" x14ac:dyDescent="0.3">
      <c r="A113">
        <f t="shared" ref="A113:B113" si="35">IF(G34&lt;&gt;"-",G34,"")</f>
        <v>21</v>
      </c>
      <c r="B113" t="str">
        <f t="shared" si="35"/>
        <v>統一郭恆孝</v>
      </c>
    </row>
    <row r="114" spans="1:2" x14ac:dyDescent="0.3">
      <c r="A114">
        <f t="shared" ref="A114:B114" si="36">IF(G35&lt;&gt;"-",G35,"")</f>
        <v>29</v>
      </c>
      <c r="B114" t="str">
        <f t="shared" si="36"/>
        <v>統一王玉譜</v>
      </c>
    </row>
    <row r="115" spans="1:2" x14ac:dyDescent="0.3">
      <c r="A115">
        <f t="shared" ref="A115:B115" si="37">IF(G36&lt;&gt;"-",G36,"")</f>
        <v>30</v>
      </c>
      <c r="B115" t="str">
        <f t="shared" si="37"/>
        <v>統一李其峰</v>
      </c>
    </row>
    <row r="116" spans="1:2" x14ac:dyDescent="0.3">
      <c r="A116">
        <f t="shared" ref="A116:B116" si="38">IF(G37&lt;&gt;"-",G37,"")</f>
        <v>37</v>
      </c>
      <c r="B116" t="str">
        <f t="shared" si="38"/>
        <v>統一邱浩鈞</v>
      </c>
    </row>
    <row r="117" spans="1:2" x14ac:dyDescent="0.3">
      <c r="A117">
        <f t="shared" ref="A117:B117" si="39">IF(G38&lt;&gt;"-",G38,"")</f>
        <v>42</v>
      </c>
      <c r="B117" t="str">
        <f t="shared" si="39"/>
        <v>統一傅于剛</v>
      </c>
    </row>
    <row r="118" spans="1:2" x14ac:dyDescent="0.3">
      <c r="A118">
        <f t="shared" ref="A118:B118" si="40">IF(G39&lt;&gt;"-",G39,"")</f>
        <v>43</v>
      </c>
      <c r="B118" t="str">
        <f t="shared" si="40"/>
        <v>統一林威志</v>
      </c>
    </row>
    <row r="119" spans="1:2" x14ac:dyDescent="0.3">
      <c r="A119">
        <f t="shared" ref="A119:B119" si="41">IF(G40&lt;&gt;"-",G40,"")</f>
        <v>47</v>
      </c>
      <c r="B119" t="str">
        <f t="shared" si="41"/>
        <v>統一賴泊凱</v>
      </c>
    </row>
    <row r="120" spans="1:2" x14ac:dyDescent="0.3">
      <c r="A120">
        <f t="shared" ref="A120:B120" si="42">IF(G41&lt;&gt;"-",G41,"")</f>
        <v>48</v>
      </c>
      <c r="B120" t="str">
        <f t="shared" si="42"/>
        <v>統一林航</v>
      </c>
    </row>
    <row r="121" spans="1:2" x14ac:dyDescent="0.3">
      <c r="A121">
        <f t="shared" ref="A121:B121" si="43">IF(G42&lt;&gt;"-",G42,"")</f>
        <v>51</v>
      </c>
      <c r="B121" t="str">
        <f t="shared" si="43"/>
        <v>統一林其緯</v>
      </c>
    </row>
    <row r="122" spans="1:2" x14ac:dyDescent="0.3">
      <c r="A122">
        <f t="shared" ref="A122:B122" si="44">IF(G43&lt;&gt;"-",G43,"")</f>
        <v>57</v>
      </c>
      <c r="B122" t="str">
        <f t="shared" si="44"/>
        <v>統一吳承諭</v>
      </c>
    </row>
    <row r="123" spans="1:2" x14ac:dyDescent="0.3">
      <c r="A123">
        <f t="shared" ref="A123:B123" si="45">IF(G44&lt;&gt;"-",G44,"")</f>
        <v>63</v>
      </c>
      <c r="B123" t="str">
        <f t="shared" si="45"/>
        <v>統一洪心騏</v>
      </c>
    </row>
    <row r="124" spans="1:2" x14ac:dyDescent="0.3">
      <c r="A124">
        <f t="shared" ref="A124:B124" si="46">IF(G45&lt;&gt;"-",G45,"")</f>
        <v>69</v>
      </c>
      <c r="B124" t="str">
        <f t="shared" si="46"/>
        <v>統一方建德</v>
      </c>
    </row>
    <row r="125" spans="1:2" x14ac:dyDescent="0.3">
      <c r="A125">
        <f t="shared" ref="A125:B125" si="47">IF(G46&lt;&gt;"-",G46,"")</f>
        <v>75</v>
      </c>
      <c r="B125" t="str">
        <f t="shared" si="47"/>
        <v>統一張竣凱</v>
      </c>
    </row>
    <row r="126" spans="1:2" x14ac:dyDescent="0.3">
      <c r="A126">
        <f t="shared" ref="A126:B126" si="48">IF(G47&lt;&gt;"-",G47,"")</f>
        <v>78</v>
      </c>
      <c r="B126" t="str">
        <f t="shared" si="48"/>
        <v>統一李慶隆</v>
      </c>
    </row>
    <row r="127" spans="1:2" x14ac:dyDescent="0.3">
      <c r="A127">
        <f t="shared" ref="A127:B127" si="49">IF(G48&lt;&gt;"-",G48,"")</f>
        <v>79</v>
      </c>
      <c r="B127" t="str">
        <f t="shared" si="49"/>
        <v>統一姚杰宏</v>
      </c>
    </row>
    <row r="128" spans="1:2" x14ac:dyDescent="0.3">
      <c r="A128">
        <f t="shared" ref="A128:B128" si="50">IF(G49&lt;&gt;"-",G49,"")</f>
        <v>104</v>
      </c>
      <c r="B128" t="str">
        <f t="shared" si="50"/>
        <v>統一林原裕</v>
      </c>
    </row>
    <row r="129" spans="1:2" x14ac:dyDescent="0.3">
      <c r="A129">
        <f t="shared" ref="A129:B129" si="51">IF(G50&lt;&gt;"-",G50,"")</f>
        <v>105</v>
      </c>
      <c r="B129" t="str">
        <f t="shared" si="51"/>
        <v>統一楊淳弼</v>
      </c>
    </row>
    <row r="130" spans="1:2" x14ac:dyDescent="0.3">
      <c r="A130">
        <f t="shared" ref="A130:B130" si="52">IF(G51&lt;&gt;"-",G51,"")</f>
        <v>15</v>
      </c>
      <c r="B130" t="str">
        <f t="shared" si="52"/>
        <v>統一郭峻偉</v>
      </c>
    </row>
    <row r="131" spans="1:2" x14ac:dyDescent="0.3">
      <c r="A131">
        <f t="shared" ref="A131:B131" si="53">IF(G52&lt;&gt;"-",G52,"")</f>
        <v>36</v>
      </c>
      <c r="B131" t="str">
        <f t="shared" si="53"/>
        <v>統一柯育民</v>
      </c>
    </row>
    <row r="132" spans="1:2" x14ac:dyDescent="0.3">
      <c r="A132">
        <f t="shared" ref="A132:B132" si="54">IF(G53&lt;&gt;"-",G53,"")</f>
        <v>74</v>
      </c>
      <c r="B132" t="str">
        <f t="shared" si="54"/>
        <v>統一張肇元</v>
      </c>
    </row>
    <row r="133" spans="1:2" x14ac:dyDescent="0.3">
      <c r="A133">
        <f t="shared" ref="A133:B133" si="55">IF(G54&lt;&gt;"-",G54,"")</f>
        <v>88</v>
      </c>
      <c r="B133" t="str">
        <f t="shared" si="55"/>
        <v>統一薛种帷</v>
      </c>
    </row>
    <row r="134" spans="1:2" x14ac:dyDescent="0.3">
      <c r="A134">
        <f t="shared" ref="A134:B134" si="56">IF(G55&lt;&gt;"-",G55,"")</f>
        <v>3</v>
      </c>
      <c r="B134" t="str">
        <f t="shared" si="56"/>
        <v>統一施冠宇</v>
      </c>
    </row>
    <row r="135" spans="1:2" x14ac:dyDescent="0.3">
      <c r="A135">
        <f t="shared" ref="A135:B135" si="57">IF(G56&lt;&gt;"-",G56,"")</f>
        <v>25</v>
      </c>
      <c r="B135" t="str">
        <f t="shared" si="57"/>
        <v>統一鄧志偉</v>
      </c>
    </row>
    <row r="136" spans="1:2" x14ac:dyDescent="0.3">
      <c r="A136">
        <f t="shared" ref="A136:B136" si="58">IF(G57&lt;&gt;"-",G57,"")</f>
        <v>53</v>
      </c>
      <c r="B136" t="str">
        <f t="shared" si="58"/>
        <v>統一何恆佑</v>
      </c>
    </row>
    <row r="137" spans="1:2" x14ac:dyDescent="0.3">
      <c r="A137">
        <f t="shared" ref="A137:B137" si="59">IF(G58&lt;&gt;"-",G58,"")</f>
        <v>67</v>
      </c>
      <c r="B137" t="str">
        <f t="shared" si="59"/>
        <v>統一姚雨翔</v>
      </c>
    </row>
    <row r="138" spans="1:2" x14ac:dyDescent="0.3">
      <c r="A138">
        <f t="shared" ref="A138:B138" si="60">IF(G59&lt;&gt;"-",G59,"")</f>
        <v>44</v>
      </c>
      <c r="B138" t="str">
        <f t="shared" si="60"/>
        <v>統一黃紹熙</v>
      </c>
    </row>
    <row r="139" spans="1:2" x14ac:dyDescent="0.3">
      <c r="A139">
        <f t="shared" ref="A139:B139" si="61">IF(G60&lt;&gt;"-",G60,"")</f>
        <v>62</v>
      </c>
      <c r="B139" t="str">
        <f t="shared" si="61"/>
        <v>統一吳桀睿</v>
      </c>
    </row>
    <row r="140" spans="1:2" x14ac:dyDescent="0.3">
      <c r="A140">
        <f t="shared" ref="A140:B140" si="62">IF(G61&lt;&gt;"-",G61,"")</f>
        <v>2</v>
      </c>
      <c r="B140" t="str">
        <f t="shared" si="62"/>
        <v>統一林子豪</v>
      </c>
    </row>
    <row r="141" spans="1:2" x14ac:dyDescent="0.3">
      <c r="A141">
        <f t="shared" ref="A141:B141" si="63">IF(G62&lt;&gt;"-",G62,"")</f>
        <v>22</v>
      </c>
      <c r="B141" t="str">
        <f t="shared" si="63"/>
        <v>統一楊家維</v>
      </c>
    </row>
    <row r="142" spans="1:2" x14ac:dyDescent="0.3">
      <c r="A142">
        <f t="shared" ref="A142:B142" si="64">IF(G63&lt;&gt;"-",G63,"")</f>
        <v>90</v>
      </c>
      <c r="B142" t="str">
        <f t="shared" si="64"/>
        <v>統一許哲晏</v>
      </c>
    </row>
    <row r="143" spans="1:2" x14ac:dyDescent="0.3">
      <c r="A143">
        <f t="shared" ref="A143:B143" si="65">IF(G64&lt;&gt;"-",G64,"")</f>
        <v>7</v>
      </c>
      <c r="B143" t="str">
        <f t="shared" si="65"/>
        <v>統一黃恩賜</v>
      </c>
    </row>
    <row r="144" spans="1:2" x14ac:dyDescent="0.3">
      <c r="A144">
        <f t="shared" ref="A144:B144" si="66">IF(G65&lt;&gt;"-",G65,"")</f>
        <v>38</v>
      </c>
      <c r="B144" t="str">
        <f t="shared" si="66"/>
        <v>統一蔡奕玄</v>
      </c>
    </row>
    <row r="145" spans="1:2" x14ac:dyDescent="0.3">
      <c r="A145">
        <f t="shared" ref="A145:B145" si="67">IF(G66&lt;&gt;"-",G66,"")</f>
        <v>28</v>
      </c>
      <c r="B145" t="str">
        <f t="shared" si="67"/>
        <v>統一鄭鎧文</v>
      </c>
    </row>
    <row r="146" spans="1:2" x14ac:dyDescent="0.3">
      <c r="A146">
        <f t="shared" ref="A146:B146" si="68">IF(G67&lt;&gt;"-",G67,"")</f>
        <v>33</v>
      </c>
      <c r="B146" t="str">
        <f t="shared" si="68"/>
        <v>統一林勝傑</v>
      </c>
    </row>
    <row r="147" spans="1:2" x14ac:dyDescent="0.3">
      <c r="A147">
        <f t="shared" ref="A147:B147" si="69">IF(G68&lt;&gt;"-",G68,"")</f>
        <v>52</v>
      </c>
      <c r="B147" t="str">
        <f t="shared" si="69"/>
        <v>統一張偉聖</v>
      </c>
    </row>
    <row r="148" spans="1:2" x14ac:dyDescent="0.3">
      <c r="A148">
        <f t="shared" ref="A148:B148" si="70">IF(G69&lt;&gt;"-",G69,"")</f>
        <v>55</v>
      </c>
      <c r="B148" t="str">
        <f t="shared" si="70"/>
        <v>統一潘武雄</v>
      </c>
    </row>
    <row r="149" spans="1:2" x14ac:dyDescent="0.3">
      <c r="A149">
        <f t="shared" ref="A149:B149" si="71">IF(G70&lt;&gt;"-",G70,"")</f>
        <v>27</v>
      </c>
      <c r="B149" t="str">
        <f t="shared" si="71"/>
        <v>統一江亮緯</v>
      </c>
    </row>
    <row r="150" spans="1:2" x14ac:dyDescent="0.3">
      <c r="A150">
        <f t="shared" ref="A150:B150" si="72">IF(G71&lt;&gt;"-",G71,"")</f>
        <v>9</v>
      </c>
      <c r="B150" t="str">
        <f t="shared" si="72"/>
        <v>統一李丞齡</v>
      </c>
    </row>
    <row r="151" spans="1:2" x14ac:dyDescent="0.3">
      <c r="A151">
        <f t="shared" ref="A151:B151" si="73">IF(G72&lt;&gt;"-",G72,"")</f>
        <v>14</v>
      </c>
      <c r="B151" t="str">
        <f t="shared" si="73"/>
        <v>統一邱智呈</v>
      </c>
    </row>
    <row r="152" spans="1:2" x14ac:dyDescent="0.3">
      <c r="A152">
        <f t="shared" ref="A152:B152" si="74">IF(G73&lt;&gt;"-",G73,"")</f>
        <v>49</v>
      </c>
      <c r="B152" t="str">
        <f t="shared" si="74"/>
        <v>統一吳國豪</v>
      </c>
    </row>
    <row r="153" spans="1:2" x14ac:dyDescent="0.3">
      <c r="A153">
        <f t="shared" ref="A153:B153" si="75">IF(G74&lt;&gt;"-",G74,"")</f>
        <v>59</v>
      </c>
      <c r="B153" t="str">
        <f t="shared" si="75"/>
        <v>統一莊駿凱</v>
      </c>
    </row>
    <row r="154" spans="1:2" x14ac:dyDescent="0.3">
      <c r="A154" t="str">
        <f t="shared" ref="A154:B154" si="76">IF(G75&lt;&gt;"-",G75,"")</f>
        <v/>
      </c>
      <c r="B154" t="str">
        <f t="shared" si="76"/>
        <v/>
      </c>
    </row>
    <row r="155" spans="1:2" x14ac:dyDescent="0.3">
      <c r="A155" t="str">
        <f t="shared" ref="A155:B155" si="77">IF(G76&lt;&gt;"-",G76,"")</f>
        <v/>
      </c>
      <c r="B155" t="str">
        <f t="shared" si="77"/>
        <v/>
      </c>
    </row>
    <row r="156" spans="1:2" x14ac:dyDescent="0.3">
      <c r="A156" t="str">
        <f t="shared" ref="A156:B156" si="78">IF(G77&lt;&gt;"-",G77,"")</f>
        <v/>
      </c>
      <c r="B156" t="str">
        <f t="shared" si="78"/>
        <v/>
      </c>
    </row>
    <row r="157" spans="1:2" x14ac:dyDescent="0.3">
      <c r="A157" t="str">
        <f t="shared" ref="A157:B157" si="79">IF(G78&lt;&gt;"-",G78,"")</f>
        <v/>
      </c>
      <c r="B157" t="str">
        <f t="shared" si="79"/>
        <v/>
      </c>
    </row>
    <row r="158" spans="1:2" x14ac:dyDescent="0.3">
      <c r="A158" t="str">
        <f t="shared" ref="A158:B158" si="80">IF(G79&lt;&gt;"-",G79,"")</f>
        <v/>
      </c>
      <c r="B158" t="str">
        <f t="shared" si="80"/>
        <v/>
      </c>
    </row>
    <row r="159" spans="1:2" x14ac:dyDescent="0.3">
      <c r="A159" t="str">
        <f t="shared" ref="A159:B159" si="81">IF(G80&lt;&gt;"-",G80,"")</f>
        <v/>
      </c>
      <c r="B159" t="str">
        <f t="shared" si="81"/>
        <v/>
      </c>
    </row>
    <row r="160" spans="1:2" x14ac:dyDescent="0.3">
      <c r="A160">
        <f>IF(J2&lt;&gt;"-",J2,"")</f>
        <v>100</v>
      </c>
      <c r="B160" t="str">
        <f>IF(K2&lt;&gt;"-",K2,"")</f>
        <v>樂天蘇俊璋</v>
      </c>
    </row>
    <row r="161" spans="1:2" x14ac:dyDescent="0.3">
      <c r="A161">
        <f t="shared" ref="A161:B161" si="82">IF(J3&lt;&gt;"-",J3,"")</f>
        <v>0</v>
      </c>
      <c r="B161" t="str">
        <f t="shared" si="82"/>
        <v>樂天陳禹勳</v>
      </c>
    </row>
    <row r="162" spans="1:2" x14ac:dyDescent="0.3">
      <c r="A162">
        <f t="shared" ref="A162:B162" si="83">IF(J4&lt;&gt;"-",J4,"")</f>
        <v>16</v>
      </c>
      <c r="B162" t="str">
        <f t="shared" si="83"/>
        <v>樂天朱俊祥</v>
      </c>
    </row>
    <row r="163" spans="1:2" x14ac:dyDescent="0.3">
      <c r="A163">
        <f t="shared" ref="A163:B163" si="84">IF(J5&lt;&gt;"-",J5,"")</f>
        <v>20</v>
      </c>
      <c r="B163" t="str">
        <f t="shared" si="84"/>
        <v>樂天翁瑋均</v>
      </c>
    </row>
    <row r="164" spans="1:2" x14ac:dyDescent="0.3">
      <c r="A164">
        <f t="shared" ref="A164:B164" si="85">IF(J6&lt;&gt;"-",J6,"")</f>
        <v>22</v>
      </c>
      <c r="B164" t="str">
        <f t="shared" si="85"/>
        <v>樂天卡本特</v>
      </c>
    </row>
    <row r="165" spans="1:2" x14ac:dyDescent="0.3">
      <c r="A165">
        <f t="shared" ref="A165:B165" si="86">IF(J7&lt;&gt;"-",J7,"")</f>
        <v>24</v>
      </c>
      <c r="B165" t="str">
        <f t="shared" si="86"/>
        <v>樂天霸能</v>
      </c>
    </row>
    <row r="166" spans="1:2" x14ac:dyDescent="0.3">
      <c r="A166">
        <f t="shared" ref="A166:B166" si="87">IF(J8&lt;&gt;"-",J8,"")</f>
        <v>32</v>
      </c>
      <c r="B166" t="str">
        <f t="shared" si="87"/>
        <v>樂天王溢正</v>
      </c>
    </row>
    <row r="167" spans="1:2" x14ac:dyDescent="0.3">
      <c r="A167">
        <f t="shared" ref="A167:B167" si="88">IF(J9&lt;&gt;"-",J9,"")</f>
        <v>68</v>
      </c>
      <c r="B167" t="str">
        <f t="shared" si="88"/>
        <v>樂天萬昭清</v>
      </c>
    </row>
    <row r="168" spans="1:2" x14ac:dyDescent="0.3">
      <c r="A168">
        <f t="shared" ref="A168:B168" si="89">IF(J10&lt;&gt;"-",J10,"")</f>
        <v>69</v>
      </c>
      <c r="B168" t="str">
        <f t="shared" si="89"/>
        <v>樂天黃子鵬</v>
      </c>
    </row>
    <row r="169" spans="1:2" x14ac:dyDescent="0.3">
      <c r="A169">
        <f t="shared" ref="A169:B169" si="90">IF(J11&lt;&gt;"-",J11,"")</f>
        <v>70</v>
      </c>
      <c r="B169" t="str">
        <f t="shared" si="90"/>
        <v>樂天曼恩</v>
      </c>
    </row>
    <row r="170" spans="1:2" x14ac:dyDescent="0.3">
      <c r="A170">
        <f t="shared" ref="A170:B170" si="91">IF(J12&lt;&gt;"-",J12,"")</f>
        <v>81</v>
      </c>
      <c r="B170" t="str">
        <f t="shared" si="91"/>
        <v>樂天林柏佑</v>
      </c>
    </row>
    <row r="171" spans="1:2" x14ac:dyDescent="0.3">
      <c r="A171">
        <f t="shared" ref="A171:B171" si="92">IF(J13&lt;&gt;"-",J13,"")</f>
        <v>11</v>
      </c>
      <c r="B171" t="str">
        <f t="shared" si="92"/>
        <v>樂天林泓育</v>
      </c>
    </row>
    <row r="172" spans="1:2" x14ac:dyDescent="0.3">
      <c r="A172">
        <f t="shared" ref="A172:B172" si="93">IF(J14&lt;&gt;"-",J14,"")</f>
        <v>58</v>
      </c>
      <c r="B172" t="str">
        <f t="shared" si="93"/>
        <v>樂天廖健富</v>
      </c>
    </row>
    <row r="173" spans="1:2" x14ac:dyDescent="0.3">
      <c r="A173">
        <f t="shared" ref="A173:B173" si="94">IF(J15&lt;&gt;"-",J15,"")</f>
        <v>60</v>
      </c>
      <c r="B173" t="str">
        <f t="shared" si="94"/>
        <v>樂天劉時豪</v>
      </c>
    </row>
    <row r="174" spans="1:2" x14ac:dyDescent="0.3">
      <c r="A174">
        <f t="shared" ref="A174:B174" si="95">IF(J16&lt;&gt;"-",J16,"")</f>
        <v>29</v>
      </c>
      <c r="B174" t="str">
        <f t="shared" si="95"/>
        <v>樂天陳俊秀</v>
      </c>
    </row>
    <row r="175" spans="1:2" x14ac:dyDescent="0.3">
      <c r="A175">
        <f t="shared" ref="A175:B175" si="96">IF(J17&lt;&gt;"-",J17,"")</f>
        <v>85</v>
      </c>
      <c r="B175" t="str">
        <f t="shared" si="96"/>
        <v>樂天朱育賢</v>
      </c>
    </row>
    <row r="176" spans="1:2" x14ac:dyDescent="0.3">
      <c r="A176">
        <f t="shared" ref="A176:B176" si="97">IF(J18&lt;&gt;"-",J18,"")</f>
        <v>21</v>
      </c>
      <c r="B176" t="str">
        <f t="shared" si="97"/>
        <v>樂天郭嚴文</v>
      </c>
    </row>
    <row r="177" spans="1:2" x14ac:dyDescent="0.3">
      <c r="A177">
        <f t="shared" ref="A177:B177" si="98">IF(J19&lt;&gt;"-",J19,"")</f>
        <v>46</v>
      </c>
      <c r="B177" t="str">
        <f t="shared" si="98"/>
        <v>樂天楊瑞承</v>
      </c>
    </row>
    <row r="178" spans="1:2" x14ac:dyDescent="0.3">
      <c r="A178">
        <f t="shared" ref="A178:B178" si="99">IF(J20&lt;&gt;"-",J20,"")</f>
        <v>98</v>
      </c>
      <c r="B178" t="str">
        <f t="shared" si="99"/>
        <v>樂天陳晨威</v>
      </c>
    </row>
    <row r="179" spans="1:2" x14ac:dyDescent="0.3">
      <c r="A179">
        <f t="shared" ref="A179:B179" si="100">IF(J21&lt;&gt;"-",J21,"")</f>
        <v>79</v>
      </c>
      <c r="B179" t="str">
        <f t="shared" si="100"/>
        <v>樂天林智平</v>
      </c>
    </row>
    <row r="180" spans="1:2" x14ac:dyDescent="0.3">
      <c r="A180">
        <f t="shared" ref="A180:B180" si="101">IF(J22&lt;&gt;"-",J22,"")</f>
        <v>6</v>
      </c>
      <c r="B180" t="str">
        <f t="shared" si="101"/>
        <v>樂天林承飛</v>
      </c>
    </row>
    <row r="181" spans="1:2" x14ac:dyDescent="0.3">
      <c r="A181">
        <f t="shared" ref="A181:B181" si="102">IF(J23&lt;&gt;"-",J23,"")</f>
        <v>39</v>
      </c>
      <c r="B181" t="str">
        <f t="shared" si="102"/>
        <v>樂天林立</v>
      </c>
    </row>
    <row r="182" spans="1:2" x14ac:dyDescent="0.3">
      <c r="A182">
        <f t="shared" ref="A182:B182" si="103">IF(J24&lt;&gt;"-",J24,"")</f>
        <v>36</v>
      </c>
      <c r="B182" t="str">
        <f t="shared" si="103"/>
        <v>樂天余德龍</v>
      </c>
    </row>
    <row r="183" spans="1:2" x14ac:dyDescent="0.3">
      <c r="A183">
        <f t="shared" ref="A183:B183" si="104">IF(J25&lt;&gt;"-",J25,"")</f>
        <v>8</v>
      </c>
      <c r="B183" t="str">
        <f t="shared" si="104"/>
        <v>樂天詹智堯</v>
      </c>
    </row>
    <row r="184" spans="1:2" x14ac:dyDescent="0.3">
      <c r="A184">
        <f t="shared" ref="A184:B184" si="105">IF(J26&lt;&gt;"-",J26,"")</f>
        <v>1</v>
      </c>
      <c r="B184" t="str">
        <f t="shared" si="105"/>
        <v>樂天陽耀勳</v>
      </c>
    </row>
    <row r="185" spans="1:2" x14ac:dyDescent="0.3">
      <c r="A185">
        <f t="shared" ref="A185:B185" si="106">IF(J27&lt;&gt;"-",J27,"")</f>
        <v>88</v>
      </c>
      <c r="B185" t="str">
        <f t="shared" si="106"/>
        <v>樂天藍寅倫</v>
      </c>
    </row>
    <row r="186" spans="1:2" x14ac:dyDescent="0.3">
      <c r="A186">
        <f t="shared" ref="A186:B186" si="107">IF(J28&lt;&gt;"-",J28,"")</f>
        <v>12</v>
      </c>
      <c r="B186" t="str">
        <f t="shared" si="107"/>
        <v>樂天洪聖欽</v>
      </c>
    </row>
    <row r="187" spans="1:2" x14ac:dyDescent="0.3">
      <c r="A187">
        <f t="shared" ref="A187:B187" si="108">IF(J29&lt;&gt;"-",J29,"")</f>
        <v>14</v>
      </c>
      <c r="B187" t="str">
        <f t="shared" si="108"/>
        <v>樂天蘇俊羽</v>
      </c>
    </row>
    <row r="188" spans="1:2" x14ac:dyDescent="0.3">
      <c r="A188">
        <f t="shared" ref="A188:B188" si="109">IF(J30&lt;&gt;"-",J30,"")</f>
        <v>15</v>
      </c>
      <c r="B188" t="str">
        <f t="shared" si="109"/>
        <v>樂天林樺慶</v>
      </c>
    </row>
    <row r="189" spans="1:2" x14ac:dyDescent="0.3">
      <c r="A189">
        <f t="shared" ref="A189:B189" si="110">IF(J31&lt;&gt;"-",J31,"")</f>
        <v>17</v>
      </c>
      <c r="B189" t="str">
        <f t="shared" si="110"/>
        <v>樂天游朝惟</v>
      </c>
    </row>
    <row r="190" spans="1:2" x14ac:dyDescent="0.3">
      <c r="A190">
        <f t="shared" ref="A190:B190" si="111">IF(J32&lt;&gt;"-",J32,"")</f>
        <v>18</v>
      </c>
      <c r="B190" t="str">
        <f t="shared" si="111"/>
        <v>樂天江國謙</v>
      </c>
    </row>
    <row r="191" spans="1:2" x14ac:dyDescent="0.3">
      <c r="A191">
        <f t="shared" ref="A191:B191" si="112">IF(J33&lt;&gt;"-",J33,"")</f>
        <v>19</v>
      </c>
      <c r="B191" t="str">
        <f t="shared" si="112"/>
        <v>樂天林逸翔</v>
      </c>
    </row>
    <row r="192" spans="1:2" x14ac:dyDescent="0.3">
      <c r="A192">
        <f t="shared" ref="A192:B192" si="113">IF(J34&lt;&gt;"-",J34,"")</f>
        <v>23</v>
      </c>
      <c r="B192" t="str">
        <f t="shared" si="113"/>
        <v>樂天曾琦</v>
      </c>
    </row>
    <row r="193" spans="1:2" x14ac:dyDescent="0.3">
      <c r="A193">
        <f t="shared" ref="A193:B193" si="114">IF(J35&lt;&gt;"-",J35,"")</f>
        <v>26</v>
      </c>
      <c r="B193" t="str">
        <f t="shared" si="114"/>
        <v>樂天葉家淇</v>
      </c>
    </row>
    <row r="194" spans="1:2" x14ac:dyDescent="0.3">
      <c r="A194">
        <f t="shared" ref="A194:B194" si="115">IF(J36&lt;&gt;"-",J36,"")</f>
        <v>31</v>
      </c>
      <c r="B194" t="str">
        <f t="shared" si="115"/>
        <v>樂天威拉諾</v>
      </c>
    </row>
    <row r="195" spans="1:2" x14ac:dyDescent="0.3">
      <c r="A195">
        <f t="shared" ref="A195:B195" si="116">IF(J37&lt;&gt;"-",J37,"")</f>
        <v>37</v>
      </c>
      <c r="B195" t="str">
        <f t="shared" si="116"/>
        <v>樂天劉昱言</v>
      </c>
    </row>
    <row r="196" spans="1:2" x14ac:dyDescent="0.3">
      <c r="A196">
        <f t="shared" ref="A196:B196" si="117">IF(J38&lt;&gt;"-",J38,"")</f>
        <v>40</v>
      </c>
      <c r="B196" t="str">
        <f t="shared" si="117"/>
        <v>樂天陳克羿</v>
      </c>
    </row>
    <row r="197" spans="1:2" x14ac:dyDescent="0.3">
      <c r="A197">
        <f t="shared" ref="A197:B197" si="118">IF(J39&lt;&gt;"-",J39,"")</f>
        <v>41</v>
      </c>
      <c r="B197" t="str">
        <f t="shared" si="118"/>
        <v>樂天王躍霖</v>
      </c>
    </row>
    <row r="198" spans="1:2" x14ac:dyDescent="0.3">
      <c r="A198">
        <f t="shared" ref="A198:B198" si="119">IF(J40&lt;&gt;"-",J40,"")</f>
        <v>44</v>
      </c>
      <c r="B198" t="str">
        <f t="shared" si="119"/>
        <v>樂天黃偉晟</v>
      </c>
    </row>
    <row r="199" spans="1:2" x14ac:dyDescent="0.3">
      <c r="A199">
        <f t="shared" ref="A199:B199" si="120">IF(J41&lt;&gt;"-",J41,"")</f>
        <v>49</v>
      </c>
      <c r="B199" t="str">
        <f t="shared" si="120"/>
        <v>樂天張明翔</v>
      </c>
    </row>
    <row r="200" spans="1:2" x14ac:dyDescent="0.3">
      <c r="A200">
        <f t="shared" ref="A200:B200" si="121">IF(J42&lt;&gt;"-",J42,"")</f>
        <v>54</v>
      </c>
      <c r="B200" t="str">
        <f t="shared" si="121"/>
        <v>樂天林子崴</v>
      </c>
    </row>
    <row r="201" spans="1:2" x14ac:dyDescent="0.3">
      <c r="A201">
        <f t="shared" ref="A201:B201" si="122">IF(J43&lt;&gt;"-",J43,"")</f>
        <v>55</v>
      </c>
      <c r="B201" t="str">
        <f t="shared" si="122"/>
        <v>樂天李承禎</v>
      </c>
    </row>
    <row r="202" spans="1:2" x14ac:dyDescent="0.3">
      <c r="A202">
        <f t="shared" ref="A202:B202" si="123">IF(J44&lt;&gt;"-",J44,"")</f>
        <v>61</v>
      </c>
      <c r="B202" t="str">
        <f t="shared" si="123"/>
        <v>樂天張喜凱</v>
      </c>
    </row>
    <row r="203" spans="1:2" x14ac:dyDescent="0.3">
      <c r="A203">
        <f t="shared" ref="A203:B203" si="124">IF(J45&lt;&gt;"-",J45,"")</f>
        <v>64</v>
      </c>
      <c r="B203" t="str">
        <f t="shared" si="124"/>
        <v>樂天王志煊</v>
      </c>
    </row>
    <row r="204" spans="1:2" x14ac:dyDescent="0.3">
      <c r="A204">
        <f t="shared" ref="A204:B204" si="125">IF(J46&lt;&gt;"-",J46,"")</f>
        <v>71</v>
      </c>
      <c r="B204" t="str">
        <f t="shared" si="125"/>
        <v>樂天林國裕</v>
      </c>
    </row>
    <row r="205" spans="1:2" x14ac:dyDescent="0.3">
      <c r="A205">
        <f t="shared" ref="A205:B205" si="126">IF(J47&lt;&gt;"-",J47,"")</f>
        <v>76</v>
      </c>
      <c r="B205" t="str">
        <f t="shared" si="126"/>
        <v>樂天吳丞哲</v>
      </c>
    </row>
    <row r="206" spans="1:2" x14ac:dyDescent="0.3">
      <c r="A206">
        <f t="shared" ref="A206:B206" si="127">IF(J48&lt;&gt;"-",J48,"")</f>
        <v>77</v>
      </c>
      <c r="B206" t="str">
        <f t="shared" si="127"/>
        <v>樂天莊昕諺</v>
      </c>
    </row>
    <row r="207" spans="1:2" x14ac:dyDescent="0.3">
      <c r="A207">
        <f t="shared" ref="A207:B207" si="128">IF(J49&lt;&gt;"-",J49,"")</f>
        <v>89</v>
      </c>
      <c r="B207" t="str">
        <f t="shared" si="128"/>
        <v>樂天賴智垣</v>
      </c>
    </row>
    <row r="208" spans="1:2" x14ac:dyDescent="0.3">
      <c r="A208">
        <f t="shared" ref="A208:B208" si="129">IF(J50&lt;&gt;"-",J50,"")</f>
        <v>92</v>
      </c>
      <c r="B208" t="str">
        <f t="shared" si="129"/>
        <v>樂天范柏絜</v>
      </c>
    </row>
    <row r="209" spans="1:2" x14ac:dyDescent="0.3">
      <c r="A209">
        <f t="shared" ref="A209:B209" si="130">IF(J51&lt;&gt;"-",J51,"")</f>
        <v>96</v>
      </c>
      <c r="B209" t="str">
        <f t="shared" si="130"/>
        <v>樂天何逸龍</v>
      </c>
    </row>
    <row r="210" spans="1:2" x14ac:dyDescent="0.3">
      <c r="A210">
        <f t="shared" ref="A210:B210" si="131">IF(J52&lt;&gt;"-",J52,"")</f>
        <v>97</v>
      </c>
      <c r="B210" t="str">
        <f t="shared" si="131"/>
        <v>樂天許峻暘</v>
      </c>
    </row>
    <row r="211" spans="1:2" x14ac:dyDescent="0.3">
      <c r="A211">
        <f t="shared" ref="A211:B211" si="132">IF(J53&lt;&gt;"-",J53,"")</f>
        <v>47</v>
      </c>
      <c r="B211" t="str">
        <f t="shared" si="132"/>
        <v>樂天許禹壕</v>
      </c>
    </row>
    <row r="212" spans="1:2" x14ac:dyDescent="0.3">
      <c r="A212">
        <f t="shared" ref="A212:B212" si="133">IF(J54&lt;&gt;"-",J54,"")</f>
        <v>62</v>
      </c>
      <c r="B212" t="str">
        <f t="shared" si="133"/>
        <v>樂天嚴宏鈞</v>
      </c>
    </row>
    <row r="213" spans="1:2" x14ac:dyDescent="0.3">
      <c r="A213">
        <f t="shared" ref="A213:B213" si="134">IF(J55&lt;&gt;"-",J55,"")</f>
        <v>74</v>
      </c>
      <c r="B213" t="str">
        <f t="shared" si="134"/>
        <v>樂天邱家慶</v>
      </c>
    </row>
    <row r="214" spans="1:2" x14ac:dyDescent="0.3">
      <c r="A214">
        <f t="shared" ref="A214:B214" si="135">IF(J56&lt;&gt;"-",J56,"")</f>
        <v>25</v>
      </c>
      <c r="B214" t="str">
        <f t="shared" si="135"/>
        <v>樂天楊岱均</v>
      </c>
    </row>
    <row r="215" spans="1:2" x14ac:dyDescent="0.3">
      <c r="A215">
        <f t="shared" ref="A215:B215" si="136">IF(J57&lt;&gt;"-",J57,"")</f>
        <v>33</v>
      </c>
      <c r="B215" t="str">
        <f t="shared" si="136"/>
        <v>樂天林大展</v>
      </c>
    </row>
    <row r="216" spans="1:2" x14ac:dyDescent="0.3">
      <c r="A216">
        <f t="shared" ref="A216:B216" si="137">IF(J58&lt;&gt;"-",J58,"")</f>
        <v>4</v>
      </c>
      <c r="B216" t="str">
        <f t="shared" si="137"/>
        <v>樂天葉竹軒</v>
      </c>
    </row>
    <row r="217" spans="1:2" x14ac:dyDescent="0.3">
      <c r="A217">
        <f t="shared" ref="A217:B217" si="138">IF(J59&lt;&gt;"-",J59,"")</f>
        <v>45</v>
      </c>
      <c r="B217" t="str">
        <f t="shared" si="138"/>
        <v>樂天馮健庭</v>
      </c>
    </row>
    <row r="218" spans="1:2" x14ac:dyDescent="0.3">
      <c r="A218">
        <f t="shared" ref="A218:B218" si="139">IF(J60&lt;&gt;"-",J60,"")</f>
        <v>5</v>
      </c>
      <c r="B218" t="str">
        <f t="shared" si="139"/>
        <v>樂天梁家榮</v>
      </c>
    </row>
    <row r="219" spans="1:2" x14ac:dyDescent="0.3">
      <c r="A219">
        <f t="shared" ref="A219:B219" si="140">IF(J61&lt;&gt;"-",J61,"")</f>
        <v>28</v>
      </c>
      <c r="B219" t="str">
        <f t="shared" si="140"/>
        <v>樂天董子浩</v>
      </c>
    </row>
    <row r="220" spans="1:2" x14ac:dyDescent="0.3">
      <c r="A220">
        <f t="shared" ref="A220:B220" si="141">IF(J62&lt;&gt;"-",J62,"")</f>
        <v>94</v>
      </c>
      <c r="B220" t="str">
        <f t="shared" si="141"/>
        <v>樂天馬傑森</v>
      </c>
    </row>
    <row r="221" spans="1:2" x14ac:dyDescent="0.3">
      <c r="A221">
        <f t="shared" ref="A221:B221" si="142">IF(J63&lt;&gt;"-",J63,"")</f>
        <v>7</v>
      </c>
      <c r="B221" t="str">
        <f t="shared" si="142"/>
        <v>樂天郭永維</v>
      </c>
    </row>
    <row r="222" spans="1:2" x14ac:dyDescent="0.3">
      <c r="A222">
        <f t="shared" ref="A222:B222" si="143">IF(J64&lt;&gt;"-",J64,"")</f>
        <v>27</v>
      </c>
      <c r="B222" t="str">
        <f t="shared" si="143"/>
        <v>樂天張煒謙</v>
      </c>
    </row>
    <row r="223" spans="1:2" x14ac:dyDescent="0.3">
      <c r="A223">
        <f t="shared" ref="A223:B223" si="144">IF(J65&lt;&gt;"-",J65,"")</f>
        <v>99</v>
      </c>
      <c r="B223" t="str">
        <f t="shared" si="144"/>
        <v>樂天林澤彬</v>
      </c>
    </row>
    <row r="224" spans="1:2" x14ac:dyDescent="0.3">
      <c r="A224">
        <f t="shared" ref="A224:B224" si="145">IF(J66&lt;&gt;"-",J66,"")</f>
        <v>102</v>
      </c>
      <c r="B224" t="str">
        <f t="shared" si="145"/>
        <v>樂天吳承運</v>
      </c>
    </row>
    <row r="225" spans="1:2" x14ac:dyDescent="0.3">
      <c r="A225">
        <f t="shared" ref="A225:B225" si="146">IF(J67&lt;&gt;"-",J67,"")</f>
        <v>13</v>
      </c>
      <c r="B225" t="str">
        <f t="shared" si="146"/>
        <v>樂天蔡鎮宇</v>
      </c>
    </row>
    <row r="226" spans="1:2" x14ac:dyDescent="0.3">
      <c r="A226">
        <f t="shared" ref="A226:B226" si="147">IF(J68&lt;&gt;"-",J68,"")</f>
        <v>30</v>
      </c>
      <c r="B226" t="str">
        <f t="shared" si="147"/>
        <v>樂天林知譽</v>
      </c>
    </row>
    <row r="227" spans="1:2" x14ac:dyDescent="0.3">
      <c r="A227">
        <f t="shared" ref="A227:B227" si="148">IF(J69&lt;&gt;"-",J69,"")</f>
        <v>93</v>
      </c>
      <c r="B227" t="str">
        <f t="shared" si="148"/>
        <v>樂天林楷錡</v>
      </c>
    </row>
    <row r="228" spans="1:2" x14ac:dyDescent="0.3">
      <c r="A228">
        <f t="shared" ref="A228:B228" si="149">IF(J70&lt;&gt;"-",J70,"")</f>
        <v>35</v>
      </c>
      <c r="B228" t="str">
        <f t="shared" si="149"/>
        <v>樂天成晉</v>
      </c>
    </row>
    <row r="229" spans="1:2" x14ac:dyDescent="0.3">
      <c r="A229">
        <f t="shared" ref="A229:B229" si="150">IF(J71&lt;&gt;"-",J71,"")</f>
        <v>48</v>
      </c>
      <c r="B229" t="str">
        <f t="shared" si="150"/>
        <v>樂天邱丹</v>
      </c>
    </row>
    <row r="230" spans="1:2" x14ac:dyDescent="0.3">
      <c r="A230">
        <f t="shared" ref="A230:B230" si="151">IF(J72&lt;&gt;"-",J72,"")</f>
        <v>51</v>
      </c>
      <c r="B230" t="str">
        <f t="shared" si="151"/>
        <v>樂天紀品宏</v>
      </c>
    </row>
    <row r="231" spans="1:2" x14ac:dyDescent="0.3">
      <c r="A231">
        <f t="shared" ref="A231:B231" si="152">IF(J73&lt;&gt;"-",J73,"")</f>
        <v>65</v>
      </c>
      <c r="B231" t="str">
        <f t="shared" si="152"/>
        <v>樂天林政華</v>
      </c>
    </row>
    <row r="232" spans="1:2" x14ac:dyDescent="0.3">
      <c r="A232">
        <f t="shared" ref="A232:B232" si="153">IF(J74&lt;&gt;"-",J74,"")</f>
        <v>73</v>
      </c>
      <c r="B232" t="str">
        <f t="shared" si="153"/>
        <v>樂天張閔勛</v>
      </c>
    </row>
    <row r="233" spans="1:2" x14ac:dyDescent="0.3">
      <c r="A233">
        <f t="shared" ref="A233:B233" si="154">IF(J75&lt;&gt;"-",J75,"")</f>
        <v>82</v>
      </c>
      <c r="B233" t="str">
        <f t="shared" si="154"/>
        <v>樂天黃敬瑋</v>
      </c>
    </row>
    <row r="234" spans="1:2" x14ac:dyDescent="0.3">
      <c r="A234" t="str">
        <f t="shared" ref="A234:B234" si="155">IF(J76&lt;&gt;"-",J76,"")</f>
        <v/>
      </c>
      <c r="B234" t="str">
        <f t="shared" si="155"/>
        <v/>
      </c>
    </row>
    <row r="235" spans="1:2" x14ac:dyDescent="0.3">
      <c r="A235" t="str">
        <f t="shared" ref="A235:B235" si="156">IF(J77&lt;&gt;"-",J77,"")</f>
        <v/>
      </c>
      <c r="B235" t="str">
        <f t="shared" si="156"/>
        <v/>
      </c>
    </row>
    <row r="236" spans="1:2" x14ac:dyDescent="0.3">
      <c r="A236" t="str">
        <f t="shared" ref="A236:B236" si="157">IF(J78&lt;&gt;"-",J78,"")</f>
        <v/>
      </c>
      <c r="B236" t="str">
        <f t="shared" si="157"/>
        <v/>
      </c>
    </row>
    <row r="237" spans="1:2" x14ac:dyDescent="0.3">
      <c r="A237" t="str">
        <f t="shared" ref="A237:B237" si="158">IF(J79&lt;&gt;"-",J79,"")</f>
        <v/>
      </c>
      <c r="B237" t="str">
        <f t="shared" si="158"/>
        <v/>
      </c>
    </row>
    <row r="238" spans="1:2" x14ac:dyDescent="0.3">
      <c r="A238" t="str">
        <f t="shared" ref="A238:B238" si="159">IF(J80&lt;&gt;"-",J80,"")</f>
        <v/>
      </c>
      <c r="B238" t="str">
        <f t="shared" si="159"/>
        <v/>
      </c>
    </row>
    <row r="239" spans="1:2" x14ac:dyDescent="0.3">
      <c r="A239">
        <f>IF(M2&lt;&gt;"-",M2,"")</f>
        <v>11</v>
      </c>
      <c r="B239" t="str">
        <f>IF(N2&lt;&gt;"-",N2,"")</f>
        <v>富邦林晨樺</v>
      </c>
    </row>
    <row r="240" spans="1:2" x14ac:dyDescent="0.3">
      <c r="A240">
        <f t="shared" ref="A240:B240" si="160">IF(M3&lt;&gt;"-",M3,"")</f>
        <v>12</v>
      </c>
      <c r="B240" t="str">
        <f t="shared" si="160"/>
        <v>富邦江國豪</v>
      </c>
    </row>
    <row r="241" spans="1:2" x14ac:dyDescent="0.3">
      <c r="A241">
        <f t="shared" ref="A241:B241" si="161">IF(M4&lt;&gt;"-",M4,"")</f>
        <v>13</v>
      </c>
      <c r="B241" t="str">
        <f t="shared" si="161"/>
        <v>富邦陳鴻文</v>
      </c>
    </row>
    <row r="242" spans="1:2" x14ac:dyDescent="0.3">
      <c r="A242">
        <f t="shared" ref="A242:B242" si="162">IF(M5&lt;&gt;"-",M5,"")</f>
        <v>14</v>
      </c>
      <c r="B242" t="str">
        <f t="shared" si="162"/>
        <v>富邦邦威</v>
      </c>
    </row>
    <row r="243" spans="1:2" x14ac:dyDescent="0.3">
      <c r="A243">
        <f t="shared" ref="A243:B243" si="163">IF(M6&lt;&gt;"-",M6,"")</f>
        <v>39</v>
      </c>
      <c r="B243" t="str">
        <f t="shared" si="163"/>
        <v>富邦羅力</v>
      </c>
    </row>
    <row r="244" spans="1:2" x14ac:dyDescent="0.3">
      <c r="A244">
        <f t="shared" ref="A244:B244" si="164">IF(M7&lt;&gt;"-",M7,"")</f>
        <v>44</v>
      </c>
      <c r="B244" t="str">
        <f t="shared" si="164"/>
        <v>富邦索沙</v>
      </c>
    </row>
    <row r="245" spans="1:2" x14ac:dyDescent="0.3">
      <c r="A245">
        <f t="shared" ref="A245:B245" si="165">IF(M8&lt;&gt;"-",M8,"")</f>
        <v>48</v>
      </c>
      <c r="B245" t="str">
        <f t="shared" si="165"/>
        <v>富邦賴鴻誠</v>
      </c>
    </row>
    <row r="246" spans="1:2" x14ac:dyDescent="0.3">
      <c r="A246">
        <f t="shared" ref="A246:B246" si="166">IF(M9&lt;&gt;"-",M9,"")</f>
        <v>57</v>
      </c>
      <c r="B246" t="str">
        <f t="shared" si="166"/>
        <v>富邦歐書誠</v>
      </c>
    </row>
    <row r="247" spans="1:2" x14ac:dyDescent="0.3">
      <c r="A247">
        <f t="shared" ref="A247:B247" si="167">IF(M10&lt;&gt;"-",M10,"")</f>
        <v>82</v>
      </c>
      <c r="B247" t="str">
        <f t="shared" si="167"/>
        <v>富邦王尉永</v>
      </c>
    </row>
    <row r="248" spans="1:2" x14ac:dyDescent="0.3">
      <c r="A248">
        <f t="shared" ref="A248:B248" si="168">IF(M11&lt;&gt;"-",M11,"")</f>
        <v>94</v>
      </c>
      <c r="B248" t="str">
        <f t="shared" si="168"/>
        <v>富邦吳世豪</v>
      </c>
    </row>
    <row r="249" spans="1:2" x14ac:dyDescent="0.3">
      <c r="A249">
        <f t="shared" ref="A249:B249" si="169">IF(M12&lt;&gt;"-",M12,"")</f>
        <v>96</v>
      </c>
      <c r="B249" t="str">
        <f t="shared" si="169"/>
        <v>富邦林羿豪</v>
      </c>
    </row>
    <row r="250" spans="1:2" x14ac:dyDescent="0.3">
      <c r="A250">
        <f t="shared" ref="A250:B250" si="170">IF(M13&lt;&gt;"-",M13,"")</f>
        <v>20</v>
      </c>
      <c r="B250" t="str">
        <f t="shared" si="170"/>
        <v>富邦林宥穎</v>
      </c>
    </row>
    <row r="251" spans="1:2" x14ac:dyDescent="0.3">
      <c r="A251">
        <f t="shared" ref="A251:B251" si="171">IF(M14&lt;&gt;"-",M14,"")</f>
        <v>69</v>
      </c>
      <c r="B251" t="str">
        <f t="shared" si="171"/>
        <v>富邦張進德</v>
      </c>
    </row>
    <row r="252" spans="1:2" x14ac:dyDescent="0.3">
      <c r="A252">
        <f t="shared" ref="A252:B252" si="172">IF(M15&lt;&gt;"-",M15,"")</f>
        <v>95</v>
      </c>
      <c r="B252" t="str">
        <f t="shared" si="172"/>
        <v>富邦戴培峰</v>
      </c>
    </row>
    <row r="253" spans="1:2" x14ac:dyDescent="0.3">
      <c r="A253">
        <f t="shared" ref="A253:B253" si="173">IF(M16&lt;&gt;"-",M16,"")</f>
        <v>9</v>
      </c>
      <c r="B253" t="str">
        <f t="shared" si="173"/>
        <v>富邦林益全</v>
      </c>
    </row>
    <row r="254" spans="1:2" x14ac:dyDescent="0.3">
      <c r="A254">
        <f t="shared" ref="A254:B254" si="174">IF(M17&lt;&gt;"-",M17,"")</f>
        <v>46</v>
      </c>
      <c r="B254" t="str">
        <f t="shared" si="174"/>
        <v>富邦范國宸</v>
      </c>
    </row>
    <row r="255" spans="1:2" x14ac:dyDescent="0.3">
      <c r="A255">
        <f t="shared" ref="A255:B255" si="175">IF(M18&lt;&gt;"-",M18,"")</f>
        <v>5</v>
      </c>
      <c r="B255" t="str">
        <f t="shared" si="175"/>
        <v>富邦蔣智賢</v>
      </c>
    </row>
    <row r="256" spans="1:2" x14ac:dyDescent="0.3">
      <c r="A256">
        <f t="shared" ref="A256:B256" si="176">IF(M19&lt;&gt;"-",M19,"")</f>
        <v>22</v>
      </c>
      <c r="B256" t="str">
        <f t="shared" si="176"/>
        <v>富邦李宗賢</v>
      </c>
    </row>
    <row r="257" spans="1:2" x14ac:dyDescent="0.3">
      <c r="A257">
        <f t="shared" ref="A257:B257" si="177">IF(M20&lt;&gt;"-",M20,"")</f>
        <v>67</v>
      </c>
      <c r="B257" t="str">
        <f t="shared" si="177"/>
        <v>富邦辛元旭</v>
      </c>
    </row>
    <row r="258" spans="1:2" x14ac:dyDescent="0.3">
      <c r="A258">
        <f t="shared" ref="A258:B258" si="178">IF(M21&lt;&gt;"-",M21,"")</f>
        <v>24</v>
      </c>
      <c r="B258" t="str">
        <f t="shared" si="178"/>
        <v>富邦陳凱倫</v>
      </c>
    </row>
    <row r="259" spans="1:2" x14ac:dyDescent="0.3">
      <c r="A259">
        <f t="shared" ref="A259:B259" si="179">IF(M22&lt;&gt;"-",M22,"")</f>
        <v>6</v>
      </c>
      <c r="B259" t="str">
        <f t="shared" si="179"/>
        <v>富邦張正偉</v>
      </c>
    </row>
    <row r="260" spans="1:2" x14ac:dyDescent="0.3">
      <c r="A260">
        <f t="shared" ref="A260:B260" si="180">IF(M23&lt;&gt;"-",M23,"")</f>
        <v>28</v>
      </c>
      <c r="B260" t="str">
        <f t="shared" si="180"/>
        <v>富邦高國輝</v>
      </c>
    </row>
    <row r="261" spans="1:2" x14ac:dyDescent="0.3">
      <c r="A261">
        <f t="shared" ref="A261:B261" si="181">IF(M24&lt;&gt;"-",M24,"")</f>
        <v>1</v>
      </c>
      <c r="B261" t="str">
        <f t="shared" si="181"/>
        <v>富邦林哲瑄</v>
      </c>
    </row>
    <row r="262" spans="1:2" x14ac:dyDescent="0.3">
      <c r="A262">
        <f t="shared" ref="A262:B262" si="182">IF(M25&lt;&gt;"-",M25,"")</f>
        <v>29</v>
      </c>
      <c r="B262" t="str">
        <f t="shared" si="182"/>
        <v>富邦申皓瑋</v>
      </c>
    </row>
    <row r="263" spans="1:2" x14ac:dyDescent="0.3">
      <c r="A263">
        <f t="shared" ref="A263:B263" si="183">IF(M26&lt;&gt;"-",M26,"")</f>
        <v>98</v>
      </c>
      <c r="B263" t="str">
        <f t="shared" si="183"/>
        <v>富邦高國麟</v>
      </c>
    </row>
    <row r="264" spans="1:2" x14ac:dyDescent="0.3">
      <c r="A264">
        <f t="shared" ref="A264:B264" si="184">IF(M27&lt;&gt;"-",M27,"")</f>
        <v>16</v>
      </c>
      <c r="B264" t="str">
        <f t="shared" si="184"/>
        <v>富邦黃亦志</v>
      </c>
    </row>
    <row r="265" spans="1:2" x14ac:dyDescent="0.3">
      <c r="A265">
        <f t="shared" ref="A265:B265" si="185">IF(M28&lt;&gt;"-",M28,"")</f>
        <v>17</v>
      </c>
      <c r="B265" t="str">
        <f t="shared" si="185"/>
        <v>富邦張耿豪</v>
      </c>
    </row>
    <row r="266" spans="1:2" x14ac:dyDescent="0.3">
      <c r="A266">
        <f t="shared" ref="A266:B266" si="186">IF(M29&lt;&gt;"-",M29,"")</f>
        <v>18</v>
      </c>
      <c r="B266" t="str">
        <f t="shared" si="186"/>
        <v>富邦郭俊麟</v>
      </c>
    </row>
    <row r="267" spans="1:2" x14ac:dyDescent="0.3">
      <c r="A267">
        <f t="shared" ref="A267:B267" si="187">IF(M30&lt;&gt;"-",M30,"")</f>
        <v>19</v>
      </c>
      <c r="B267" t="str">
        <f t="shared" si="187"/>
        <v>富邦蔡明晋</v>
      </c>
    </row>
    <row r="268" spans="1:2" x14ac:dyDescent="0.3">
      <c r="A268">
        <f t="shared" ref="A268:B268" si="188">IF(M31&lt;&gt;"-",M31,"")</f>
        <v>21</v>
      </c>
      <c r="B268" t="str">
        <f t="shared" si="188"/>
        <v>富邦藍愷青</v>
      </c>
    </row>
    <row r="269" spans="1:2" x14ac:dyDescent="0.3">
      <c r="A269">
        <f t="shared" ref="A269:B269" si="189">IF(M32&lt;&gt;"-",M32,"")</f>
        <v>30</v>
      </c>
      <c r="B269" t="str">
        <f t="shared" si="189"/>
        <v>富邦陳韋霖</v>
      </c>
    </row>
    <row r="270" spans="1:2" x14ac:dyDescent="0.3">
      <c r="A270">
        <f t="shared" ref="A270:B270" si="190">IF(M33&lt;&gt;"-",M33,"")</f>
        <v>36</v>
      </c>
      <c r="B270" t="str">
        <f t="shared" si="190"/>
        <v>富邦倪福德</v>
      </c>
    </row>
    <row r="271" spans="1:2" x14ac:dyDescent="0.3">
      <c r="A271">
        <f t="shared" ref="A271:B271" si="191">IF(M34&lt;&gt;"-",M34,"")</f>
        <v>37</v>
      </c>
      <c r="B271" t="str">
        <f t="shared" si="191"/>
        <v>富邦羅國華</v>
      </c>
    </row>
    <row r="272" spans="1:2" x14ac:dyDescent="0.3">
      <c r="A272">
        <f t="shared" ref="A272:B272" si="192">IF(M35&lt;&gt;"-",M35,"")</f>
        <v>38</v>
      </c>
      <c r="B272" t="str">
        <f t="shared" si="192"/>
        <v>富邦張竣龍</v>
      </c>
    </row>
    <row r="273" spans="1:2" x14ac:dyDescent="0.3">
      <c r="A273">
        <f t="shared" ref="A273:B273" si="193">IF(M36&lt;&gt;"-",M36,"")</f>
        <v>40</v>
      </c>
      <c r="B273" t="str">
        <f t="shared" si="193"/>
        <v>富邦林詠翔</v>
      </c>
    </row>
    <row r="274" spans="1:2" x14ac:dyDescent="0.3">
      <c r="A274">
        <f t="shared" ref="A274:B274" si="194">IF(M37&lt;&gt;"-",M37,"")</f>
        <v>45</v>
      </c>
      <c r="B274" t="str">
        <f t="shared" si="194"/>
        <v>富邦彭璿紘</v>
      </c>
    </row>
    <row r="275" spans="1:2" x14ac:dyDescent="0.3">
      <c r="A275">
        <f t="shared" ref="A275:B275" si="195">IF(M38&lt;&gt;"-",M38,"")</f>
        <v>47</v>
      </c>
      <c r="B275" t="str">
        <f t="shared" si="195"/>
        <v>富邦范玉禹</v>
      </c>
    </row>
    <row r="276" spans="1:2" x14ac:dyDescent="0.3">
      <c r="A276">
        <f t="shared" ref="A276:B276" si="196">IF(M39&lt;&gt;"-",M39,"")</f>
        <v>54</v>
      </c>
      <c r="B276" t="str">
        <f t="shared" si="196"/>
        <v>富邦李建勳</v>
      </c>
    </row>
    <row r="277" spans="1:2" x14ac:dyDescent="0.3">
      <c r="A277">
        <f t="shared" ref="A277:B277" si="197">IF(M40&lt;&gt;"-",M40,"")</f>
        <v>56</v>
      </c>
      <c r="B277" t="str">
        <f t="shared" si="197"/>
        <v>富邦楊程皓</v>
      </c>
    </row>
    <row r="278" spans="1:2" x14ac:dyDescent="0.3">
      <c r="A278">
        <f t="shared" ref="A278:B278" si="198">IF(M41&lt;&gt;"-",M41,"")</f>
        <v>59</v>
      </c>
      <c r="B278" t="str">
        <f t="shared" si="198"/>
        <v>富邦陳冠傑</v>
      </c>
    </row>
    <row r="279" spans="1:2" x14ac:dyDescent="0.3">
      <c r="A279">
        <f t="shared" ref="A279:B279" si="199">IF(M42&lt;&gt;"-",M42,"")</f>
        <v>60</v>
      </c>
      <c r="B279" t="str">
        <f t="shared" si="199"/>
        <v>富邦曾峻岳</v>
      </c>
    </row>
    <row r="280" spans="1:2" x14ac:dyDescent="0.3">
      <c r="A280">
        <f t="shared" ref="A280:B280" si="200">IF(M43&lt;&gt;"-",M43,"")</f>
        <v>63</v>
      </c>
      <c r="B280" t="str">
        <f t="shared" si="200"/>
        <v>富邦林聖榮</v>
      </c>
    </row>
    <row r="281" spans="1:2" x14ac:dyDescent="0.3">
      <c r="A281">
        <f t="shared" ref="A281:B281" si="201">IF(M44&lt;&gt;"-",M44,"")</f>
        <v>70</v>
      </c>
      <c r="B281" t="str">
        <f t="shared" si="201"/>
        <v>富邦朱益生</v>
      </c>
    </row>
    <row r="282" spans="1:2" x14ac:dyDescent="0.3">
      <c r="A282">
        <f t="shared" ref="A282:B282" si="202">IF(M45&lt;&gt;"-",M45,"")</f>
        <v>72</v>
      </c>
      <c r="B282" t="str">
        <f t="shared" si="202"/>
        <v>富邦張瑞麟</v>
      </c>
    </row>
    <row r="283" spans="1:2" x14ac:dyDescent="0.3">
      <c r="A283">
        <f t="shared" ref="A283:B283" si="203">IF(M46&lt;&gt;"-",M46,"")</f>
        <v>74</v>
      </c>
      <c r="B283" t="str">
        <f t="shared" si="203"/>
        <v>富邦楊彬</v>
      </c>
    </row>
    <row r="284" spans="1:2" x14ac:dyDescent="0.3">
      <c r="A284">
        <f t="shared" ref="A284:B284" si="204">IF(M47&lt;&gt;"-",M47,"")</f>
        <v>78</v>
      </c>
      <c r="B284" t="str">
        <f t="shared" si="204"/>
        <v>富邦陳明軒</v>
      </c>
    </row>
    <row r="285" spans="1:2" x14ac:dyDescent="0.3">
      <c r="A285">
        <f t="shared" ref="A285:B285" si="205">IF(M48&lt;&gt;"-",M48,"")</f>
        <v>79</v>
      </c>
      <c r="B285" t="str">
        <f t="shared" si="205"/>
        <v>富邦葉國情</v>
      </c>
    </row>
    <row r="286" spans="1:2" x14ac:dyDescent="0.3">
      <c r="A286">
        <f t="shared" ref="A286:B286" si="206">IF(M49&lt;&gt;"-",M49,"")</f>
        <v>80</v>
      </c>
      <c r="B286" t="str">
        <f t="shared" si="206"/>
        <v>富邦游霆崴</v>
      </c>
    </row>
    <row r="287" spans="1:2" x14ac:dyDescent="0.3">
      <c r="A287">
        <f t="shared" ref="A287:B287" si="207">IF(M50&lt;&gt;"-",M50,"")</f>
        <v>81</v>
      </c>
      <c r="B287" t="str">
        <f t="shared" si="207"/>
        <v>富邦陳仕朋</v>
      </c>
    </row>
    <row r="288" spans="1:2" x14ac:dyDescent="0.3">
      <c r="A288">
        <f t="shared" ref="A288:B288" si="208">IF(M51&lt;&gt;"-",M51,"")</f>
        <v>99</v>
      </c>
      <c r="B288" t="str">
        <f t="shared" si="208"/>
        <v>富邦奇優力</v>
      </c>
    </row>
    <row r="289" spans="1:2" x14ac:dyDescent="0.3">
      <c r="A289">
        <f t="shared" ref="A289:B289" si="209">IF(M52&lt;&gt;"-",M52,"")</f>
        <v>8</v>
      </c>
      <c r="B289" t="str">
        <f t="shared" si="209"/>
        <v>富邦方克偉</v>
      </c>
    </row>
    <row r="290" spans="1:2" x14ac:dyDescent="0.3">
      <c r="A290">
        <f t="shared" ref="A290:B290" si="210">IF(M53&lt;&gt;"-",M53,"")</f>
        <v>10</v>
      </c>
      <c r="B290" t="str">
        <f t="shared" si="210"/>
        <v>富邦姚冠瑋</v>
      </c>
    </row>
    <row r="291" spans="1:2" x14ac:dyDescent="0.3">
      <c r="A291">
        <f t="shared" ref="A291:B291" si="211">IF(M54&lt;&gt;"-",M54,"")</f>
        <v>61</v>
      </c>
      <c r="B291" t="str">
        <f t="shared" si="211"/>
        <v>富邦蕭憶銘</v>
      </c>
    </row>
    <row r="292" spans="1:2" x14ac:dyDescent="0.3">
      <c r="A292">
        <f t="shared" ref="A292:B292" si="212">IF(M55&lt;&gt;"-",M55,"")</f>
        <v>89</v>
      </c>
      <c r="B292" t="str">
        <f t="shared" si="212"/>
        <v>富邦林志洋</v>
      </c>
    </row>
    <row r="293" spans="1:2" x14ac:dyDescent="0.3">
      <c r="A293">
        <f t="shared" ref="A293:B293" si="213">IF(M56&lt;&gt;"-",M56,"")</f>
        <v>31</v>
      </c>
      <c r="B293" t="str">
        <f t="shared" si="213"/>
        <v>富邦黃兆維</v>
      </c>
    </row>
    <row r="294" spans="1:2" x14ac:dyDescent="0.3">
      <c r="A294">
        <f t="shared" ref="A294:B294" si="214">IF(M57&lt;&gt;"-",M57,"")</f>
        <v>84</v>
      </c>
      <c r="B294" t="str">
        <f t="shared" si="214"/>
        <v>富邦王詩聰</v>
      </c>
    </row>
    <row r="295" spans="1:2" x14ac:dyDescent="0.3">
      <c r="A295">
        <f t="shared" ref="A295:B295" si="215">IF(M58&lt;&gt;"-",M58,"")</f>
        <v>23</v>
      </c>
      <c r="B295" t="str">
        <f t="shared" si="215"/>
        <v>富邦楊晉豪</v>
      </c>
    </row>
    <row r="296" spans="1:2" x14ac:dyDescent="0.3">
      <c r="A296">
        <f t="shared" ref="A296:B296" si="216">IF(M59&lt;&gt;"-",M59,"")</f>
        <v>35</v>
      </c>
      <c r="B296" t="str">
        <f t="shared" si="216"/>
        <v>富邦王正棠</v>
      </c>
    </row>
    <row r="297" spans="1:2" x14ac:dyDescent="0.3">
      <c r="A297">
        <f t="shared" ref="A297:B297" si="217">IF(M60&lt;&gt;"-",M60,"")</f>
        <v>64</v>
      </c>
      <c r="B297" t="str">
        <f t="shared" si="217"/>
        <v>富邦林威廷</v>
      </c>
    </row>
    <row r="298" spans="1:2" x14ac:dyDescent="0.3">
      <c r="A298">
        <f t="shared" ref="A298:B298" si="218">IF(M61&lt;&gt;"-",M61,"")</f>
        <v>76</v>
      </c>
      <c r="B298" t="str">
        <f t="shared" si="218"/>
        <v>富邦周奕丞</v>
      </c>
    </row>
    <row r="299" spans="1:2" x14ac:dyDescent="0.3">
      <c r="A299">
        <f t="shared" ref="A299:B299" si="219">IF(M62&lt;&gt;"-",M62,"")</f>
        <v>51</v>
      </c>
      <c r="B299" t="str">
        <f t="shared" si="219"/>
        <v>富邦于森旭</v>
      </c>
    </row>
    <row r="300" spans="1:2" x14ac:dyDescent="0.3">
      <c r="A300">
        <f t="shared" ref="A300:B300" si="220">IF(M63&lt;&gt;"-",M63,"")</f>
        <v>4</v>
      </c>
      <c r="B300" t="str">
        <f t="shared" si="220"/>
        <v>富邦許宸銘</v>
      </c>
    </row>
    <row r="301" spans="1:2" x14ac:dyDescent="0.3">
      <c r="A301">
        <f t="shared" ref="A301:B301" si="221">IF(M64&lt;&gt;"-",M64,"")</f>
        <v>7</v>
      </c>
      <c r="B301" t="str">
        <f t="shared" si="221"/>
        <v>富邦石翔宇</v>
      </c>
    </row>
    <row r="302" spans="1:2" x14ac:dyDescent="0.3">
      <c r="A302">
        <f t="shared" ref="A302:B302" si="222">IF(M65&lt;&gt;"-",M65,"")</f>
        <v>43</v>
      </c>
      <c r="B302" t="str">
        <f t="shared" si="222"/>
        <v>富邦胡冠俞</v>
      </c>
    </row>
    <row r="303" spans="1:2" x14ac:dyDescent="0.3">
      <c r="A303">
        <f t="shared" ref="A303:B303" si="223">IF(M66&lt;&gt;"-",M66,"")</f>
        <v>49</v>
      </c>
      <c r="B303" t="str">
        <f t="shared" si="223"/>
        <v>富邦莊韋恩</v>
      </c>
    </row>
    <row r="304" spans="1:2" x14ac:dyDescent="0.3">
      <c r="A304">
        <f t="shared" ref="A304:B304" si="224">IF(M67&lt;&gt;"-",M67,"")</f>
        <v>15</v>
      </c>
      <c r="B304" t="str">
        <f t="shared" si="224"/>
        <v>富邦胡金龍</v>
      </c>
    </row>
    <row r="305" spans="1:2" x14ac:dyDescent="0.3">
      <c r="A305">
        <f t="shared" ref="A305:B305" si="225">IF(M68&lt;&gt;"-",M68,"")</f>
        <v>33</v>
      </c>
      <c r="B305" t="str">
        <f t="shared" si="225"/>
        <v>富邦張冠廷</v>
      </c>
    </row>
    <row r="306" spans="1:2" x14ac:dyDescent="0.3">
      <c r="A306">
        <f t="shared" ref="A306:B306" si="226">IF(M69&lt;&gt;"-",M69,"")</f>
        <v>41</v>
      </c>
      <c r="B306" t="str">
        <f t="shared" si="226"/>
        <v>富邦曾慈恩</v>
      </c>
    </row>
    <row r="307" spans="1:2" x14ac:dyDescent="0.3">
      <c r="A307">
        <f t="shared" ref="A307:B307" si="227">IF(M70&lt;&gt;"-",M70,"")</f>
        <v>66</v>
      </c>
      <c r="B307" t="str">
        <f t="shared" si="227"/>
        <v>富邦陳真</v>
      </c>
    </row>
    <row r="308" spans="1:2" x14ac:dyDescent="0.3">
      <c r="A308">
        <f t="shared" ref="A308:B308" si="228">IF(M71&lt;&gt;"-",M71,"")</f>
        <v>62</v>
      </c>
      <c r="B308" t="str">
        <f t="shared" si="228"/>
        <v>富邦林奕豪</v>
      </c>
    </row>
    <row r="309" spans="1:2" x14ac:dyDescent="0.3">
      <c r="A309">
        <f t="shared" ref="A309:B309" si="229">IF(M72&lt;&gt;"-",M72,"")</f>
        <v>83</v>
      </c>
      <c r="B309" t="str">
        <f t="shared" si="229"/>
        <v>富邦陳韋奇</v>
      </c>
    </row>
    <row r="310" spans="1:2" x14ac:dyDescent="0.3">
      <c r="A310">
        <f t="shared" ref="A310:B310" si="230">IF(M73&lt;&gt;"-",M73,"")</f>
        <v>32</v>
      </c>
      <c r="B310" t="str">
        <f t="shared" si="230"/>
        <v>富邦高孝儀</v>
      </c>
    </row>
    <row r="311" spans="1:2" x14ac:dyDescent="0.3">
      <c r="A311">
        <f t="shared" ref="A311:B311" si="231">IF(M74&lt;&gt;"-",M74,"")</f>
        <v>50</v>
      </c>
      <c r="B311" t="str">
        <f t="shared" si="231"/>
        <v>富邦張詠漢</v>
      </c>
    </row>
    <row r="312" spans="1:2" x14ac:dyDescent="0.3">
      <c r="A312">
        <f t="shared" ref="A312:B312" si="232">IF(M75&lt;&gt;"-",M75,"")</f>
        <v>65</v>
      </c>
      <c r="B312" t="str">
        <f t="shared" si="232"/>
        <v>富邦戴云真</v>
      </c>
    </row>
    <row r="313" spans="1:2" x14ac:dyDescent="0.3">
      <c r="A313">
        <f t="shared" ref="A313:B313" si="233">IF(M76&lt;&gt;"-",M76,"")</f>
        <v>93</v>
      </c>
      <c r="B313" t="str">
        <f t="shared" si="233"/>
        <v>富邦陳品捷</v>
      </c>
    </row>
    <row r="314" spans="1:2" x14ac:dyDescent="0.3">
      <c r="A314" t="str">
        <f t="shared" ref="A314:B314" si="234">IF(M77&lt;&gt;"-",M77,"")</f>
        <v/>
      </c>
      <c r="B314" t="str">
        <f t="shared" si="234"/>
        <v/>
      </c>
    </row>
    <row r="315" spans="1:2" x14ac:dyDescent="0.3">
      <c r="A315" t="str">
        <f t="shared" ref="A315:B315" si="235">IF(M78&lt;&gt;"-",M78,"")</f>
        <v/>
      </c>
      <c r="B315" t="str">
        <f t="shared" si="235"/>
        <v/>
      </c>
    </row>
    <row r="316" spans="1:2" x14ac:dyDescent="0.3">
      <c r="A316" t="str">
        <f t="shared" ref="A316:B316" si="236">IF(M79&lt;&gt;"-",M79,"")</f>
        <v/>
      </c>
      <c r="B316" t="str">
        <f t="shared" si="236"/>
        <v/>
      </c>
    </row>
    <row r="317" spans="1:2" x14ac:dyDescent="0.3">
      <c r="A317" t="str">
        <f t="shared" ref="A317:B317" si="237">IF(M80&lt;&gt;"-",M80,"")</f>
        <v/>
      </c>
      <c r="B317" t="str">
        <f t="shared" si="237"/>
        <v/>
      </c>
    </row>
    <row r="318" spans="1:2" x14ac:dyDescent="0.3">
      <c r="A318">
        <f>IF(P2&lt;&gt;"-",P2,"")</f>
        <v>0</v>
      </c>
      <c r="B318" t="str">
        <f>IF(Q2&lt;&gt;"-",Q2,"")</f>
        <v>游宗儒</v>
      </c>
    </row>
    <row r="319" spans="1:2" x14ac:dyDescent="0.3">
      <c r="A319">
        <f t="shared" ref="A319:B319" si="238">IF(P3&lt;&gt;"-",P3,"")</f>
        <v>7</v>
      </c>
      <c r="B319" t="str">
        <f t="shared" si="238"/>
        <v>森榮鴻</v>
      </c>
    </row>
    <row r="320" spans="1:2" x14ac:dyDescent="0.3">
      <c r="A320">
        <f t="shared" ref="A320:B320" si="239">IF(P4&lt;&gt;"-",P4,"")</f>
        <v>11</v>
      </c>
      <c r="B320" t="str">
        <f t="shared" si="239"/>
        <v>李宇翔</v>
      </c>
    </row>
    <row r="321" spans="1:2" x14ac:dyDescent="0.3">
      <c r="A321">
        <f t="shared" ref="A321:B321" si="240">IF(P5&lt;&gt;"-",P5,"")</f>
        <v>14</v>
      </c>
      <c r="B321" t="str">
        <f t="shared" si="240"/>
        <v>劉宇鈞</v>
      </c>
    </row>
    <row r="322" spans="1:2" x14ac:dyDescent="0.3">
      <c r="A322">
        <f t="shared" ref="A322:B322" si="241">IF(P6&lt;&gt;"-",P6,"")</f>
        <v>15</v>
      </c>
      <c r="B322" t="str">
        <f t="shared" si="241"/>
        <v>歐耀宗</v>
      </c>
    </row>
    <row r="323" spans="1:2" x14ac:dyDescent="0.3">
      <c r="A323">
        <f t="shared" ref="A323:B323" si="242">IF(P7&lt;&gt;"-",P7,"")</f>
        <v>16</v>
      </c>
      <c r="B323" t="str">
        <f t="shared" si="242"/>
        <v>王維中</v>
      </c>
    </row>
    <row r="324" spans="1:2" x14ac:dyDescent="0.3">
      <c r="A324">
        <f t="shared" ref="A324:B324" si="243">IF(P8&lt;&gt;"-",P8,"")</f>
        <v>17</v>
      </c>
      <c r="B324" t="str">
        <f t="shared" si="243"/>
        <v>郭郁政</v>
      </c>
    </row>
    <row r="325" spans="1:2" x14ac:dyDescent="0.3">
      <c r="A325">
        <f t="shared" ref="A325:B325" si="244">IF(P9&lt;&gt;"-",P9,"")</f>
        <v>18</v>
      </c>
      <c r="B325" t="str">
        <f t="shared" si="244"/>
        <v>徐若熙</v>
      </c>
    </row>
    <row r="326" spans="1:2" x14ac:dyDescent="0.3">
      <c r="A326">
        <f t="shared" ref="A326:B326" si="245">IF(P10&lt;&gt;"-",P10,"")</f>
        <v>19</v>
      </c>
      <c r="B326" t="str">
        <f t="shared" si="245"/>
        <v>羅嘉仁</v>
      </c>
    </row>
    <row r="327" spans="1:2" x14ac:dyDescent="0.3">
      <c r="A327">
        <f t="shared" ref="A327:B327" si="246">IF(P11&lt;&gt;"-",P11,"")</f>
        <v>20</v>
      </c>
      <c r="B327" t="str">
        <f t="shared" si="246"/>
        <v>吳俊杰</v>
      </c>
    </row>
    <row r="328" spans="1:2" x14ac:dyDescent="0.3">
      <c r="A328">
        <f t="shared" ref="A328:B328" si="247">IF(P12&lt;&gt;"-",P12,"")</f>
        <v>26</v>
      </c>
      <c r="B328" t="str">
        <f t="shared" si="247"/>
        <v>蔡明憲</v>
      </c>
    </row>
    <row r="329" spans="1:2" x14ac:dyDescent="0.3">
      <c r="A329">
        <f t="shared" ref="A329:B329" si="248">IF(P13&lt;&gt;"-",P13,"")</f>
        <v>29</v>
      </c>
      <c r="B329" t="str">
        <f t="shared" si="248"/>
        <v>莊玉彬</v>
      </c>
    </row>
    <row r="330" spans="1:2" x14ac:dyDescent="0.3">
      <c r="A330">
        <f t="shared" ref="A330:B330" si="249">IF(P14&lt;&gt;"-",P14,"")</f>
        <v>30</v>
      </c>
      <c r="B330" t="str">
        <f t="shared" si="249"/>
        <v>廖任磊</v>
      </c>
    </row>
    <row r="331" spans="1:2" x14ac:dyDescent="0.3">
      <c r="A331">
        <f t="shared" ref="A331:B331" si="250">IF(P15&lt;&gt;"-",P15,"")</f>
        <v>31</v>
      </c>
      <c r="B331" t="str">
        <f t="shared" si="250"/>
        <v>劉家愷</v>
      </c>
    </row>
    <row r="332" spans="1:2" x14ac:dyDescent="0.3">
      <c r="A332">
        <f t="shared" ref="A332:B332" si="251">IF(P16&lt;&gt;"-",P16,"")</f>
        <v>32</v>
      </c>
      <c r="B332" t="str">
        <f t="shared" si="251"/>
        <v>陳良志</v>
      </c>
    </row>
    <row r="333" spans="1:2" x14ac:dyDescent="0.3">
      <c r="A333">
        <f t="shared" ref="A333:B333" si="252">IF(P17&lt;&gt;"-",P17,"")</f>
        <v>37</v>
      </c>
      <c r="B333" t="str">
        <f t="shared" si="252"/>
        <v>曹維揚</v>
      </c>
    </row>
    <row r="334" spans="1:2" x14ac:dyDescent="0.3">
      <c r="A334">
        <f t="shared" ref="A334:B334" si="253">IF(P18&lt;&gt;"-",P18,"")</f>
        <v>39</v>
      </c>
      <c r="B334" t="str">
        <f t="shared" si="253"/>
        <v>呂偉晟</v>
      </c>
    </row>
    <row r="335" spans="1:2" x14ac:dyDescent="0.3">
      <c r="A335">
        <f t="shared" ref="A335:B335" si="254">IF(P19&lt;&gt;"-",P19,"")</f>
        <v>40</v>
      </c>
      <c r="B335" t="str">
        <f t="shared" si="254"/>
        <v>呂詠臻</v>
      </c>
    </row>
    <row r="336" spans="1:2" x14ac:dyDescent="0.3">
      <c r="A336">
        <f t="shared" ref="A336:B336" si="255">IF(P20&lt;&gt;"-",P20,"")</f>
        <v>41</v>
      </c>
      <c r="B336" t="str">
        <f t="shared" si="255"/>
        <v>廖文揚</v>
      </c>
    </row>
    <row r="337" spans="1:2" x14ac:dyDescent="0.3">
      <c r="A337">
        <f t="shared" ref="A337:B337" si="256">IF(P21&lt;&gt;"-",P21,"")</f>
        <v>42</v>
      </c>
      <c r="B337" t="str">
        <f t="shared" si="256"/>
        <v>趙璟榮</v>
      </c>
    </row>
    <row r="338" spans="1:2" x14ac:dyDescent="0.3">
      <c r="A338">
        <f t="shared" ref="A338:B338" si="257">IF(P22&lt;&gt;"-",P22,"")</f>
        <v>45</v>
      </c>
      <c r="B338" t="str">
        <f t="shared" si="257"/>
        <v>楊鈺翔</v>
      </c>
    </row>
    <row r="339" spans="1:2" x14ac:dyDescent="0.3">
      <c r="A339">
        <f t="shared" ref="A339:B339" si="258">IF(P23&lt;&gt;"-",P23,"")</f>
        <v>47</v>
      </c>
      <c r="B339" t="str">
        <f t="shared" si="258"/>
        <v>林政賢</v>
      </c>
    </row>
    <row r="340" spans="1:2" x14ac:dyDescent="0.3">
      <c r="A340">
        <f t="shared" ref="A340:B340" si="259">IF(P24&lt;&gt;"-",P24,"")</f>
        <v>48</v>
      </c>
      <c r="B340" t="str">
        <f t="shared" si="259"/>
        <v>林逸達</v>
      </c>
    </row>
    <row r="341" spans="1:2" x14ac:dyDescent="0.3">
      <c r="A341">
        <f t="shared" ref="A341:B341" si="260">IF(P25&lt;&gt;"-",P25,"")</f>
        <v>51</v>
      </c>
      <c r="B341" t="str">
        <f t="shared" si="260"/>
        <v>林旺億</v>
      </c>
    </row>
    <row r="342" spans="1:2" x14ac:dyDescent="0.3">
      <c r="A342">
        <f t="shared" ref="A342:B342" si="261">IF(P26&lt;&gt;"-",P26,"")</f>
        <v>56</v>
      </c>
      <c r="B342" t="str">
        <f t="shared" si="261"/>
        <v>黃東淯</v>
      </c>
    </row>
    <row r="343" spans="1:2" x14ac:dyDescent="0.3">
      <c r="A343">
        <f t="shared" ref="A343:B343" si="262">IF(P27&lt;&gt;"-",P27,"")</f>
        <v>59</v>
      </c>
      <c r="B343" t="str">
        <f t="shared" si="262"/>
        <v>陳冠偉</v>
      </c>
    </row>
    <row r="344" spans="1:2" x14ac:dyDescent="0.3">
      <c r="A344">
        <f t="shared" ref="A344:B344" si="263">IF(P28&lt;&gt;"-",P28,"")</f>
        <v>61</v>
      </c>
      <c r="B344" t="str">
        <f t="shared" si="263"/>
        <v>曾柏融</v>
      </c>
    </row>
    <row r="345" spans="1:2" x14ac:dyDescent="0.3">
      <c r="A345">
        <f t="shared" ref="A345:B345" si="264">IF(P29&lt;&gt;"-",P29,"")</f>
        <v>68</v>
      </c>
      <c r="B345" t="str">
        <f t="shared" si="264"/>
        <v>羅華韋</v>
      </c>
    </row>
    <row r="346" spans="1:2" x14ac:dyDescent="0.3">
      <c r="A346">
        <f t="shared" ref="A346:B346" si="265">IF(P30&lt;&gt;"-",P30,"")</f>
        <v>71</v>
      </c>
      <c r="B346" t="str">
        <f t="shared" si="265"/>
        <v>林子昱</v>
      </c>
    </row>
    <row r="347" spans="1:2" x14ac:dyDescent="0.3">
      <c r="A347">
        <f t="shared" ref="A347:B347" si="266">IF(P31&lt;&gt;"-",P31,"")</f>
        <v>76</v>
      </c>
      <c r="B347" t="str">
        <f t="shared" si="266"/>
        <v>劉崇聖</v>
      </c>
    </row>
    <row r="348" spans="1:2" x14ac:dyDescent="0.3">
      <c r="A348">
        <f t="shared" ref="A348:B348" si="267">IF(P32&lt;&gt;"-",P32,"")</f>
        <v>9</v>
      </c>
      <c r="B348" t="str">
        <f t="shared" si="267"/>
        <v>林辰勳</v>
      </c>
    </row>
    <row r="349" spans="1:2" x14ac:dyDescent="0.3">
      <c r="A349">
        <f t="shared" ref="A349:B349" si="268">IF(P33&lt;&gt;"-",P33,"")</f>
        <v>12</v>
      </c>
      <c r="B349" t="str">
        <f t="shared" si="268"/>
        <v>王膺鵬</v>
      </c>
    </row>
    <row r="350" spans="1:2" x14ac:dyDescent="0.3">
      <c r="A350">
        <f t="shared" ref="A350:B350" si="269">IF(P34&lt;&gt;"-",P34,"")</f>
        <v>22</v>
      </c>
      <c r="B350" t="str">
        <f t="shared" si="269"/>
        <v>全浩瑋</v>
      </c>
    </row>
    <row r="351" spans="1:2" x14ac:dyDescent="0.3">
      <c r="A351">
        <f t="shared" ref="A351:B351" si="270">IF(P35&lt;&gt;"-",P35,"")</f>
        <v>50</v>
      </c>
      <c r="B351" t="str">
        <f t="shared" si="270"/>
        <v>江忠垣</v>
      </c>
    </row>
    <row r="352" spans="1:2" x14ac:dyDescent="0.3">
      <c r="A352">
        <f t="shared" ref="A352:B352" si="271">IF(P36&lt;&gt;"-",P36,"")</f>
        <v>63</v>
      </c>
      <c r="B352" t="str">
        <f t="shared" si="271"/>
        <v>蔣少宏</v>
      </c>
    </row>
    <row r="353" spans="1:2" x14ac:dyDescent="0.3">
      <c r="A353">
        <f t="shared" ref="A353:B353" si="272">IF(P37&lt;&gt;"-",P37,"")</f>
        <v>98</v>
      </c>
      <c r="B353" t="str">
        <f t="shared" si="272"/>
        <v>魏全</v>
      </c>
    </row>
    <row r="354" spans="1:2" x14ac:dyDescent="0.3">
      <c r="A354">
        <f t="shared" ref="A354:B354" si="273">IF(P38&lt;&gt;"-",P38,"")</f>
        <v>99</v>
      </c>
      <c r="B354" t="str">
        <f t="shared" si="273"/>
        <v>牛塏曄</v>
      </c>
    </row>
    <row r="355" spans="1:2" x14ac:dyDescent="0.3">
      <c r="A355">
        <f t="shared" ref="A355:B355" si="274">IF(P39&lt;&gt;"-",P39,"")</f>
        <v>3</v>
      </c>
      <c r="B355" t="str">
        <f t="shared" si="274"/>
        <v>歐晉</v>
      </c>
    </row>
    <row r="356" spans="1:2" x14ac:dyDescent="0.3">
      <c r="A356">
        <f t="shared" ref="A356:B356" si="275">IF(P40&lt;&gt;"-",P40,"")</f>
        <v>10</v>
      </c>
      <c r="B356" t="str">
        <f t="shared" si="275"/>
        <v>黃柏豪</v>
      </c>
    </row>
    <row r="357" spans="1:2" x14ac:dyDescent="0.3">
      <c r="A357">
        <f t="shared" ref="A357:B357" si="276">IF(P41&lt;&gt;"-",P41,"")</f>
        <v>53</v>
      </c>
      <c r="B357" t="str">
        <f t="shared" si="276"/>
        <v>林桀晨</v>
      </c>
    </row>
    <row r="358" spans="1:2" x14ac:dyDescent="0.3">
      <c r="A358">
        <f t="shared" ref="A358:B358" si="277">IF(P42&lt;&gt;"-",P42,"")</f>
        <v>13</v>
      </c>
      <c r="B358" t="str">
        <f t="shared" si="277"/>
        <v>吳睿勝</v>
      </c>
    </row>
    <row r="359" spans="1:2" x14ac:dyDescent="0.3">
      <c r="A359">
        <f t="shared" ref="A359:B359" si="278">IF(P43&lt;&gt;"-",P43,"")</f>
        <v>57</v>
      </c>
      <c r="B359" t="str">
        <f t="shared" si="278"/>
        <v>朱祥麟</v>
      </c>
    </row>
    <row r="360" spans="1:2" x14ac:dyDescent="0.3">
      <c r="A360">
        <f t="shared" ref="A360:B360" si="279">IF(P44&lt;&gt;"-",P44,"")</f>
        <v>25</v>
      </c>
      <c r="B360" t="str">
        <f t="shared" si="279"/>
        <v>張政禹</v>
      </c>
    </row>
    <row r="361" spans="1:2" x14ac:dyDescent="0.3">
      <c r="A361">
        <f t="shared" ref="A361:B361" si="280">IF(P45&lt;&gt;"-",P45,"")</f>
        <v>35</v>
      </c>
      <c r="B361" t="str">
        <f t="shared" si="280"/>
        <v>王順和</v>
      </c>
    </row>
    <row r="362" spans="1:2" x14ac:dyDescent="0.3">
      <c r="A362">
        <f t="shared" ref="A362:B362" si="281">IF(P46&lt;&gt;"-",P46,"")</f>
        <v>46</v>
      </c>
      <c r="B362" t="str">
        <f t="shared" si="281"/>
        <v>劉基鴻</v>
      </c>
    </row>
    <row r="363" spans="1:2" x14ac:dyDescent="0.3">
      <c r="A363">
        <f t="shared" ref="A363:B363" si="282">IF(P47&lt;&gt;"-",P47,"")</f>
        <v>6</v>
      </c>
      <c r="B363" t="str">
        <f t="shared" si="282"/>
        <v>張皓緯</v>
      </c>
    </row>
    <row r="364" spans="1:2" x14ac:dyDescent="0.3">
      <c r="A364">
        <f t="shared" ref="A364:B364" si="283">IF(P48&lt;&gt;"-",P48,"")</f>
        <v>21</v>
      </c>
      <c r="B364" t="str">
        <f t="shared" si="283"/>
        <v>李凱威</v>
      </c>
    </row>
    <row r="365" spans="1:2" x14ac:dyDescent="0.3">
      <c r="A365">
        <f t="shared" ref="A365:B365" si="284">IF(P49&lt;&gt;"-",P49,"")</f>
        <v>33</v>
      </c>
      <c r="B365" t="str">
        <f t="shared" si="284"/>
        <v>曾傳昇</v>
      </c>
    </row>
    <row r="366" spans="1:2" x14ac:dyDescent="0.3">
      <c r="A366">
        <f t="shared" ref="A366:B366" si="285">IF(P50&lt;&gt;"-",P50,"")</f>
        <v>54</v>
      </c>
      <c r="B366" t="str">
        <f t="shared" si="285"/>
        <v>林瑋恩</v>
      </c>
    </row>
    <row r="367" spans="1:2" x14ac:dyDescent="0.3">
      <c r="A367">
        <f t="shared" ref="A367:B367" si="286">IF(P51&lt;&gt;"-",P51,"")</f>
        <v>5</v>
      </c>
      <c r="B367" t="str">
        <f t="shared" si="286"/>
        <v>林驛騰</v>
      </c>
    </row>
    <row r="368" spans="1:2" x14ac:dyDescent="0.3">
      <c r="A368">
        <f t="shared" ref="A368:B368" si="287">IF(P52&lt;&gt;"-",P52,"")</f>
        <v>62</v>
      </c>
      <c r="B368" t="str">
        <f t="shared" si="287"/>
        <v>吳宗峻</v>
      </c>
    </row>
    <row r="369" spans="1:2" x14ac:dyDescent="0.3">
      <c r="A369">
        <f t="shared" ref="A369:B369" si="288">IF(P53&lt;&gt;"-",P53,"")</f>
        <v>88</v>
      </c>
      <c r="B369" t="str">
        <f t="shared" si="288"/>
        <v>洪瑋漢</v>
      </c>
    </row>
    <row r="370" spans="1:2" x14ac:dyDescent="0.3">
      <c r="A370">
        <f t="shared" ref="A370:B370" si="289">IF(P54&lt;&gt;"-",P54,"")</f>
        <v>2</v>
      </c>
      <c r="B370" t="str">
        <f t="shared" si="289"/>
        <v>郭天信</v>
      </c>
    </row>
    <row r="371" spans="1:2" x14ac:dyDescent="0.3">
      <c r="A371">
        <f t="shared" ref="A371:B371" si="290">IF(P55&lt;&gt;"-",P55,"")</f>
        <v>28</v>
      </c>
      <c r="B371" t="str">
        <f t="shared" si="290"/>
        <v>林旺衛</v>
      </c>
    </row>
    <row r="372" spans="1:2" x14ac:dyDescent="0.3">
      <c r="A372">
        <f t="shared" ref="A372:B372" si="291">IF(P56&lt;&gt;"-",P56,"")</f>
        <v>34</v>
      </c>
      <c r="B372" t="str">
        <f t="shared" si="291"/>
        <v>張祐銘</v>
      </c>
    </row>
    <row r="373" spans="1:2" x14ac:dyDescent="0.3">
      <c r="A373">
        <f t="shared" ref="A373:B373" si="292">IF(P57&lt;&gt;"-",P57,"")</f>
        <v>55</v>
      </c>
      <c r="B373" t="str">
        <f t="shared" si="292"/>
        <v>高淮安</v>
      </c>
    </row>
    <row r="374" spans="1:2" x14ac:dyDescent="0.3">
      <c r="A374">
        <f t="shared" ref="A374:B374" si="293">IF(P58&lt;&gt;"-",P58,"")</f>
        <v>77</v>
      </c>
      <c r="B374" t="str">
        <f t="shared" si="293"/>
        <v>陳震洋</v>
      </c>
    </row>
    <row r="375" spans="1:2" x14ac:dyDescent="0.3">
      <c r="A375">
        <f t="shared" ref="A375:B375" si="294">IF(P59&lt;&gt;"-",P59,"")</f>
        <v>1</v>
      </c>
      <c r="B375" t="str">
        <f t="shared" si="294"/>
        <v>林孝程</v>
      </c>
    </row>
    <row r="376" spans="1:2" x14ac:dyDescent="0.3">
      <c r="A376">
        <f t="shared" ref="A376:B376" si="295">IF(P60&lt;&gt;"-",P60,"")</f>
        <v>58</v>
      </c>
      <c r="B376" t="str">
        <f t="shared" si="295"/>
        <v>曾陶鎔</v>
      </c>
    </row>
    <row r="377" spans="1:2" x14ac:dyDescent="0.3">
      <c r="A377" t="str">
        <f t="shared" ref="A377:B377" si="296">IF(P61&lt;&gt;"-",P61,"")</f>
        <v/>
      </c>
      <c r="B377" t="str">
        <f t="shared" si="296"/>
        <v/>
      </c>
    </row>
    <row r="378" spans="1:2" x14ac:dyDescent="0.3">
      <c r="A378" t="str">
        <f t="shared" ref="A378:B378" si="297">IF(P62&lt;&gt;"-",P62,"")</f>
        <v/>
      </c>
      <c r="B378" t="str">
        <f t="shared" si="297"/>
        <v/>
      </c>
    </row>
    <row r="379" spans="1:2" x14ac:dyDescent="0.3">
      <c r="A379" t="str">
        <f t="shared" ref="A379:B379" si="298">IF(P63&lt;&gt;"-",P63,"")</f>
        <v/>
      </c>
      <c r="B379" t="str">
        <f t="shared" si="298"/>
        <v/>
      </c>
    </row>
    <row r="380" spans="1:2" x14ac:dyDescent="0.3">
      <c r="A380" t="str">
        <f t="shared" ref="A380:B380" si="299">IF(P64&lt;&gt;"-",P64,"")</f>
        <v/>
      </c>
      <c r="B380" t="str">
        <f t="shared" si="299"/>
        <v/>
      </c>
    </row>
    <row r="381" spans="1:2" x14ac:dyDescent="0.3">
      <c r="A381" t="str">
        <f t="shared" ref="A381:B381" si="300">IF(P65&lt;&gt;"-",P65,"")</f>
        <v/>
      </c>
      <c r="B381" t="str">
        <f t="shared" si="300"/>
        <v/>
      </c>
    </row>
    <row r="382" spans="1:2" x14ac:dyDescent="0.3">
      <c r="A382" t="str">
        <f t="shared" ref="A382:B382" si="301">IF(P66&lt;&gt;"-",P66,"")</f>
        <v/>
      </c>
      <c r="B382" t="str">
        <f t="shared" si="301"/>
        <v/>
      </c>
    </row>
    <row r="383" spans="1:2" x14ac:dyDescent="0.3">
      <c r="A383" t="str">
        <f t="shared" ref="A383:B383" si="302">IF(P67&lt;&gt;"-",P67,"")</f>
        <v/>
      </c>
      <c r="B383" t="str">
        <f t="shared" si="302"/>
        <v/>
      </c>
    </row>
    <row r="384" spans="1:2" x14ac:dyDescent="0.3">
      <c r="A384" t="str">
        <f t="shared" ref="A384:B384" si="303">IF(P68&lt;&gt;"-",P68,"")</f>
        <v/>
      </c>
      <c r="B384" t="str">
        <f t="shared" si="303"/>
        <v/>
      </c>
    </row>
    <row r="385" spans="1:2" x14ac:dyDescent="0.3">
      <c r="A385" t="str">
        <f t="shared" ref="A385:B385" si="304">IF(P69&lt;&gt;"-",P69,"")</f>
        <v/>
      </c>
      <c r="B385" t="str">
        <f t="shared" si="304"/>
        <v/>
      </c>
    </row>
    <row r="386" spans="1:2" x14ac:dyDescent="0.3">
      <c r="A386" t="str">
        <f t="shared" ref="A386:B386" si="305">IF(P70&lt;&gt;"-",P70,"")</f>
        <v/>
      </c>
      <c r="B386" t="str">
        <f t="shared" si="305"/>
        <v/>
      </c>
    </row>
    <row r="387" spans="1:2" x14ac:dyDescent="0.3">
      <c r="A387" t="str">
        <f t="shared" ref="A387:B387" si="306">IF(P71&lt;&gt;"-",P71,"")</f>
        <v/>
      </c>
      <c r="B387" t="str">
        <f t="shared" si="306"/>
        <v/>
      </c>
    </row>
    <row r="388" spans="1:2" x14ac:dyDescent="0.3">
      <c r="A388" t="str">
        <f t="shared" ref="A388:B388" si="307">IF(P72&lt;&gt;"-",P72,"")</f>
        <v/>
      </c>
      <c r="B388" t="str">
        <f t="shared" si="307"/>
        <v/>
      </c>
    </row>
    <row r="389" spans="1:2" x14ac:dyDescent="0.3">
      <c r="A389" t="str">
        <f t="shared" ref="A389:B389" si="308">IF(P73&lt;&gt;"-",P73,"")</f>
        <v/>
      </c>
      <c r="B389" t="str">
        <f t="shared" si="308"/>
        <v/>
      </c>
    </row>
    <row r="390" spans="1:2" x14ac:dyDescent="0.3">
      <c r="A390" t="str">
        <f t="shared" ref="A390:B390" si="309">IF(P74&lt;&gt;"-",P74,"")</f>
        <v/>
      </c>
      <c r="B390" t="str">
        <f t="shared" si="309"/>
        <v/>
      </c>
    </row>
    <row r="391" spans="1:2" x14ac:dyDescent="0.3">
      <c r="A391" t="str">
        <f t="shared" ref="A391:B391" si="310">IF(P75&lt;&gt;"-",P75,"")</f>
        <v/>
      </c>
      <c r="B391" t="str">
        <f t="shared" si="310"/>
        <v/>
      </c>
    </row>
    <row r="392" spans="1:2" x14ac:dyDescent="0.3">
      <c r="A392" t="str">
        <f t="shared" ref="A392:B392" si="311">IF(P76&lt;&gt;"-",P76,"")</f>
        <v/>
      </c>
      <c r="B392" t="str">
        <f t="shared" si="311"/>
        <v/>
      </c>
    </row>
    <row r="393" spans="1:2" x14ac:dyDescent="0.3">
      <c r="A393" t="str">
        <f t="shared" ref="A393:B393" si="312">IF(P77&lt;&gt;"-",P77,"")</f>
        <v/>
      </c>
      <c r="B393" t="str">
        <f t="shared" si="312"/>
        <v/>
      </c>
    </row>
    <row r="394" spans="1:2" x14ac:dyDescent="0.3">
      <c r="A394" t="str">
        <f t="shared" ref="A394:B394" si="313">IF(P78&lt;&gt;"-",P78,"")</f>
        <v/>
      </c>
      <c r="B394" t="str">
        <f t="shared" si="313"/>
        <v/>
      </c>
    </row>
    <row r="395" spans="1:2" x14ac:dyDescent="0.3">
      <c r="A395" t="str">
        <f t="shared" ref="A395:B395" si="314">IF(P79&lt;&gt;"-",P79,"")</f>
        <v/>
      </c>
      <c r="B395" t="str">
        <f t="shared" si="314"/>
        <v/>
      </c>
    </row>
    <row r="396" spans="1:2" x14ac:dyDescent="0.3">
      <c r="A396" t="str">
        <f t="shared" ref="A396:B396" si="315">IF(P80&lt;&gt;"-",P80,"")</f>
        <v/>
      </c>
      <c r="B396" t="str">
        <f t="shared" si="315"/>
        <v/>
      </c>
    </row>
  </sheetData>
  <mergeCells count="6">
    <mergeCell ref="P1:R1"/>
    <mergeCell ref="A1:B1"/>
    <mergeCell ref="D1:F1"/>
    <mergeCell ref="G1:I1"/>
    <mergeCell ref="J1:L1"/>
    <mergeCell ref="M1:O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13</vt:i4>
      </vt:variant>
    </vt:vector>
  </HeadingPairs>
  <TitlesOfParts>
    <vt:vector size="28" baseType="lpstr">
      <vt:lpstr>HomeAttackPlay-by-Play</vt:lpstr>
      <vt:lpstr>GuestAttackPlay-by-Play</vt:lpstr>
      <vt:lpstr>thisInning</vt:lpstr>
      <vt:lpstr>GuestHitterData</vt:lpstr>
      <vt:lpstr>HomeHitterData</vt:lpstr>
      <vt:lpstr>combobox</vt:lpstr>
      <vt:lpstr>GuestPitcherData</vt:lpstr>
      <vt:lpstr>HomePitcherData</vt:lpstr>
      <vt:lpstr>Lineup</vt:lpstr>
      <vt:lpstr>team</vt:lpstr>
      <vt:lpstr>Roster</vt:lpstr>
      <vt:lpstr>video</vt:lpstr>
      <vt:lpstr>Setup</vt:lpstr>
      <vt:lpstr>Delay</vt:lpstr>
      <vt:lpstr>Everyone</vt:lpstr>
      <vt:lpstr>ball</vt:lpstr>
      <vt:lpstr>GT_9</vt:lpstr>
      <vt:lpstr>HT_9</vt:lpstr>
      <vt:lpstr>HTN</vt:lpstr>
      <vt:lpstr>I.P</vt:lpstr>
      <vt:lpstr>NX</vt:lpstr>
      <vt:lpstr>OY</vt:lpstr>
      <vt:lpstr>playtime</vt:lpstr>
      <vt:lpstr>Score</vt:lpstr>
      <vt:lpstr>守備</vt:lpstr>
      <vt:lpstr>守備位置</vt:lpstr>
      <vt:lpstr>守備位置2</vt:lpstr>
      <vt:lpstr>投打習慣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NTUS</cp:lastModifiedBy>
  <cp:lastPrinted>2017-05-23T01:00:58Z</cp:lastPrinted>
  <dcterms:created xsi:type="dcterms:W3CDTF">2015-12-01T12:20:34Z</dcterms:created>
  <dcterms:modified xsi:type="dcterms:W3CDTF">2021-09-01T07:39:32Z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df3746d8-e38a-4be4-8d6b-0bcbef25993c</vt:lpwstr>
  </property>
</Properties>
</file>